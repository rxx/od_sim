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<sst xmlns="http://schemas.openxmlformats.org/spreadsheetml/2006/main" count="3021" uniqueCount="1132">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</sst>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54360</xdr:colOff>
      <xdr:row>125</xdr:row>
      <xdr:rowOff>32760</xdr:rowOff>
    </xdr:to>
    <xdr:pic>
      <xdr:nvPicPr>
        <xdr:cNvPr id="0" name="Picture 1" descr=""/>
        <xdr:cNvPicPr/>
      </xdr:nvPicPr>
      <xdr:blipFill>
        <a:blip r:embed="rId1"/>
        <a:stretch/>
      </xdr:blipFill>
      <xdr:spPr>
        <a:xfrm>
          <a:off x="3914640" y="13661280"/>
          <a:ext cx="7174800" cy="6907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685440</xdr:colOff>
      <xdr:row>22</xdr:row>
      <xdr:rowOff>33840</xdr:rowOff>
    </xdr:to>
    <xdr:sp>
      <xdr:nvSpPr>
        <xdr:cNvPr id="1" name="bork"/>
        <xdr:cNvSpPr/>
      </xdr:nvSpPr>
      <xdr:spPr>
        <a:xfrm>
          <a:off x="156960" y="100800"/>
          <a:ext cx="9703080" cy="349524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282240</xdr:colOff>
      <xdr:row>65</xdr:row>
      <xdr:rowOff>72720</xdr:rowOff>
    </xdr:to>
    <xdr:sp>
      <xdr:nvSpPr>
        <xdr:cNvPr id="2" name="bork2"/>
        <xdr:cNvSpPr/>
      </xdr:nvSpPr>
      <xdr:spPr>
        <a:xfrm>
          <a:off x="179280" y="3953520"/>
          <a:ext cx="4690080" cy="664416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N136" headerRowCount="1" totalsRowCount="0" totalsRowShown="0">
  <autoFilter ref="A3:BN136"/>
  <tableColumns count="66">
    <tableColumn id="1" name="Hour"/>
    <tableColumn id="2" name="Time"/>
    <tableColumn id="3" name="Plat Bonus"/>
    <tableColumn id="4" name="."/>
    <tableColumn id="5" name="Land"/>
    <tableColumn id="6" name="Peasants"/>
    <tableColumn id="7" name="Column7"/>
    <tableColumn id="8" name="Networth"/>
    <tableColumn id="9" name="Platinum"/>
    <tableColumn id="10" name="Food"/>
    <tableColumn id="11" name="Lumber"/>
    <tableColumn id="12" name="Mana"/>
    <tableColumn id="13" name="Ore"/>
    <tableColumn id="14" name="Gems"/>
    <tableColumn id="15" name="Boats"/>
    <tableColumn id="16" name="Prestige"/>
    <tableColumn id="17" name="Techpoints"/>
    <tableColumn id="18" name="Required"/>
    <tableColumn id="19" name=".."/>
    <tableColumn id="20" name="Plat/hr"/>
    <tableColumn id="21" name="Food/hr"/>
    <tableColumn id="22" name="Lumber/hr"/>
    <tableColumn id="23" name="Mana/hr"/>
    <tableColumn id="24" name="Ore/hr"/>
    <tableColumn id="25" name="Gems/hr"/>
    <tableColumn id="26" name="Boats/hr"/>
    <tableColumn id="27" name="…"/>
    <tableColumn id="28" name="Raw Plat/hr"/>
    <tableColumn id="29" name="Raw Food/hr"/>
    <tableColumn id="30" name="Raw Lumber/hr"/>
    <tableColumn id="31" name="Raw Mana/hr"/>
    <tableColumn id="32" name="Raw Ore/hr"/>
    <tableColumn id="33" name="Raw Gems/hr"/>
    <tableColumn id="34" name="...."/>
    <tableColumn id="35" name="Bonus Plat/hr"/>
    <tableColumn id="36" name="Bonus Food/hr"/>
    <tableColumn id="37" name="Bonus Lumber/hr"/>
    <tableColumn id="38" name="Bonus Mana/hr"/>
    <tableColumn id="39" name="Bonux Ore/hr"/>
    <tableColumn id="40" name="Bonus Gems/hr"/>
    <tableColumn id="41" name="…."/>
    <tableColumn id="42" name="Food decay"/>
    <tableColumn id="43" name="Food eaten"/>
    <tableColumn id="44" name="Lumber rot"/>
    <tableColumn id="45" name="Mana drain"/>
    <tableColumn id="46" name="….."/>
    <tableColumn id="47" name="Expenses Platinum"/>
    <tableColumn id="48" name="Expenses Lumber"/>
    <tableColumn id="49" name="Expenses Mana"/>
    <tableColumn id="50" name="Expenses Ore"/>
    <tableColumn id="51" name="Expenses Gems"/>
    <tableColumn id="52" name="…..."/>
    <tableColumn id="53" name="Guard"/>
    <tableColumn id="54" name="Set Guard"/>
    <tableColumn id="55" name="Hour (2)"/>
    <tableColumn id="56" name="Bank Plat"/>
    <tableColumn id="57" name="Bank Lumber"/>
    <tableColumn id="58" name="Bank Ore"/>
    <tableColumn id="59" name="Bank Gems"/>
    <tableColumn id="60" name="Time (2)"/>
    <tableColumn id="61" name="Ok?"/>
    <tableColumn id="62" name="Stats Platinum"/>
    <tableColumn id="63" name="Stats Food"/>
    <tableColumn id="64" name="Stats Lumber"/>
    <tableColumn id="65" name="Stats Mana"/>
    <tableColumn id="66"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34" colorId="64" zoomScale="85" zoomScaleNormal="85" zoomScalePageLayoutView="100" workbookViewId="0">
      <selection pane="topLeft" activeCell="B70" activeCellId="0" sqref="B70"/>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45440.637003012</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45440</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13</v>
      </c>
      <c r="C36" s="60" t="n">
        <f aca="false">B36*B22</f>
        <v>39</v>
      </c>
      <c r="D36" s="61" t="n">
        <f aca="false">Military!Q76</f>
        <v>0.025</v>
      </c>
      <c r="E36" s="59" t="n">
        <f aca="false">C36*(1+$D$36)</f>
        <v>39.975</v>
      </c>
      <c r="F36" s="62" t="n">
        <f aca="false">B36*C22</f>
        <v>0</v>
      </c>
      <c r="G36" s="61" t="n">
        <f aca="false">Military!U76</f>
        <v>0.249</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714</v>
      </c>
      <c r="C37" s="67" t="n">
        <f aca="false">B37*B23</f>
        <v>0</v>
      </c>
      <c r="D37" s="68"/>
      <c r="E37" s="66" t="n">
        <f aca="false">C37*(1+$D$36)</f>
        <v>0</v>
      </c>
      <c r="F37" s="69" t="n">
        <f aca="false">B37*C23</f>
        <v>2142</v>
      </c>
      <c r="G37" s="68"/>
      <c r="H37" s="69" t="n">
        <f aca="false">F37*(1+$G$36)</f>
        <v>2675.358</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-25</v>
      </c>
      <c r="C41" s="77"/>
      <c r="E41" s="78"/>
      <c r="F41" s="69" t="n">
        <f aca="false">Military!AA76</f>
        <v>-25</v>
      </c>
      <c r="H41" s="69" t="n">
        <f aca="false">F41*(1+$G$36)</f>
        <v>-31.225</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27</v>
      </c>
      <c r="C47" s="4"/>
      <c r="D47" s="13" t="s">
        <v>73</v>
      </c>
      <c r="E47" s="89" t="n">
        <f aca="false">Construction!BT76</f>
        <v>646</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0.0619195046439629</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0.425696594427245</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Production!O76*(boat_size + tech_6_3_3*Techs!BH76)</f>
        <v>847.5</v>
      </c>
      <c r="C50" s="4"/>
      <c r="D50" s="94" t="str">
        <f aca="false">Construction!BA3</f>
        <v>Tot Farm</v>
      </c>
      <c r="E50" s="1" t="n">
        <f aca="false">Construction!BA76</f>
        <v>29</v>
      </c>
      <c r="F50" s="96" t="n">
        <f aca="false">E50/$E$47</f>
        <v>0.0448916408668731</v>
      </c>
      <c r="G50" s="4"/>
      <c r="H50" s="1" t="s">
        <v>78</v>
      </c>
      <c r="I50" s="97" t="n">
        <f aca="false">(B45 + B46*2 + B38*D90*E90 + B38*D91*E91)/E47</f>
        <v>0.0386996904024768</v>
      </c>
      <c r="J50" s="97" t="n">
        <f aca="false">I50*(1+I26)</f>
        <v>0.0386996904024768</v>
      </c>
      <c r="K50" s="4"/>
      <c r="L50" s="4"/>
      <c r="M50" s="4"/>
      <c r="N50" s="4"/>
      <c r="O50" s="17"/>
    </row>
    <row r="51" customFormat="false" ht="12.75" hidden="false" customHeight="false" outlineLevel="0" collapsed="false">
      <c r="A51" s="92" t="s">
        <v>79</v>
      </c>
      <c r="B51" s="93" t="n">
        <f aca="false">SUM(Imps!M4:M76)</f>
        <v>66</v>
      </c>
      <c r="C51" s="4"/>
      <c r="D51" s="94" t="str">
        <f aca="false">Construction!BB3</f>
        <v>Tot Smi</v>
      </c>
      <c r="E51" s="1" t="n">
        <f aca="false">Construction!BB76</f>
        <v>126</v>
      </c>
      <c r="F51" s="96" t="n">
        <f aca="false">E51/$E$47</f>
        <v>0.195046439628483</v>
      </c>
      <c r="G51" s="4"/>
      <c r="H51" s="1" t="s">
        <v>80</v>
      </c>
      <c r="I51" s="97" t="n">
        <f aca="false">(B48*2+B47 + B38*D92*E92 + B38*D93*E93)/E47</f>
        <v>0.0417956656346749</v>
      </c>
      <c r="J51" s="97" t="n">
        <f aca="false">I51*(1+I27+Constants!O58*Techs!AL76)</f>
        <v>0.0417956656346749</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646</v>
      </c>
      <c r="C53" s="4"/>
      <c r="D53" s="94" t="str">
        <f aca="false">Construction!BD3</f>
        <v>Tot Ly</v>
      </c>
      <c r="E53" s="1" t="n">
        <f aca="false">Construction!BD76</f>
        <v>25</v>
      </c>
      <c r="F53" s="96" t="n">
        <f aca="false">E53/$E$47</f>
        <v>0.0386996904024768</v>
      </c>
      <c r="G53" s="4"/>
      <c r="H53" s="16" t="s">
        <v>34</v>
      </c>
      <c r="I53" s="4"/>
      <c r="J53" s="4"/>
      <c r="K53" s="4"/>
      <c r="L53" s="4"/>
      <c r="M53" s="4"/>
      <c r="N53" s="4"/>
      <c r="O53" s="17"/>
    </row>
    <row r="54" customFormat="false" ht="12.75" hidden="false" customHeight="false" outlineLevel="0" collapsed="false">
      <c r="A54" s="100" t="s">
        <v>81</v>
      </c>
      <c r="B54" s="101" t="n">
        <f aca="false">Population!C76</f>
        <v>9475</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-25</v>
      </c>
      <c r="C55" s="4"/>
      <c r="D55" s="94" t="str">
        <f aca="false">Construction!BF3</f>
        <v>Tot OM</v>
      </c>
      <c r="E55" s="1" t="n">
        <f aca="false">Construction!BF76</f>
        <v>0</v>
      </c>
      <c r="F55" s="96" t="n">
        <f aca="false">E55/$E$47</f>
        <v>0</v>
      </c>
      <c r="G55" s="4"/>
      <c r="H55" s="104" t="n">
        <v>61</v>
      </c>
      <c r="I55" s="33" t="n">
        <f aca="false">Production!I64</f>
        <v>618020</v>
      </c>
      <c r="J55" s="33" t="n">
        <f aca="false">Production!I64+SUM(Military!AR4:AR64)</f>
        <v>1407300</v>
      </c>
      <c r="K55" s="4"/>
      <c r="L55" s="4"/>
      <c r="M55" s="4"/>
      <c r="N55" s="4"/>
      <c r="O55" s="17"/>
    </row>
    <row r="56" customFormat="false" ht="12.75" hidden="false" customHeight="false" outlineLevel="0" collapsed="false">
      <c r="A56" s="100" t="s">
        <v>36</v>
      </c>
      <c r="B56" s="101" t="e">
        <f aca="false">Production!H76</f>
        <v>#VALUE!</v>
      </c>
      <c r="C56" s="4"/>
      <c r="D56" s="94" t="str">
        <f aca="false">Construction!BG3</f>
        <v>Tot GN</v>
      </c>
      <c r="E56" s="1" t="n">
        <f aca="false">Construction!BG76</f>
        <v>0</v>
      </c>
      <c r="F56" s="96" t="n">
        <f aca="false">E56/$E$47</f>
        <v>0</v>
      </c>
      <c r="G56" s="4"/>
      <c r="H56" s="104" t="n">
        <v>64</v>
      </c>
      <c r="I56" s="33" t="n">
        <f aca="false">Production!I67</f>
        <v>794516</v>
      </c>
      <c r="J56" s="33" t="n">
        <f aca="false">Production!I67+SUM(Military!AR5:AR67)</f>
        <v>1718004</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0.0588235294117647</v>
      </c>
      <c r="G57" s="4"/>
      <c r="H57" s="104" t="s">
        <v>85</v>
      </c>
      <c r="I57" s="33" t="n">
        <f aca="false">Production!I76</f>
        <v>1372417</v>
      </c>
      <c r="J57" s="33" t="n">
        <f aca="false">Production!I76+SUM(Military!AR4:AR76)</f>
        <v>2727601</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Production!T76</f>
        <v>45685</v>
      </c>
      <c r="C59" s="4"/>
      <c r="D59" s="94" t="str">
        <f aca="false">Construction!BI3</f>
        <v>Tot GT</v>
      </c>
      <c r="E59" s="1" t="n">
        <f aca="false">Construction!BI76</f>
        <v>55</v>
      </c>
      <c r="F59" s="96" t="n">
        <f aca="false">E59/$E$47</f>
        <v>0.0851393188854489</v>
      </c>
      <c r="G59" s="4"/>
      <c r="H59" s="16" t="s">
        <v>88</v>
      </c>
      <c r="I59" s="4"/>
      <c r="J59" s="4"/>
      <c r="K59" s="4"/>
      <c r="L59" s="4"/>
      <c r="M59" s="4"/>
      <c r="N59" s="4"/>
      <c r="O59" s="17"/>
    </row>
    <row r="60" customFormat="false" ht="12.75" hidden="false" customHeight="false" outlineLevel="0" collapsed="false">
      <c r="A60" s="100" t="s">
        <v>34</v>
      </c>
      <c r="B60" s="101" t="n">
        <f aca="false">Production!I$76</f>
        <v>1372417</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Production!J$76</f>
        <v>444909</v>
      </c>
      <c r="C61" s="4"/>
      <c r="D61" s="94" t="str">
        <f aca="false">Construction!BL3</f>
        <v>Tot Tow</v>
      </c>
      <c r="E61" s="1" t="n">
        <f aca="false">Construction!BL76</f>
        <v>29</v>
      </c>
      <c r="F61" s="96" t="n">
        <f aca="false">E61/$E$47</f>
        <v>0.0448916408668731</v>
      </c>
      <c r="G61" s="4"/>
      <c r="H61" s="1" t="s">
        <v>92</v>
      </c>
      <c r="I61" s="69" t="n">
        <f aca="false">SUM(Construction!AQ4:AQ76)</f>
        <v>-976278</v>
      </c>
      <c r="J61" s="106" t="n">
        <f aca="false">IFERROR(Table18[[#This Row],[Amount]]/Table18[[#Totals],[Amount]],0)</f>
        <v>-1.22626576514905</v>
      </c>
      <c r="K61" s="4"/>
      <c r="L61" s="4"/>
      <c r="M61" s="4"/>
      <c r="N61" s="4"/>
      <c r="O61" s="17"/>
    </row>
    <row r="62" customFormat="false" ht="12.75" hidden="false" customHeight="false" outlineLevel="0" collapsed="false">
      <c r="A62" s="100" t="s">
        <v>93</v>
      </c>
      <c r="B62" s="101" t="n">
        <f aca="false">Production!K$76</f>
        <v>220497</v>
      </c>
      <c r="C62" s="4"/>
      <c r="D62" s="94" t="str">
        <f aca="false">Construction!BM3</f>
        <v>Tot Tem</v>
      </c>
      <c r="E62" s="1" t="n">
        <f aca="false">Construction!BM76</f>
        <v>47</v>
      </c>
      <c r="F62" s="96" t="n">
        <f aca="false">E62/$E$47</f>
        <v>0.0727554179566563</v>
      </c>
      <c r="G62" s="4"/>
      <c r="H62" s="1" t="s">
        <v>94</v>
      </c>
      <c r="I62" s="69" t="n">
        <f aca="false">SUM(Explore!AH4:AH76)</f>
        <v>400003</v>
      </c>
      <c r="J62" s="106" t="n">
        <f aca="false">IFERROR(Table18[[#This Row],[Amount]]/Table18[[#Totals],[Amount]],0)</f>
        <v>0.502428596011501</v>
      </c>
      <c r="K62" s="4"/>
      <c r="L62" s="4"/>
      <c r="M62" s="4"/>
      <c r="N62" s="4"/>
      <c r="O62" s="17"/>
    </row>
    <row r="63" customFormat="false" ht="12.75" hidden="false" customHeight="false" outlineLevel="0" collapsed="false">
      <c r="A63" s="102" t="s">
        <v>95</v>
      </c>
      <c r="B63" s="103" t="n">
        <f aca="false">Production!L$76</f>
        <v>419113</v>
      </c>
      <c r="C63" s="4"/>
      <c r="D63" s="94" t="str">
        <f aca="false">Construction!BN3</f>
        <v>Tot WG</v>
      </c>
      <c r="E63" s="1" t="n">
        <f aca="false">Construction!BN76</f>
        <v>0</v>
      </c>
      <c r="F63" s="96" t="n">
        <f aca="false">E63/$E$47</f>
        <v>0</v>
      </c>
      <c r="G63" s="4"/>
      <c r="H63" s="1" t="s">
        <v>53</v>
      </c>
      <c r="I63" s="69" t="n">
        <f aca="false">SUM(Military!AR4:AR76)</f>
        <v>1355184</v>
      </c>
      <c r="J63" s="106" t="n">
        <f aca="false">IFERROR(Table18[[#This Row],[Amount]]/Table18[[#Totals],[Amount]],0)</f>
        <v>1.70219521967898</v>
      </c>
      <c r="K63" s="4"/>
      <c r="L63" s="4"/>
      <c r="M63" s="4"/>
      <c r="N63" s="4"/>
      <c r="O63" s="17"/>
    </row>
    <row r="64" customFormat="false" ht="12.75" hidden="false" customHeight="false" outlineLevel="0" collapsed="false">
      <c r="A64" s="100" t="s">
        <v>35</v>
      </c>
      <c r="B64" s="101" t="n">
        <f aca="false">Production!M$76</f>
        <v>-357</v>
      </c>
      <c r="C64" s="4"/>
      <c r="D64" s="94" t="str">
        <f aca="false">Construction!BO3</f>
        <v>Tot DM</v>
      </c>
      <c r="E64" s="1" t="n">
        <f aca="false">Construction!BO76</f>
        <v>0</v>
      </c>
      <c r="F64" s="96" t="n">
        <f aca="false">E64/$E$47</f>
        <v>0</v>
      </c>
      <c r="G64" s="4"/>
      <c r="H64" s="1" t="s">
        <v>96</v>
      </c>
      <c r="I64" s="69" t="n">
        <f aca="false">SUM(Rezone!Y4:Y76)</f>
        <v>17230</v>
      </c>
      <c r="J64" s="106" t="n">
        <f aca="false">IFERROR(Table18[[#This Row],[Amount]]/Table18[[#Totals],[Amount]],0)</f>
        <v>0.0216419494585744</v>
      </c>
      <c r="K64" s="4"/>
      <c r="L64" s="4"/>
      <c r="M64" s="4"/>
      <c r="N64" s="4"/>
      <c r="O64" s="17"/>
    </row>
    <row r="65" customFormat="false" ht="12.75" hidden="false" customHeight="false" outlineLevel="0" collapsed="false">
      <c r="A65" s="102" t="s">
        <v>97</v>
      </c>
      <c r="B65" s="103" t="n">
        <f aca="false">Production!N$76</f>
        <v>-1000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Production!O$76</f>
        <v>28.25</v>
      </c>
      <c r="C66" s="4"/>
      <c r="D66" s="107" t="str">
        <f aca="false">Construction!BQ3</f>
        <v>Tot Doc</v>
      </c>
      <c r="E66" s="43" t="n">
        <f aca="false">Construction!BQ76</f>
        <v>24</v>
      </c>
      <c r="F66" s="108" t="n">
        <f aca="false">E66/$E$47</f>
        <v>0.0371517027863777</v>
      </c>
      <c r="G66" s="4"/>
      <c r="H66" s="1" t="s">
        <v>100</v>
      </c>
      <c r="I66" s="69" t="n">
        <f aca="false">SUBTOTAL(109,Table18[Amount])</f>
        <v>796139</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-54</v>
      </c>
      <c r="F68" s="111" t="n">
        <f aca="false">E68/E47</f>
        <v>-0.0835913312693498</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0.0185758513931889</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0.0417956656346749</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26</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33480</xdr:colOff>
                    <xdr:row>14</xdr:row>
                    <xdr:rowOff>23760</xdr:rowOff>
                  </from>
                  <to>
                    <xdr:col>6</xdr:col>
                    <xdr:colOff>66960</xdr:colOff>
                    <xdr:row>16</xdr:row>
                    <xdr:rowOff>14400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Production!P4/100*prestige_pop_multiplier) + Production!P4/100*prestige_pop_multiplier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Production!P5/100*prestige_pop_multiplier) + Production!P5/100*prestige_pop_multiplier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Production!P6/100*prestige_pop_multiplier) + Production!P6/100*prestige_pop_multiplier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Production!P7/100*prestige_pop_multiplier) + Production!P7/100*prestige_pop_multiplier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Production!P8/100*prestige_pop_multiplier) + Production!P8/100*prestige_pop_multiplier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Production!P9/100*prestige_pop_multiplier) + Production!P9/100*prestige_pop_multiplier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Production!P10/100*prestige_pop_multiplier) + Production!P10/100*prestige_pop_multiplier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Production!P11/100*prestige_pop_multiplier) + Production!P11/100*prestige_pop_multiplier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Production!P12/100*prestige_pop_multiplier) + Production!P12/100*prestige_pop_multiplier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Production!P13/100*prestige_pop_multiplier) + Production!P13/100*prestige_pop_multiplier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Production!P14/100*prestige_pop_multiplier) + Production!P14/100*prestige_pop_multiplier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Production!P15/100*prestige_pop_multiplier) + Production!P15/100*prestige_pop_multiplier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Production!P16/100*prestige_pop_multiplier) + Production!P16/100*prestige_pop_multiplier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Production!P17/100*prestige_pop_multiplier) + Production!P17/100*prestige_pop_multiplier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Production!P18/100*prestige_pop_multiplier) + Production!P18/100*prestige_pop_multiplier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Production!P19/100*prestige_pop_multiplier) + Production!P19/100*prestige_pop_multiplier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Production!P20/100*prestige_pop_multiplier) + Production!P20/100*prestige_pop_multiplier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Production!P21/100*prestige_pop_multiplier) + Production!P21/100*prestige_pop_multiplier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Production!P22/100*prestige_pop_multiplier) + Production!P22/100*prestige_pop_multiplier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Production!P23/100*prestige_pop_multiplier) + Production!P23/100*prestige_pop_multiplier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Production!P24/100*prestige_pop_multiplier) + Production!P24/100*prestige_pop_multiplier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Production!P25/100*prestige_pop_multiplier) + Production!P25/100*prestige_pop_multiplier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Production!P26/100*prestige_pop_multiplier) + Production!P26/100*prestige_pop_multiplier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Production!P27/100*prestige_pop_multiplier) + Production!P27/100*prestige_pop_multiplier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Production!P28/100*prestige_pop_multiplier) + Production!P28/100*prestige_pop_multiplier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Production!P29/100*prestige_pop_multiplier) + Production!P29/100*prestige_pop_multiplier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Production!P30/100*prestige_pop_multiplier) + Production!P30/100*prestige_pop_multiplier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Production!P31/100*prestige_pop_multiplier) + Production!P31/100*prestige_pop_multiplier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175</v>
      </c>
      <c r="E32" s="69" t="n">
        <f aca="false">TblMili[[#This Row],[Draftees]]</f>
        <v>175</v>
      </c>
      <c r="F32" s="69" t="n">
        <f aca="false">TblPop[[#This Row],[Peasants]]+TblPop[[#This Row],[Military]]</f>
        <v>4154</v>
      </c>
      <c r="G32" s="130" t="n">
        <f aca="false">TblPop[[#This Row],[Military]]/TblPop[[#This Row],[Total]]</f>
        <v>0.0421280693307655</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175</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Production!P32/100*prestige_pop_multiplier) + Production!P32/100*prestige_pop_multiplier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170</v>
      </c>
      <c r="E33" s="69" t="n">
        <f aca="false">TblMili[[#This Row],[Draftees]]</f>
        <v>170</v>
      </c>
      <c r="F33" s="69" t="n">
        <f aca="false">TblPop[[#This Row],[Peasants]]+TblPop[[#This Row],[Military]]</f>
        <v>4377</v>
      </c>
      <c r="G33" s="130" t="n">
        <f aca="false">TblPop[[#This Row],[Military]]/TblPop[[#This Row],[Total]]</f>
        <v>0.0388393877084761</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170</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Production!P33/100*prestige_pop_multiplier) + Production!P33/100*prestige_pop_multiplier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162</v>
      </c>
      <c r="E34" s="69" t="n">
        <f aca="false">TblMili[[#This Row],[Draftees]]</f>
        <v>162</v>
      </c>
      <c r="F34" s="69" t="n">
        <f aca="false">TblPop[[#This Row],[Peasants]]+TblPop[[#This Row],[Military]]</f>
        <v>4607</v>
      </c>
      <c r="G34" s="130" t="n">
        <f aca="false">TblPop[[#This Row],[Military]]/TblPop[[#This Row],[Total]]</f>
        <v>0.0351638810505752</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162</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Production!P34/100*prestige_pop_multiplier) + Production!P34/100*prestige_pop_multiplier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156</v>
      </c>
      <c r="E35" s="69" t="n">
        <f aca="false">TblMili[[#This Row],[Draftees]]</f>
        <v>156</v>
      </c>
      <c r="F35" s="69" t="n">
        <f aca="false">TblPop[[#This Row],[Peasants]]+TblPop[[#This Row],[Military]]</f>
        <v>4850</v>
      </c>
      <c r="G35" s="130" t="n">
        <f aca="false">TblPop[[#This Row],[Military]]/TblPop[[#This Row],[Total]]</f>
        <v>0.0321649484536083</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156</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Production!P35/100*prestige_pop_multiplier) + Production!P35/100*prestige_pop_multiplier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153</v>
      </c>
      <c r="E36" s="69" t="n">
        <f aca="false">TblMili[[#This Row],[Draftees]]</f>
        <v>153</v>
      </c>
      <c r="F36" s="69" t="n">
        <f aca="false">TblPop[[#This Row],[Peasants]]+TblPop[[#This Row],[Military]]</f>
        <v>5106</v>
      </c>
      <c r="G36" s="130" t="n">
        <f aca="false">TblPop[[#This Row],[Military]]/TblPop[[#This Row],[Total]]</f>
        <v>0.0299647473560517</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153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Production!P36/100*prestige_pop_multiplier) + Production!P36/100*prestige_pop_multiplier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148</v>
      </c>
      <c r="E37" s="69" t="n">
        <f aca="false">TblMili[[#This Row],[Draftees]]</f>
        <v>148</v>
      </c>
      <c r="F37" s="69" t="n">
        <f aca="false">TblPop[[#This Row],[Peasants]]+TblPop[[#This Row],[Military]]</f>
        <v>5374</v>
      </c>
      <c r="G37" s="130" t="n">
        <f aca="false">TblPop[[#This Row],[Military]]/TblPop[[#This Row],[Total]]</f>
        <v>0.0275400074432453</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148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Production!P37/100*prestige_pop_multiplier) + Production!P37/100*prestige_pop_multiplier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140</v>
      </c>
      <c r="E38" s="69" t="n">
        <f aca="false">TblMili[[#This Row],[Draftees]]</f>
        <v>140</v>
      </c>
      <c r="F38" s="69" t="n">
        <f aca="false">TblPop[[#This Row],[Peasants]]+TblPop[[#This Row],[Military]]</f>
        <v>5654</v>
      </c>
      <c r="G38" s="130" t="n">
        <f aca="false">TblPop[[#This Row],[Military]]/TblPop[[#This Row],[Total]]</f>
        <v>0.0247612309869119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140</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Production!P38/100*prestige_pop_multiplier) + Production!P38/100*prestige_pop_multiplier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130</v>
      </c>
      <c r="E39" s="69" t="n">
        <f aca="false">TblMili[[#This Row],[Draftees]]</f>
        <v>130</v>
      </c>
      <c r="F39" s="69" t="n">
        <f aca="false">TblPop[[#This Row],[Peasants]]+TblPop[[#This Row],[Military]]</f>
        <v>5945</v>
      </c>
      <c r="G39" s="130" t="n">
        <f aca="false">TblPop[[#This Row],[Military]]/TblPop[[#This Row],[Total]]</f>
        <v>0.0218671152228764</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130</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Production!P39/100*prestige_pop_multiplier) + Production!P39/100*prestige_pop_multiplier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123</v>
      </c>
      <c r="E40" s="69" t="n">
        <f aca="false">TblMili[[#This Row],[Draftees]]</f>
        <v>123</v>
      </c>
      <c r="F40" s="69" t="n">
        <f aca="false">TblPop[[#This Row],[Peasants]]+TblPop[[#This Row],[Military]]</f>
        <v>6255</v>
      </c>
      <c r="G40" s="130" t="n">
        <f aca="false">TblPop[[#This Row],[Military]]/TblPop[[#This Row],[Total]]</f>
        <v>0.0196642685851319</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123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Production!P40/100*prestige_pop_multiplier) + Production!P40/100*prestige_pop_multiplier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119</v>
      </c>
      <c r="E41" s="69" t="n">
        <f aca="false">TblMili[[#This Row],[Draftees]]</f>
        <v>119</v>
      </c>
      <c r="F41" s="69" t="n">
        <f aca="false">TblPop[[#This Row],[Peasants]]+TblPop[[#This Row],[Military]]</f>
        <v>6586</v>
      </c>
      <c r="G41" s="130" t="n">
        <f aca="false">TblPop[[#This Row],[Military]]/TblPop[[#This Row],[Total]]</f>
        <v>0.018068630428181</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119</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113</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Production!P41/100*prestige_pop_multiplier) + Production!P41/100*prestige_pop_multiplier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6580</v>
      </c>
      <c r="D42" s="69" t="n">
        <f aca="false">TblMili[[#This Row],[Military]]</f>
        <v>114</v>
      </c>
      <c r="E42" s="69" t="n">
        <f aca="false">TblMili[[#This Row],[Draftees]]</f>
        <v>114</v>
      </c>
      <c r="F42" s="69" t="n">
        <f aca="false">TblPop[[#This Row],[Peasants]]+TblPop[[#This Row],[Military]]</f>
        <v>6694</v>
      </c>
      <c r="G42" s="130" t="n">
        <f aca="false">TblPop[[#This Row],[Military]]/TblPop[[#This Row],[Total]]</f>
        <v>0.0170301762772632</v>
      </c>
      <c r="H42" s="95" t="n">
        <f aca="false">MIN(TblPop[[#This Row],[Peasants]],TblPop[[#This Row],[Jobs]])</f>
        <v>6235</v>
      </c>
      <c r="I42" s="130" t="n">
        <f aca="false">MIN(OFFSET(TblPop[[#This Row],[Jobs]],1,0)/TblPop[[#This Row],[Peasants]],1)</f>
        <v>0.947568389057751</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114</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4</v>
      </c>
      <c r="X42" s="69" t="n">
        <f aca="false">ROUND(TblPop[[#This Row],[Raw Birth]]*(1+TblPop[[#This Row],[Growth]]),0)</f>
        <v>425</v>
      </c>
      <c r="Y42" s="69" t="n">
        <f aca="false">(TblPop[[#This Row],[Peasants]]-TblPop[[#This Row],[Draft Growth]])*raw_pop_growth</f>
        <v>195.42</v>
      </c>
      <c r="Z42" s="69" t="n">
        <f aca="false">IF(TblPop[[#This Row],[Military%]]&lt;TblMili[[#This Row],[Draftrate]],ROUND(TblPop[[#This Row],[Peasants]]*Constants!$B$55,0), 0)</f>
        <v>66</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Production!P42/100*prestige_pop_multiplier) + Production!P42/100*prestige_pop_multiplier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6584</v>
      </c>
      <c r="D43" s="69" t="n">
        <f aca="false">TblMili[[#This Row],[Military]]</f>
        <v>115</v>
      </c>
      <c r="E43" s="69" t="n">
        <f aca="false">TblMili[[#This Row],[Draftees]]</f>
        <v>115</v>
      </c>
      <c r="F43" s="69" t="n">
        <f aca="false">TblPop[[#This Row],[Peasants]]+TblPop[[#This Row],[Military]]</f>
        <v>6699</v>
      </c>
      <c r="G43" s="130" t="n">
        <f aca="false">TblPop[[#This Row],[Military]]/TblPop[[#This Row],[Total]]</f>
        <v>0.0171667413046723</v>
      </c>
      <c r="H43" s="95" t="n">
        <f aca="false">MIN(TblPop[[#This Row],[Peasants]],TblPop[[#This Row],[Jobs]])</f>
        <v>6235</v>
      </c>
      <c r="I43" s="130" t="n">
        <f aca="false">MIN(OFFSET(TblPop[[#This Row],[Jobs]],1,0)/TblPop[[#This Row],[Peasants]],1)</f>
        <v>0.946992709599028</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115</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150</v>
      </c>
      <c r="X43" s="69" t="n">
        <f aca="false">ROUND(TblPop[[#This Row],[Raw Birth]]*(1+TblPop[[#This Row],[Growth]]),0)</f>
        <v>417</v>
      </c>
      <c r="Y43" s="69" t="n">
        <f aca="false">(TblPop[[#This Row],[Peasants]]-TblPop[[#This Row],[Draft Growth]])*raw_pop_growth</f>
        <v>195.54</v>
      </c>
      <c r="Z43" s="69" t="n">
        <f aca="false">IF(TblPop[[#This Row],[Military%]]&lt;TblMili[[#This Row],[Draftrate]],ROUND(TblPop[[#This Row],[Peasants]]*Constants!$B$55,0), 0)</f>
        <v>66</v>
      </c>
      <c r="AA43" s="132"/>
      <c r="AB43" s="109" t="n">
        <f aca="false">Overview!$I$16 + IF(Magic!AE43&gt;0,Constants!$F$78) + ROUND(6*(Construction!BM44+Construction!CK43)/IF(Explore!S44&gt;0,Construction!F44-20,Construction!F44),4) + tech_6_5_2*Techs!BJ43 + tech_8_4*Techs!BT43</f>
        <v>1.1309</v>
      </c>
      <c r="AC43" s="130" t="n">
        <f aca="false">(Overview!$I$15 + Imps!Z43+ tech_2_5*Techs!AB43 + tech_3_6*Techs!AM43 + tech_6_1*Techs!BJ43 + tech_6_5*Techs!BF43 + tech_7_3_2*Techs!BN43) * (1 + Production!P43/100*prestige_pop_multiplier) + Production!P43/100*prestige_pop_multiplier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6734</v>
      </c>
      <c r="D44" s="69" t="n">
        <f aca="false">TblMili[[#This Row],[Military]]</f>
        <v>115</v>
      </c>
      <c r="E44" s="69" t="n">
        <f aca="false">TblMili[[#This Row],[Draftees]]</f>
        <v>115</v>
      </c>
      <c r="F44" s="69" t="n">
        <f aca="false">TblPop[[#This Row],[Peasants]]+TblPop[[#This Row],[Military]]</f>
        <v>6849</v>
      </c>
      <c r="G44" s="130" t="n">
        <f aca="false">TblPop[[#This Row],[Military]]/TblPop[[#This Row],[Total]]</f>
        <v>0.0167907723755293</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115</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6915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6425</v>
      </c>
      <c r="W44" s="69" t="n">
        <f aca="false">MAX(-5%*TblPop[[#This Row],[Peasants]]-TblPop[[#This Row],[Draft Growth]],MIN(OFFSET(TblPop[[#This Row],[Net max]],1,0)-TblPop[[#This Row],[Peasants]]-TblPop[[#This Row],[Military]]-TblPop[[#This Row],[Draft Growth]],TblPop[[#This Row],[Modded Birth]]-TblPop[[#This Row],[Draft Growth]]))</f>
        <v>357</v>
      </c>
      <c r="X44" s="69" t="n">
        <f aca="false">ROUND(TblPop[[#This Row],[Raw Birth]]*(1+TblPop[[#This Row],[Growth]]),0)</f>
        <v>424</v>
      </c>
      <c r="Y44" s="69" t="n">
        <f aca="false">(TblPop[[#This Row],[Peasants]]-TblPop[[#This Row],[Draft Growth]])*raw_pop_growth</f>
        <v>200.01</v>
      </c>
      <c r="Z44" s="69" t="n">
        <f aca="false">IF(TblPop[[#This Row],[Military%]]&lt;TblMili[[#This Row],[Draftrate]],ROUND(TblPop[[#This Row],[Peasants]]*Constants!$B$55,0), 0)</f>
        <v>67</v>
      </c>
      <c r="AA44" s="132"/>
      <c r="AB44" s="109" t="n">
        <f aca="false">Overview!$I$16 + IF(Magic!AE44&gt;0,Constants!$F$78) + ROUND(6*(Construction!BM45+Construction!CK44)/IF(Explore!S45&gt;0,Construction!F45-20,Construction!F45),4) + tech_6_5_2*Techs!BJ44 + tech_8_4*Techs!BT44</f>
        <v>1.1184</v>
      </c>
      <c r="AC44" s="130" t="n">
        <f aca="false">(Overview!$I$15 + Imps!Z44+ tech_2_5*Techs!AB44 + tech_3_6*Techs!AM44 + tech_6_1*Techs!BJ44 + tech_6_5*Techs!BF44 + tech_7_3_2*Techs!BN44) * (1 + Production!P44/100*prestige_pop_multiplier) + Production!P44/100*prestige_pop_multiplier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7091</v>
      </c>
      <c r="D45" s="69" t="n">
        <f aca="false">TblMili[[#This Row],[Military]]</f>
        <v>110</v>
      </c>
      <c r="E45" s="69" t="n">
        <f aca="false">TblMili[[#This Row],[Draftees]]</f>
        <v>110</v>
      </c>
      <c r="F45" s="69" t="n">
        <f aca="false">TblPop[[#This Row],[Peasants]]+TblPop[[#This Row],[Military]]</f>
        <v>7201</v>
      </c>
      <c r="G45" s="130" t="n">
        <f aca="false">TblPop[[#This Row],[Military]]/TblPop[[#This Row],[Total]]</f>
        <v>0.0152756561588668</v>
      </c>
      <c r="H45" s="95" t="n">
        <f aca="false">MIN(TblPop[[#This Row],[Peasants]],TblPop[[#This Row],[Jobs]])</f>
        <v>7091</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110</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7846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7290</v>
      </c>
      <c r="W45" s="69" t="n">
        <f aca="false">MAX(-5%*TblPop[[#This Row],[Peasants]]-TblPop[[#This Row],[Draft Growth]],MIN(OFFSET(TblPop[[#This Row],[Net max]],1,0)-TblPop[[#This Row],[Peasants]]-TblPop[[#This Row],[Military]]-TblPop[[#This Row],[Draft Growth]],TblPop[[#This Row],[Modded Birth]]-TblPop[[#This Row],[Draft Growth]]))</f>
        <v>372</v>
      </c>
      <c r="X45" s="69" t="n">
        <f aca="false">ROUND(TblPop[[#This Row],[Raw Birth]]*(1+TblPop[[#This Row],[Growth]]),0)</f>
        <v>443</v>
      </c>
      <c r="Y45" s="69" t="n">
        <f aca="false">(TblPop[[#This Row],[Peasants]]-TblPop[[#This Row],[Draft Growth]])*raw_pop_growth</f>
        <v>210.6</v>
      </c>
      <c r="Z45" s="69" t="n">
        <f aca="false">IF(TblPop[[#This Row],[Military%]]&lt;TblMili[[#This Row],[Draftrate]],ROUND(TblPop[[#This Row],[Peasants]]*Constants!$B$55,0), 0)</f>
        <v>71</v>
      </c>
      <c r="AA45" s="132"/>
      <c r="AB45" s="109" t="n">
        <f aca="false">Overview!$I$16 + IF(Magic!AE45&gt;0,Constants!$F$78) + ROUND(6*(Construction!BM46+Construction!CK45)/IF(Explore!S46&gt;0,Construction!F46-20,Construction!F46),4) + tech_6_5_2*Techs!BJ45 + tech_8_4*Techs!BT45</f>
        <v>1.1052</v>
      </c>
      <c r="AC45" s="130" t="n">
        <f aca="false">(Overview!$I$15 + Imps!Z45+ tech_2_5*Techs!AB45 + tech_3_6*Techs!AM45 + tech_6_1*Techs!BJ45 + tech_6_5*Techs!BF45 + tech_7_3_2*Techs!BN45) * (1 + Production!P45/100*prestige_pop_multiplier) + Production!P45/100*prestige_pop_multiplier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7463</v>
      </c>
      <c r="D46" s="69" t="n">
        <f aca="false">TblMili[[#This Row],[Military]]</f>
        <v>133</v>
      </c>
      <c r="E46" s="69" t="n">
        <f aca="false">TblMili[[#This Row],[Draftees]]</f>
        <v>133</v>
      </c>
      <c r="F46" s="69" t="n">
        <f aca="false">TblPop[[#This Row],[Peasants]]+TblPop[[#This Row],[Military]]</f>
        <v>7596</v>
      </c>
      <c r="G46" s="130" t="n">
        <f aca="false">TblPop[[#This Row],[Military]]/TblPop[[#This Row],[Total]]</f>
        <v>0.017509215376514</v>
      </c>
      <c r="H46" s="95" t="n">
        <f aca="false">MIN(TblPop[[#This Row],[Peasants]],TblPop[[#This Row],[Jobs]])</f>
        <v>7463</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133</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7997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7430</v>
      </c>
      <c r="W46" s="69" t="n">
        <f aca="false">MAX(-5%*TblPop[[#This Row],[Peasants]]-TblPop[[#This Row],[Draft Growth]],MIN(OFFSET(TblPop[[#This Row],[Net max]],1,0)-TblPop[[#This Row],[Peasants]]-TblPop[[#This Row],[Military]]-TblPop[[#This Row],[Draft Growth]],TblPop[[#This Row],[Modded Birth]]-TblPop[[#This Row],[Draft Growth]]))</f>
        <v>389</v>
      </c>
      <c r="X46" s="69" t="n">
        <f aca="false">ROUND(TblPop[[#This Row],[Raw Birth]]*(1+TblPop[[#This Row],[Growth]]),0)</f>
        <v>464</v>
      </c>
      <c r="Y46" s="69" t="n">
        <f aca="false">(TblPop[[#This Row],[Peasants]]-TblPop[[#This Row],[Draft Growth]])*raw_pop_growth</f>
        <v>221.64</v>
      </c>
      <c r="Z46" s="69" t="n">
        <f aca="false">IF(TblPop[[#This Row],[Military%]]&lt;TblMili[[#This Row],[Draftrate]],ROUND(TblPop[[#This Row],[Peasants]]*Constants!$B$55,0), 0)</f>
        <v>75</v>
      </c>
      <c r="AA46" s="132"/>
      <c r="AB46" s="109" t="n">
        <f aca="false">Overview!$I$16 + IF(Magic!AE46&gt;0,Constants!$F$78) + ROUND(6*(Construction!BM47+Construction!CK46)/IF(Explore!S47&gt;0,Construction!F47-20,Construction!F47),4) + tech_6_5_2*Techs!BJ46 + tech_8_4*Techs!BT46</f>
        <v>1.0924</v>
      </c>
      <c r="AC46" s="130" t="n">
        <f aca="false">(Overview!$I$15 + Imps!Z46+ tech_2_5*Techs!AB46 + tech_3_6*Techs!AM46 + tech_6_1*Techs!BJ46 + tech_6_5*Techs!BF46 + tech_7_3_2*Techs!BN46) * (1 + Production!P46/100*prestige_pop_multiplier) + Production!P46/100*prestige_pop_multiplier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7852</v>
      </c>
      <c r="D47" s="69" t="n">
        <f aca="false">TblMili[[#This Row],[Military]]</f>
        <v>208</v>
      </c>
      <c r="E47" s="69" t="n">
        <f aca="false">TblMili[[#This Row],[Draftees]]</f>
        <v>208</v>
      </c>
      <c r="F47" s="69" t="n">
        <f aca="false">TblPop[[#This Row],[Peasants]]+TblPop[[#This Row],[Military]]</f>
        <v>8060</v>
      </c>
      <c r="G47" s="130" t="n">
        <f aca="false">TblPop[[#This Row],[Military]]/TblPop[[#This Row],[Total]]</f>
        <v>0.0258064516129032</v>
      </c>
      <c r="H47" s="95" t="n">
        <f aca="false">MIN(TblPop[[#This Row],[Peasants]],TblPop[[#This Row],[Jobs]])</f>
        <v>7852</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208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8158</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7580</v>
      </c>
      <c r="W47" s="69" t="n">
        <f aca="false">MAX(-5%*TblPop[[#This Row],[Peasants]]-TblPop[[#This Row],[Draft Growth]],MIN(OFFSET(TblPop[[#This Row],[Net max]],1,0)-TblPop[[#This Row],[Peasants]]-TblPop[[#This Row],[Military]]-TblPop[[#This Row],[Draft Growth]],TblPop[[#This Row],[Modded Birth]]-TblPop[[#This Row],[Draft Growth]]))</f>
        <v>180</v>
      </c>
      <c r="X47" s="69" t="n">
        <f aca="false">ROUND(TblPop[[#This Row],[Raw Birth]]*(1+TblPop[[#This Row],[Growth]]),0)</f>
        <v>485</v>
      </c>
      <c r="Y47" s="69" t="n">
        <f aca="false">(TblPop[[#This Row],[Peasants]]-TblPop[[#This Row],[Draft Growth]])*raw_pop_growth</f>
        <v>233.19</v>
      </c>
      <c r="Z47" s="69" t="n">
        <f aca="false">IF(TblPop[[#This Row],[Military%]]&lt;TblMili[[#This Row],[Draftrate]],ROUND(TblPop[[#This Row],[Peasants]]*Constants!$B$55,0), 0)</f>
        <v>79</v>
      </c>
      <c r="AA47" s="132"/>
      <c r="AB47" s="109" t="n">
        <f aca="false">Overview!$I$16 + IF(Magic!AE47&gt;0,Constants!$F$78) + ROUND(6*(Construction!BM48+Construction!CK47)/IF(Explore!S48&gt;0,Construction!F48-20,Construction!F48),4) + tech_6_5_2*Techs!BJ47 + tech_8_4*Techs!BT47</f>
        <v>1.0802</v>
      </c>
      <c r="AC47" s="130" t="n">
        <f aca="false">(Overview!$I$15 + Imps!Z47+ tech_2_5*Techs!AB47 + tech_3_6*Techs!AM47 + tech_6_1*Techs!BJ47 + tech_6_5*Techs!BF47 + tech_7_3_2*Techs!BN47) * (1 + Production!P47/100*prestige_pop_multiplier) + Production!P47/100*prestige_pop_multiplier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8032</v>
      </c>
      <c r="D48" s="69" t="n">
        <f aca="false">TblMili[[#This Row],[Military]]</f>
        <v>287</v>
      </c>
      <c r="E48" s="69" t="n">
        <f aca="false">TblMili[[#This Row],[Draftees]]</f>
        <v>287</v>
      </c>
      <c r="F48" s="69" t="n">
        <f aca="false">TblPop[[#This Row],[Peasants]]+TblPop[[#This Row],[Military]]</f>
        <v>8319</v>
      </c>
      <c r="G48" s="130" t="n">
        <f aca="false">TblPop[[#This Row],[Military]]/TblPop[[#This Row],[Total]]</f>
        <v>0.0344993388628441</v>
      </c>
      <c r="H48" s="95" t="n">
        <f aca="false">MIN(TblPop[[#This Row],[Peasants]],TblPop[[#This Row],[Jobs]])</f>
        <v>8032</v>
      </c>
      <c r="I48" s="130" t="n">
        <f aca="false">MIN(OFFSET(TblPop[[#This Row],[Jobs]],1,0)/TblPop[[#This Row],[Peasants]],1)</f>
        <v>1</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287</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8319</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7730</v>
      </c>
      <c r="W48" s="69" t="n">
        <f aca="false">MAX(-5%*TblPop[[#This Row],[Peasants]]-TblPop[[#This Row],[Draft Growth]],MIN(OFFSET(TblPop[[#This Row],[Net max]],1,0)-TblPop[[#This Row],[Peasants]]-TblPop[[#This Row],[Military]]-TblPop[[#This Row],[Draft Growth]],TblPop[[#This Row],[Modded Birth]]-TblPop[[#This Row],[Draft Growth]]))</f>
        <v>87</v>
      </c>
      <c r="X48" s="69" t="n">
        <f aca="false">ROUND(TblPop[[#This Row],[Raw Birth]]*(1+TblPop[[#This Row],[Growth]]),0)</f>
        <v>493</v>
      </c>
      <c r="Y48" s="69" t="n">
        <f aca="false">(TblPop[[#This Row],[Peasants]]-TblPop[[#This Row],[Draft Growth]])*raw_pop_growth</f>
        <v>238.56</v>
      </c>
      <c r="Z48" s="69" t="n">
        <f aca="false">IF(TblPop[[#This Row],[Military%]]&lt;TblMili[[#This Row],[Draftrate]],ROUND(TblPop[[#This Row],[Peasants]]*Constants!$B$55,0), 0)</f>
        <v>80</v>
      </c>
      <c r="AA48" s="132"/>
      <c r="AB48" s="109" t="n">
        <f aca="false">Overview!$I$16 + IF(Magic!AE48&gt;0,Constants!$F$78) + ROUND(6*(Construction!BM49+Construction!CK48)/IF(Explore!S49&gt;0,Construction!F49-20,Construction!F49),4) + tech_6_5_2*Techs!BJ48 + tech_8_4*Techs!BT48</f>
        <v>1.0674</v>
      </c>
      <c r="AC48" s="130" t="n">
        <f aca="false">(Overview!$I$15 + Imps!Z48+ tech_2_5*Techs!AB48 + tech_3_6*Techs!AM48 + tech_6_1*Techs!BJ48 + tech_6_5*Techs!BF48 + tech_7_3_2*Techs!BN48) * (1 + Production!P48/100*prestige_pop_multiplier) + Production!P48/100*prestige_pop_multiplier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8119</v>
      </c>
      <c r="D49" s="69" t="n">
        <f aca="false">TblMili[[#This Row],[Military]]</f>
        <v>367</v>
      </c>
      <c r="E49" s="69" t="n">
        <f aca="false">TblMili[[#This Row],[Draftees]]</f>
        <v>367</v>
      </c>
      <c r="F49" s="69" t="n">
        <f aca="false">TblPop[[#This Row],[Peasants]]+TblPop[[#This Row],[Military]]</f>
        <v>8486</v>
      </c>
      <c r="G49" s="130" t="n">
        <f aca="false">TblPop[[#This Row],[Military]]/TblPop[[#This Row],[Total]]</f>
        <v>0.0432477020975725</v>
      </c>
      <c r="H49" s="95" t="n">
        <f aca="false">MIN(TblPop[[#This Row],[Peasants]],TblPop[[#This Row],[Jobs]])</f>
        <v>8119</v>
      </c>
      <c r="I49" s="130" t="n">
        <f aca="false">MIN(OFFSET(TblPop[[#This Row],[Jobs]],1,0)/TblPop[[#This Row],[Peasants]],1)</f>
        <v>1</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367</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8486</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7885</v>
      </c>
      <c r="W49" s="69" t="n">
        <f aca="false">MAX(-5%*TblPop[[#This Row],[Peasants]]-TblPop[[#This Row],[Draft Growth]],MIN(OFFSET(TblPop[[#This Row],[Net max]],1,0)-TblPop[[#This Row],[Peasants]]-TblPop[[#This Row],[Military]]-TblPop[[#This Row],[Draft Growth]],TblPop[[#This Row],[Modded Birth]]-TblPop[[#This Row],[Draft Growth]]))</f>
        <v>102</v>
      </c>
      <c r="X49" s="69" t="n">
        <f aca="false">ROUND(TblPop[[#This Row],[Raw Birth]]*(1+TblPop[[#This Row],[Growth]]),0)</f>
        <v>495</v>
      </c>
      <c r="Y49" s="69" t="n">
        <f aca="false">(TblPop[[#This Row],[Peasants]]-TblPop[[#This Row],[Draft Growth]])*raw_pop_growth</f>
        <v>241.14</v>
      </c>
      <c r="Z49" s="69" t="n">
        <f aca="false">IF(TblPop[[#This Row],[Military%]]&lt;TblMili[[#This Row],[Draftrate]],ROUND(TblPop[[#This Row],[Peasants]]*Constants!$B$55,0), 0)</f>
        <v>81</v>
      </c>
      <c r="AA49" s="132"/>
      <c r="AB49" s="109" t="n">
        <f aca="false">Overview!$I$16 + IF(Magic!AE49&gt;0,Constants!$F$78) + ROUND(6*(Construction!BM50+Construction!CK49)/IF(Explore!S50&gt;0,Construction!F50-20,Construction!F50),4) + tech_6_5_2*Techs!BJ49 + tech_8_4*Techs!BT49</f>
        <v>1.054</v>
      </c>
      <c r="AC49" s="130" t="n">
        <f aca="false">(Overview!$I$15 + Imps!Z49+ tech_2_5*Techs!AB49 + tech_3_6*Techs!AM49 + tech_6_1*Techs!BJ49 + tech_6_5*Techs!BF49 + tech_7_3_2*Techs!BN49) * (1 + Production!P49/100*prestige_pop_multiplier) + Production!P49/100*prestige_pop_multiplier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8221</v>
      </c>
      <c r="D50" s="69" t="n">
        <f aca="false">TblMili[[#This Row],[Military]]</f>
        <v>448</v>
      </c>
      <c r="E50" s="69" t="n">
        <f aca="false">TblMili[[#This Row],[Draftees]]</f>
        <v>448</v>
      </c>
      <c r="F50" s="69" t="n">
        <f aca="false">TblPop[[#This Row],[Peasants]]+TblPop[[#This Row],[Military]]</f>
        <v>8669</v>
      </c>
      <c r="G50" s="130" t="n">
        <f aca="false">TblPop[[#This Row],[Military]]/TblPop[[#This Row],[Total]]</f>
        <v>0.0516783942784635</v>
      </c>
      <c r="H50" s="95" t="n">
        <f aca="false">MIN(TblPop[[#This Row],[Peasants]],TblPop[[#This Row],[Jobs]])</f>
        <v>8221</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448</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8669</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8055</v>
      </c>
      <c r="W50" s="69" t="n">
        <f aca="false">MAX(-5%*TblPop[[#This Row],[Peasants]]-TblPop[[#This Row],[Draft Growth]],MIN(OFFSET(TblPop[[#This Row],[Net max]],1,0)-TblPop[[#This Row],[Peasants]]-TblPop[[#This Row],[Military]]-TblPop[[#This Row],[Draft Growth]],TblPop[[#This Row],[Modded Birth]]-TblPop[[#This Row],[Draft Growth]]))</f>
        <v>117</v>
      </c>
      <c r="X50" s="69" t="n">
        <f aca="false">ROUND(TblPop[[#This Row],[Raw Birth]]*(1+TblPop[[#This Row],[Growth]]),0)</f>
        <v>498</v>
      </c>
      <c r="Y50" s="69" t="n">
        <f aca="false">(TblPop[[#This Row],[Peasants]]-TblPop[[#This Row],[Draft Growth]])*raw_pop_growth</f>
        <v>244.17</v>
      </c>
      <c r="Z50" s="69" t="n">
        <f aca="false">IF(TblPop[[#This Row],[Military%]]&lt;TblMili[[#This Row],[Draftrate]],ROUND(TblPop[[#This Row],[Peasants]]*Constants!$B$55,0), 0)</f>
        <v>82</v>
      </c>
      <c r="AA50" s="132"/>
      <c r="AB50" s="109" t="n">
        <f aca="false">Overview!$I$16 + IF(Magic!AE50&gt;0,Constants!$F$78) + ROUND(6*(Construction!BM51+Construction!CK50)/IF(Explore!S51&gt;0,Construction!F51-20,Construction!F51),4) + tech_6_5_2*Techs!BJ50 + tech_8_4*Techs!BT50</f>
        <v>1.0402</v>
      </c>
      <c r="AC50" s="130" t="n">
        <f aca="false">(Overview!$I$15 + Imps!Z50+ tech_2_5*Techs!AB50 + tech_3_6*Techs!AM50 + tech_6_1*Techs!BJ50 + tech_6_5*Techs!BF50 + tech_7_3_2*Techs!BN50) * (1 + Production!P50/100*prestige_pop_multiplier) + Production!P50/100*prestige_pop_multiplier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8338</v>
      </c>
      <c r="D51" s="69" t="n">
        <f aca="false">TblMili[[#This Row],[Military]]</f>
        <v>530</v>
      </c>
      <c r="E51" s="69" t="n">
        <f aca="false">TblMili[[#This Row],[Draftees]]</f>
        <v>530</v>
      </c>
      <c r="F51" s="69" t="n">
        <f aca="false">TblPop[[#This Row],[Peasants]]+TblPop[[#This Row],[Military]]</f>
        <v>8868</v>
      </c>
      <c r="G51" s="130" t="n">
        <f aca="false">TblPop[[#This Row],[Military]]/TblPop[[#This Row],[Total]]</f>
        <v>0.059765448804691</v>
      </c>
      <c r="H51" s="95" t="n">
        <f aca="false">MIN(TblPop[[#This Row],[Peasants]],TblPop[[#This Row],[Jobs]])</f>
        <v>8338</v>
      </c>
      <c r="I51" s="130" t="n">
        <f aca="false">MIN(OFFSET(TblPop[[#This Row],[Jobs]],1,0)/TblPop[[#This Row],[Peasants]],1)</f>
        <v>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530</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8868</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8240</v>
      </c>
      <c r="W51" s="69" t="n">
        <f aca="false">MAX(-5%*TblPop[[#This Row],[Peasants]]-TblPop[[#This Row],[Draft Growth]],MIN(OFFSET(TblPop[[#This Row],[Net max]],1,0)-TblPop[[#This Row],[Peasants]]-TblPop[[#This Row],[Military]]-TblPop[[#This Row],[Draft Growth]],TblPop[[#This Row],[Modded Birth]]-TblPop[[#This Row],[Draft Growth]]))</f>
        <v>414</v>
      </c>
      <c r="X51" s="69" t="n">
        <f aca="false">ROUND(TblPop[[#This Row],[Raw Birth]]*(1+TblPop[[#This Row],[Growth]]),0)</f>
        <v>497</v>
      </c>
      <c r="Y51" s="69" t="n">
        <f aca="false">(TblPop[[#This Row],[Peasants]]-TblPop[[#This Row],[Draft Growth]])*raw_pop_growth</f>
        <v>247.65</v>
      </c>
      <c r="Z51" s="69" t="n">
        <f aca="false">IF(TblPop[[#This Row],[Military%]]&lt;TblMili[[#This Row],[Draftrate]],ROUND(TblPop[[#This Row],[Peasants]]*Constants!$B$55,0), 0)</f>
        <v>83</v>
      </c>
      <c r="AA51" s="132"/>
      <c r="AB51" s="109" t="n">
        <f aca="false">Overview!$I$16 + IF(Magic!AE51&gt;0,Constants!$F$78) + ROUND(6*(Construction!BM52+Construction!CK51)/IF(Explore!S52&gt;0,Construction!F52-20,Construction!F52),4) + tech_6_5_2*Techs!BJ51 + tech_8_4*Techs!BT51</f>
        <v>1.0081</v>
      </c>
      <c r="AC51" s="130" t="n">
        <f aca="false">(Overview!$I$15 + Imps!Z51+ tech_2_5*Techs!AB51 + tech_3_6*Techs!AM51 + tech_6_1*Techs!BJ51 + tech_6_5*Techs!BF51 + tech_7_3_2*Techs!BN51) * (1 + Production!P51/100*prestige_pop_multiplier) + Production!P51/100*prestige_pop_multiplier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8752</v>
      </c>
      <c r="D52" s="69" t="n">
        <f aca="false">TblMili[[#This Row],[Military]]</f>
        <v>613</v>
      </c>
      <c r="E52" s="69" t="n">
        <f aca="false">TblMili[[#This Row],[Draftees]]</f>
        <v>613</v>
      </c>
      <c r="F52" s="69" t="n">
        <f aca="false">TblPop[[#This Row],[Peasants]]+TblPop[[#This Row],[Military]]</f>
        <v>9365</v>
      </c>
      <c r="G52" s="130" t="n">
        <f aca="false">TblPop[[#This Row],[Military]]/TblPop[[#This Row],[Total]]</f>
        <v>0.0654564869193807</v>
      </c>
      <c r="H52" s="95" t="n">
        <f aca="false">MIN(TblPop[[#This Row],[Peasants]],TblPop[[#This Row],[Jobs]])</f>
        <v>8715</v>
      </c>
      <c r="I52" s="130" t="n">
        <f aca="false">MIN(OFFSET(TblPop[[#This Row],[Jobs]],1,0)/TblPop[[#This Row],[Peasants]],1)</f>
        <v>0.99577239488117</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613</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9401</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8735</v>
      </c>
      <c r="W52" s="69" t="n">
        <f aca="false">MAX(-5%*TblPop[[#This Row],[Peasants]]-TblPop[[#This Row],[Draft Growth]],MIN(OFFSET(TblPop[[#This Row],[Net max]],1,0)-TblPop[[#This Row],[Peasants]]-TblPop[[#This Row],[Military]]-TblPop[[#This Row],[Draft Growth]],TblPop[[#This Row],[Modded Birth]]-TblPop[[#This Row],[Draft Growth]]))</f>
        <v>427</v>
      </c>
      <c r="X52" s="69" t="n">
        <f aca="false">ROUND(TblPop[[#This Row],[Raw Birth]]*(1+TblPop[[#This Row],[Growth]]),0)</f>
        <v>515</v>
      </c>
      <c r="Y52" s="69" t="n">
        <f aca="false">(TblPop[[#This Row],[Peasants]]-TblPop[[#This Row],[Draft Growth]])*raw_pop_growth</f>
        <v>259.92</v>
      </c>
      <c r="Z52" s="69" t="n">
        <f aca="false">IF(TblPop[[#This Row],[Military%]]&lt;TblMili[[#This Row],[Draftrate]],ROUND(TblPop[[#This Row],[Peasants]]*Constants!$B$55,0), 0)</f>
        <v>88</v>
      </c>
      <c r="AA52" s="132"/>
      <c r="AB52" s="109" t="n">
        <f aca="false">Overview!$I$16 + IF(Magic!AE52&gt;0,Constants!$F$78) + ROUND(6*(Construction!BM53+Construction!CK52)/IF(Explore!S53&gt;0,Construction!F53-20,Construction!F53),4) + tech_6_5_2*Techs!BJ52 + tech_8_4*Techs!BT52</f>
        <v>0.9796</v>
      </c>
      <c r="AC52" s="130" t="n">
        <f aca="false">(Overview!$I$15 + Imps!Z52+ tech_2_5*Techs!AB52 + tech_3_6*Techs!AM52 + tech_6_1*Techs!BJ52 + tech_6_5*Techs!BF52 + tech_7_3_2*Techs!BN52) * (1 + Production!P52/100*prestige_pop_multiplier) + Production!P52/100*prestige_pop_multiplier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9179</v>
      </c>
      <c r="D53" s="69" t="n">
        <f aca="false">TblMili[[#This Row],[Military]]</f>
        <v>701</v>
      </c>
      <c r="E53" s="69" t="n">
        <f aca="false">TblMili[[#This Row],[Draftees]]</f>
        <v>701</v>
      </c>
      <c r="F53" s="69" t="n">
        <f aca="false">TblPop[[#This Row],[Peasants]]+TblPop[[#This Row],[Military]]</f>
        <v>9880</v>
      </c>
      <c r="G53" s="130" t="n">
        <f aca="false">TblPop[[#This Row],[Military]]/TblPop[[#This Row],[Total]]</f>
        <v>0.0709514170040486</v>
      </c>
      <c r="H53" s="95" t="n">
        <f aca="false">MIN(TblPop[[#This Row],[Peasants]],TblPop[[#This Row],[Jobs]])</f>
        <v>8715</v>
      </c>
      <c r="I53" s="130" t="n">
        <f aca="false">MIN(OFFSET(TblPop[[#This Row],[Jobs]],1,0)/TblPop[[#This Row],[Peasants]],1)</f>
        <v>0.949449831136289</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701</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9934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9230</v>
      </c>
      <c r="W53" s="69" t="n">
        <f aca="false">MAX(-5%*TblPop[[#This Row],[Peasants]]-TblPop[[#This Row],[Draft Growth]],MIN(OFFSET(TblPop[[#This Row],[Net max]],1,0)-TblPop[[#This Row],[Peasants]]-TblPop[[#This Row],[Military]]-TblPop[[#This Row],[Draft Growth]],TblPop[[#This Row],[Modded Birth]]-TblPop[[#This Row],[Draft Growth]]))</f>
        <v>177</v>
      </c>
      <c r="X53" s="69" t="n">
        <f aca="false">ROUND(TblPop[[#This Row],[Raw Birth]]*(1+TblPop[[#This Row],[Growth]]),0)</f>
        <v>400</v>
      </c>
      <c r="Y53" s="69" t="n">
        <f aca="false">(TblPop[[#This Row],[Peasants]]-TblPop[[#This Row],[Draft Growth]])*raw_pop_growth</f>
        <v>272.61</v>
      </c>
      <c r="Z53" s="69" t="n">
        <f aca="false">IF(TblPop[[#This Row],[Military%]]&lt;TblMili[[#This Row],[Draftrate]],ROUND(TblPop[[#This Row],[Peasants]]*Constants!$B$55,0), 0)</f>
        <v>92</v>
      </c>
      <c r="AA53" s="132"/>
      <c r="AB53" s="109" t="n">
        <f aca="false">Overview!$I$16 + IF(Magic!AE53&gt;0,Constants!$F$78) + ROUND(6*(Construction!BM54+Construction!CK53)/IF(Explore!S54&gt;0,Construction!F54-20,Construction!F54),4) + tech_6_5_2*Techs!BJ53 + tech_8_4*Techs!BT53</f>
        <v>0.4684</v>
      </c>
      <c r="AC53" s="130" t="n">
        <f aca="false">(Overview!$I$15 + Imps!Z53+ tech_2_5*Techs!AB53 + tech_3_6*Techs!AM53 + tech_6_1*Techs!BJ53 + tech_6_5*Techs!BF53 + tech_7_3_2*Techs!BN53) * (1 + Production!P53/100*prestige_pop_multiplier) + Production!P53/100*prestige_pop_multiplier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9356</v>
      </c>
      <c r="D54" s="69" t="n">
        <f aca="false">TblMili[[#This Row],[Military]]</f>
        <v>793</v>
      </c>
      <c r="E54" s="69" t="n">
        <f aca="false">TblMili[[#This Row],[Draftees]]</f>
        <v>793</v>
      </c>
      <c r="F54" s="69" t="n">
        <f aca="false">TblPop[[#This Row],[Peasants]]+TblPop[[#This Row],[Military]]</f>
        <v>10149</v>
      </c>
      <c r="G54" s="130" t="n">
        <f aca="false">TblPop[[#This Row],[Military]]/TblPop[[#This Row],[Total]]</f>
        <v>0.0781357769238349</v>
      </c>
      <c r="H54" s="95" t="n">
        <f aca="false">MIN(TblPop[[#This Row],[Peasants]],TblPop[[#This Row],[Jobs]])</f>
        <v>8715</v>
      </c>
      <c r="I54" s="130" t="n">
        <f aca="false">MIN(OFFSET(TblPop[[#This Row],[Jobs]],1,0)/TblPop[[#This Row],[Peasants]],1)</f>
        <v>0.931487815305686</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793</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10149</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9430</v>
      </c>
      <c r="W54" s="69" t="n">
        <f aca="false">MAX(-5%*TblPop[[#This Row],[Peasants]]-TblPop[[#This Row],[Draft Growth]],MIN(OFFSET(TblPop[[#This Row],[Net max]],1,0)-TblPop[[#This Row],[Peasants]]-TblPop[[#This Row],[Military]]-TblPop[[#This Row],[Draft Growth]],TblPop[[#This Row],[Modded Birth]]-TblPop[[#This Row],[Draft Growth]]))</f>
        <v>127</v>
      </c>
      <c r="X54" s="69" t="n">
        <f aca="false">ROUND(TblPop[[#This Row],[Raw Birth]]*(1+TblPop[[#This Row],[Growth]]),0)</f>
        <v>405</v>
      </c>
      <c r="Y54" s="69" t="n">
        <f aca="false">(TblPop[[#This Row],[Peasants]]-TblPop[[#This Row],[Draft Growth]])*raw_pop_growth</f>
        <v>277.86</v>
      </c>
      <c r="Z54" s="69" t="n">
        <f aca="false">IF(TblPop[[#This Row],[Military%]]&lt;TblMili[[#This Row],[Draftrate]],ROUND(TblPop[[#This Row],[Peasants]]*Constants!$B$55,0), 0)</f>
        <v>94</v>
      </c>
      <c r="AA54" s="132"/>
      <c r="AB54" s="109" t="n">
        <f aca="false">Overview!$I$16 + IF(Magic!AE54&gt;0,Constants!$F$78) + ROUND(6*(Construction!BM55+Construction!CK54)/IF(Explore!S55&gt;0,Construction!F55-20,Construction!F55),4) + tech_6_5_2*Techs!BJ54 + tech_8_4*Techs!BT54</f>
        <v>0.4585</v>
      </c>
      <c r="AC54" s="130" t="n">
        <f aca="false">(Overview!$I$15 + Imps!Z54+ tech_2_5*Techs!AB54 + tech_3_6*Techs!AM54 + tech_6_1*Techs!BJ54 + tech_6_5*Techs!BF54 + tech_7_3_2*Techs!BN54) * (1 + Production!P54/100*prestige_pop_multiplier) + Production!P54/100*prestige_pop_multiplier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9483</v>
      </c>
      <c r="D55" s="69" t="n">
        <f aca="false">TblMili[[#This Row],[Military]]</f>
        <v>887</v>
      </c>
      <c r="E55" s="69" t="n">
        <f aca="false">TblMili[[#This Row],[Draftees]]</f>
        <v>887</v>
      </c>
      <c r="F55" s="69" t="n">
        <f aca="false">TblPop[[#This Row],[Peasants]]+TblPop[[#This Row],[Military]]</f>
        <v>10370</v>
      </c>
      <c r="G55" s="130" t="n">
        <f aca="false">TblPop[[#This Row],[Military]]/TblPop[[#This Row],[Total]]</f>
        <v>0.0855351976856316</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887</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10370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9635</v>
      </c>
      <c r="W55" s="69" t="n">
        <f aca="false">MAX(-5%*TblPop[[#This Row],[Peasants]]-TblPop[[#This Row],[Draft Growth]],MIN(OFFSET(TblPop[[#This Row],[Net max]],1,0)-TblPop[[#This Row],[Peasants]]-TblPop[[#This Row],[Military]]-TblPop[[#This Row],[Draft Growth]],TblPop[[#This Row],[Modded Birth]]-TblPop[[#This Row],[Draft Growth]]))</f>
        <v>104</v>
      </c>
      <c r="X55" s="69" t="n">
        <f aca="false">ROUND(TblPop[[#This Row],[Raw Birth]]*(1+TblPop[[#This Row],[Growth]]),0)</f>
        <v>409</v>
      </c>
      <c r="Y55" s="69" t="n">
        <f aca="false">(TblPop[[#This Row],[Peasants]]-TblPop[[#This Row],[Draft Growth]])*raw_pop_growth</f>
        <v>281.64</v>
      </c>
      <c r="Z55" s="69" t="n">
        <f aca="false">IF(TblPop[[#This Row],[Military%]]&lt;TblMili[[#This Row],[Draftrate]],ROUND(TblPop[[#This Row],[Peasants]]*Constants!$B$55,0), 0)</f>
        <v>95</v>
      </c>
      <c r="AA55" s="132"/>
      <c r="AB55" s="109" t="n">
        <f aca="false">Overview!$I$16 + IF(Magic!AE55&gt;0,Constants!$F$78) + ROUND(6*(Construction!BM56+Construction!CK55)/IF(Explore!S56&gt;0,Construction!F56-20,Construction!F56),4) + tech_6_5_2*Techs!BJ55 + tech_8_4*Techs!BT55</f>
        <v>0.4505</v>
      </c>
      <c r="AC55" s="130" t="n">
        <f aca="false">(Overview!$I$15 + Imps!Z55+ tech_2_5*Techs!AB55 + tech_3_6*Techs!AM55 + tech_6_1*Techs!BJ55 + tech_6_5*Techs!BF55 + tech_7_3_2*Techs!BN55) * (1 + Production!P55/100*prestige_pop_multiplier) + Production!P55/100*prestige_pop_multiplier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9587</v>
      </c>
      <c r="D56" s="69" t="n">
        <f aca="false">TblMili[[#This Row],[Military]]</f>
        <v>982</v>
      </c>
      <c r="E56" s="69" t="n">
        <f aca="false">TblMili[[#This Row],[Draftees]]</f>
        <v>982</v>
      </c>
      <c r="F56" s="69" t="n">
        <f aca="false">TblPop[[#This Row],[Peasants]]+TblPop[[#This Row],[Military]]</f>
        <v>10569</v>
      </c>
      <c r="G56" s="130" t="n">
        <f aca="false">TblPop[[#This Row],[Military]]/TblPop[[#This Row],[Total]]</f>
        <v>0.0929132368246759</v>
      </c>
      <c r="H56" s="95" t="n">
        <f aca="false">MIN(TblPop[[#This Row],[Peasants]],TblPop[[#This Row],[Jobs]])</f>
        <v>9587</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982</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10569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9820</v>
      </c>
      <c r="W56" s="69" t="n">
        <f aca="false">MAX(-5%*TblPop[[#This Row],[Peasants]]-TblPop[[#This Row],[Draft Growth]],MIN(OFFSET(TblPop[[#This Row],[Net max]],1,0)-TblPop[[#This Row],[Peasants]]-TblPop[[#This Row],[Military]]-TblPop[[#This Row],[Draft Growth]],TblPop[[#This Row],[Modded Birth]]-TblPop[[#This Row],[Draft Growth]]))</f>
        <v>87</v>
      </c>
      <c r="X56" s="69" t="n">
        <f aca="false">ROUND(TblPop[[#This Row],[Raw Birth]]*(1+TblPop[[#This Row],[Growth]]),0)</f>
        <v>411</v>
      </c>
      <c r="Y56" s="69" t="n">
        <f aca="false">(TblPop[[#This Row],[Peasants]]-TblPop[[#This Row],[Draft Growth]])*raw_pop_growth</f>
        <v>284.73</v>
      </c>
      <c r="Z56" s="69" t="n">
        <f aca="false">IF(TblPop[[#This Row],[Military%]]&lt;TblMili[[#This Row],[Draftrate]],ROUND(TblPop[[#This Row],[Peasants]]*Constants!$B$55,0), 0)</f>
        <v>96</v>
      </c>
      <c r="AA56" s="132"/>
      <c r="AB56" s="109" t="n">
        <f aca="false">Overview!$I$16 + IF(Magic!AE56&gt;0,Constants!$F$78) + ROUND(6*(Construction!BM57+Construction!CK56)/IF(Explore!S57&gt;0,Construction!F57-20,Construction!F57),4) + tech_6_5_2*Techs!BJ56 + tech_8_4*Techs!BT56</f>
        <v>0.442</v>
      </c>
      <c r="AC56" s="130" t="n">
        <f aca="false">(Overview!$I$15 + Imps!Z56+ tech_2_5*Techs!AB56 + tech_3_6*Techs!AM56 + tech_6_1*Techs!BJ56 + tech_6_5*Techs!BF56 + tech_7_3_2*Techs!BN56) * (1 + Production!P56/100*prestige_pop_multiplier) + Production!P56/100*prestige_pop_multiplier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9674</v>
      </c>
      <c r="D57" s="69" t="n">
        <f aca="false">TblMili[[#This Row],[Military]]</f>
        <v>1078</v>
      </c>
      <c r="E57" s="69" t="n">
        <f aca="false">TblMili[[#This Row],[Draftees]]</f>
        <v>1078</v>
      </c>
      <c r="F57" s="69" t="n">
        <f aca="false">TblPop[[#This Row],[Peasants]]+TblPop[[#This Row],[Military]]</f>
        <v>10752</v>
      </c>
      <c r="G57" s="130" t="n">
        <f aca="false">TblPop[[#This Row],[Military]]/TblPop[[#This Row],[Total]]</f>
        <v>0.100260416666667</v>
      </c>
      <c r="H57" s="95" t="n">
        <f aca="false">MIN(TblPop[[#This Row],[Peasants]],TblPop[[#This Row],[Jobs]])</f>
        <v>9674</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1078</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10752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9990</v>
      </c>
      <c r="W57" s="69" t="n">
        <f aca="false">MAX(-5%*TblPop[[#This Row],[Peasants]]-TblPop[[#This Row],[Draft Growth]],MIN(OFFSET(TblPop[[#This Row],[Net max]],1,0)-TblPop[[#This Row],[Peasants]]-TblPop[[#This Row],[Military]]-TblPop[[#This Row],[Draft Growth]],TblPop[[#This Row],[Modded Birth]]-TblPop[[#This Row],[Draft Growth]]))</f>
        <v>75</v>
      </c>
      <c r="X57" s="69" t="n">
        <f aca="false">ROUND(TblPop[[#This Row],[Raw Birth]]*(1+TblPop[[#This Row],[Growth]]),0)</f>
        <v>413</v>
      </c>
      <c r="Y57" s="69" t="n">
        <f aca="false">(TblPop[[#This Row],[Peasants]]-TblPop[[#This Row],[Draft Growth]])*raw_pop_growth</f>
        <v>287.31</v>
      </c>
      <c r="Z57" s="69" t="n">
        <f aca="false">IF(TblPop[[#This Row],[Military%]]&lt;TblMili[[#This Row],[Draftrate]],ROUND(TblPop[[#This Row],[Peasants]]*Constants!$B$55,0), 0)</f>
        <v>97</v>
      </c>
      <c r="AA57" s="132"/>
      <c r="AB57" s="109" t="n">
        <f aca="false">Overview!$I$16 + IF(Magic!AE57&gt;0,Constants!$F$78) + ROUND(6*(Construction!BM58+Construction!CK57)/IF(Explore!S58&gt;0,Construction!F58-20,Construction!F58),4) + tech_6_5_2*Techs!BJ57 + tech_8_4*Techs!BT57</f>
        <v>0.4365</v>
      </c>
      <c r="AC57" s="130" t="n">
        <f aca="false">(Overview!$I$15 + Imps!Z57+ tech_2_5*Techs!AB57 + tech_3_6*Techs!AM57 + tech_6_1*Techs!BJ57 + tech_6_5*Techs!BF57 + tech_7_3_2*Techs!BN57) * (1 + Production!P57/100*prestige_pop_multiplier) + Production!P57/100*prestige_pop_multiplier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9749</v>
      </c>
      <c r="D58" s="69" t="n">
        <f aca="false">TblMili[[#This Row],[Military]]</f>
        <v>1175</v>
      </c>
      <c r="E58" s="69" t="n">
        <f aca="false">TblMili[[#This Row],[Draftees]]</f>
        <v>1175</v>
      </c>
      <c r="F58" s="69" t="n">
        <f aca="false">TblPop[[#This Row],[Peasants]]+TblPop[[#This Row],[Military]]</f>
        <v>10924</v>
      </c>
      <c r="G58" s="130" t="n">
        <f aca="false">TblPop[[#This Row],[Military]]/TblPop[[#This Row],[Total]]</f>
        <v>0.107561332845112</v>
      </c>
      <c r="H58" s="95" t="n">
        <f aca="false">MIN(TblPop[[#This Row],[Peasants]],TblPop[[#This Row],[Jobs]])</f>
        <v>9749</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1175</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10924</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10150</v>
      </c>
      <c r="W58" s="69" t="n">
        <f aca="false">MAX(-5%*TblPop[[#This Row],[Peasants]]-TblPop[[#This Row],[Draft Growth]],MIN(OFFSET(TblPop[[#This Row],[Net max]],1,0)-TblPop[[#This Row],[Peasants]]-TblPop[[#This Row],[Military]]-TblPop[[#This Row],[Draft Growth]],TblPop[[#This Row],[Modded Birth]]-TblPop[[#This Row],[Draft Growth]]))</f>
        <v>-11</v>
      </c>
      <c r="X58" s="69" t="n">
        <f aca="false">ROUND(TblPop[[#This Row],[Raw Birth]]*(1+TblPop[[#This Row],[Growth]]),0)</f>
        <v>416</v>
      </c>
      <c r="Y58" s="69" t="n">
        <f aca="false">(TblPop[[#This Row],[Peasants]]-TblPop[[#This Row],[Draft Growth]])*raw_pop_growth</f>
        <v>289.56</v>
      </c>
      <c r="Z58" s="69" t="n">
        <f aca="false">IF(TblPop[[#This Row],[Military%]]&lt;TblMili[[#This Row],[Draftrate]],ROUND(TblPop[[#This Row],[Peasants]]*Constants!$B$55,0), 0)</f>
        <v>97</v>
      </c>
      <c r="AA58" s="132"/>
      <c r="AB58" s="109" t="n">
        <f aca="false">Overview!$I$16 + IF(Magic!AE58&gt;0,Constants!$F$78) + ROUND(6*(Construction!BM59+Construction!CK58)/IF(Explore!S59&gt;0,Construction!F59-20,Construction!F59),4) + tech_6_5_2*Techs!BJ58 + tech_8_4*Techs!BT58</f>
        <v>0.4365</v>
      </c>
      <c r="AC58" s="130" t="n">
        <f aca="false">(Overview!$I$15 + Imps!Z58+ tech_2_5*Techs!AB58 + tech_3_6*Techs!AM58 + tech_6_1*Techs!BJ58 + tech_6_5*Techs!BF58 + tech_7_3_2*Techs!BN58) * (1 + Production!P58/100*prestige_pop_multiplier) + Production!P58/100*prestige_pop_multiplier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9738</v>
      </c>
      <c r="D59" s="69" t="n">
        <f aca="false">TblMili[[#This Row],[Military]]</f>
        <v>1272</v>
      </c>
      <c r="E59" s="69" t="n">
        <f aca="false">TblMili[[#This Row],[Draftees]]</f>
        <v>1272</v>
      </c>
      <c r="F59" s="69" t="n">
        <f aca="false">TblPop[[#This Row],[Peasants]]+TblPop[[#This Row],[Military]]</f>
        <v>11010</v>
      </c>
      <c r="G59" s="130" t="n">
        <f aca="false">TblPop[[#This Row],[Military]]/TblPop[[#This Row],[Total]]</f>
        <v>0.115531335149864</v>
      </c>
      <c r="H59" s="95" t="n">
        <f aca="false">MIN(TblPop[[#This Row],[Peasants]],TblPop[[#This Row],[Jobs]])</f>
        <v>9738</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1272</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11010</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59" s="69" t="n">
        <f aca="false">MAX(-5%*TblPop[[#This Row],[Peasants]]-TblPop[[#This Row],[Draft Growth]],MIN(OFFSET(TblPop[[#This Row],[Net max]],1,0)-TblPop[[#This Row],[Peasants]]-TblPop[[#This Row],[Military]]-TblPop[[#This Row],[Draft Growth]],TblPop[[#This Row],[Modded Birth]]-TblPop[[#This Row],[Draft Growth]]))</f>
        <v>-97</v>
      </c>
      <c r="X59" s="69" t="n">
        <f aca="false">ROUND(TblPop[[#This Row],[Raw Birth]]*(1+TblPop[[#This Row],[Growth]]),0)</f>
        <v>415</v>
      </c>
      <c r="Y59" s="69" t="n">
        <f aca="false">(TblPop[[#This Row],[Peasants]]-TblPop[[#This Row],[Draft Growth]])*raw_pop_growth</f>
        <v>289.23</v>
      </c>
      <c r="Z59" s="69" t="n">
        <f aca="false">IF(TblPop[[#This Row],[Military%]]&lt;TblMili[[#This Row],[Draftrate]],ROUND(TblPop[[#This Row],[Peasants]]*Constants!$B$55,0), 0)</f>
        <v>97</v>
      </c>
      <c r="AA59" s="132"/>
      <c r="AB59" s="109" t="n">
        <f aca="false">Overview!$I$16 + IF(Magic!AE59&gt;0,Constants!$F$78) + ROUND(6*(Construction!BM60+Construction!CK59)/IF(Explore!S60&gt;0,Construction!F60-20,Construction!F60),4) + tech_6_5_2*Techs!BJ59 + tech_8_4*Techs!BT59</f>
        <v>0.4365</v>
      </c>
      <c r="AC59" s="130" t="n">
        <f aca="false">(Overview!$I$15 + Imps!Z59+ tech_2_5*Techs!AB59 + tech_3_6*Techs!AM59 + tech_6_1*Techs!BJ59 + tech_6_5*Techs!BF59 + tech_7_3_2*Techs!BN59) * (1 + Production!P59/100*prestige_pop_multiplier) + Production!P59/100*prestige_pop_multiplier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9641</v>
      </c>
      <c r="D60" s="69" t="n">
        <f aca="false">TblMili[[#This Row],[Military]]</f>
        <v>1369</v>
      </c>
      <c r="E60" s="69" t="n">
        <f aca="false">TblMili[[#This Row],[Draftees]]</f>
        <v>1369</v>
      </c>
      <c r="F60" s="69" t="n">
        <f aca="false">TblPop[[#This Row],[Peasants]]+TblPop[[#This Row],[Military]]</f>
        <v>11010</v>
      </c>
      <c r="G60" s="130" t="n">
        <f aca="false">TblPop[[#This Row],[Military]]/TblPop[[#This Row],[Total]]</f>
        <v>0.124341507720254</v>
      </c>
      <c r="H60" s="95" t="n">
        <f aca="false">MIN(TblPop[[#This Row],[Peasants]],TblPop[[#This Row],[Jobs]])</f>
        <v>9641</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1369</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11010</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0" s="69" t="n">
        <f aca="false">MAX(-5%*TblPop[[#This Row],[Peasants]]-TblPop[[#This Row],[Draft Growth]],MIN(OFFSET(TblPop[[#This Row],[Net max]],1,0)-TblPop[[#This Row],[Peasants]]-TblPop[[#This Row],[Military]]-TblPop[[#This Row],[Draft Growth]],TblPop[[#This Row],[Modded Birth]]-TblPop[[#This Row],[Draft Growth]]))</f>
        <v>-96</v>
      </c>
      <c r="X60" s="69" t="n">
        <f aca="false">ROUND(TblPop[[#This Row],[Raw Birth]]*(1+TblPop[[#This Row],[Growth]]),0)</f>
        <v>411</v>
      </c>
      <c r="Y60" s="69" t="n">
        <f aca="false">(TblPop[[#This Row],[Peasants]]-TblPop[[#This Row],[Draft Growth]])*raw_pop_growth</f>
        <v>286.35</v>
      </c>
      <c r="Z60" s="69" t="n">
        <f aca="false">IF(TblPop[[#This Row],[Military%]]&lt;TblMili[[#This Row],[Draftrate]],ROUND(TblPop[[#This Row],[Peasants]]*Constants!$B$55,0), 0)</f>
        <v>96</v>
      </c>
      <c r="AA60" s="132"/>
      <c r="AB60" s="109" t="n">
        <f aca="false">Overview!$I$16 + IF(Magic!AE60&gt;0,Constants!$F$78) + ROUND(6*(Construction!BM61+Construction!CK60)/IF(Explore!S61&gt;0,Construction!F61-20,Construction!F61),4) + tech_6_5_2*Techs!BJ60 + tech_8_4*Techs!BT60</f>
        <v>0.4365</v>
      </c>
      <c r="AC60" s="130" t="n">
        <f aca="false">(Overview!$I$15 + Imps!Z60+ tech_2_5*Techs!AB60 + tech_3_6*Techs!AM60 + tech_6_1*Techs!BJ60 + tech_6_5*Techs!BF60 + tech_7_3_2*Techs!BN60) * (1 + Production!P60/100*prestige_pop_multiplier) + Production!P60/100*prestige_pop_multiplier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9545</v>
      </c>
      <c r="D61" s="69" t="n">
        <f aca="false">TblMili[[#This Row],[Military]]</f>
        <v>1465</v>
      </c>
      <c r="E61" s="69" t="n">
        <f aca="false">TblMili[[#This Row],[Draftees]]</f>
        <v>1465</v>
      </c>
      <c r="F61" s="69" t="n">
        <f aca="false">TblPop[[#This Row],[Peasants]]+TblPop[[#This Row],[Military]]</f>
        <v>11010</v>
      </c>
      <c r="G61" s="130" t="n">
        <f aca="false">TblPop[[#This Row],[Military]]/TblPop[[#This Row],[Total]]</f>
        <v>0.133060853769301</v>
      </c>
      <c r="H61" s="95" t="n">
        <f aca="false">MIN(TblPop[[#This Row],[Peasants]],TblPop[[#This Row],[Jobs]])</f>
        <v>9545</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1465</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11010</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1" s="69" t="n">
        <f aca="false">MAX(-5%*TblPop[[#This Row],[Peasants]]-TblPop[[#This Row],[Draft Growth]],MIN(OFFSET(TblPop[[#This Row],[Net max]],1,0)-TblPop[[#This Row],[Peasants]]-TblPop[[#This Row],[Military]]-TblPop[[#This Row],[Draft Growth]],TblPop[[#This Row],[Modded Birth]]-TblPop[[#This Row],[Draft Growth]]))</f>
        <v>-95</v>
      </c>
      <c r="X61" s="69" t="n">
        <f aca="false">ROUND(TblPop[[#This Row],[Raw Birth]]*(1+TblPop[[#This Row],[Growth]]),0)</f>
        <v>407</v>
      </c>
      <c r="Y61" s="69" t="n">
        <f aca="false">(TblPop[[#This Row],[Peasants]]-TblPop[[#This Row],[Draft Growth]])*raw_pop_growth</f>
        <v>283.5</v>
      </c>
      <c r="Z61" s="69" t="n">
        <f aca="false">IF(TblPop[[#This Row],[Military%]]&lt;TblMili[[#This Row],[Draftrate]],ROUND(TblPop[[#This Row],[Peasants]]*Constants!$B$55,0), 0)</f>
        <v>95</v>
      </c>
      <c r="AA61" s="132"/>
      <c r="AB61" s="109" t="n">
        <f aca="false">Overview!$I$16 + IF(Magic!AE61&gt;0,Constants!$F$78) + ROUND(6*(Construction!BM62+Construction!CK61)/IF(Explore!S62&gt;0,Construction!F62-20,Construction!F62),4) + tech_6_5_2*Techs!BJ61 + tech_8_4*Techs!BT61</f>
        <v>0.4365</v>
      </c>
      <c r="AC61" s="130" t="n">
        <f aca="false">(Overview!$I$15 + Imps!Z61+ tech_2_5*Techs!AB61 + tech_3_6*Techs!AM61 + tech_6_1*Techs!BJ61 + tech_6_5*Techs!BF61 + tech_7_3_2*Techs!BN61) * (1 + Production!P61/100*prestige_pop_multiplier) + Production!P61/100*prestige_pop_multiplier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9450</v>
      </c>
      <c r="D62" s="69" t="n">
        <f aca="false">TblMili[[#This Row],[Military]]</f>
        <v>1560</v>
      </c>
      <c r="E62" s="69" t="n">
        <f aca="false">TblMili[[#This Row],[Draftees]]</f>
        <v>1560</v>
      </c>
      <c r="F62" s="69" t="n">
        <f aca="false">TblPop[[#This Row],[Peasants]]+TblPop[[#This Row],[Military]]</f>
        <v>11010</v>
      </c>
      <c r="G62" s="130" t="n">
        <f aca="false">TblPop[[#This Row],[Military]]/TblPop[[#This Row],[Total]]</f>
        <v>0.141689373297003</v>
      </c>
      <c r="H62" s="95" t="n">
        <f aca="false">MIN(TblPop[[#This Row],[Peasants]],TblPop[[#This Row],[Jobs]])</f>
        <v>9450</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1560</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11010</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10230</v>
      </c>
      <c r="W62" s="69" t="n">
        <f aca="false">MAX(-5%*TblPop[[#This Row],[Peasants]]-TblPop[[#This Row],[Draft Growth]],MIN(OFFSET(TblPop[[#This Row],[Net max]],1,0)-TblPop[[#This Row],[Peasants]]-TblPop[[#This Row],[Military]]-TblPop[[#This Row],[Draft Growth]],TblPop[[#This Row],[Modded Birth]]-TblPop[[#This Row],[Draft Growth]]))</f>
        <v>228</v>
      </c>
      <c r="X62" s="69" t="n">
        <f aca="false">ROUND(TblPop[[#This Row],[Raw Birth]]*(1+TblPop[[#This Row],[Growth]]),0)</f>
        <v>403</v>
      </c>
      <c r="Y62" s="69" t="n">
        <f aca="false">(TblPop[[#This Row],[Peasants]]-TblPop[[#This Row],[Draft Growth]])*raw_pop_growth</f>
        <v>280.65</v>
      </c>
      <c r="Z62" s="69" t="n">
        <f aca="false">IF(TblPop[[#This Row],[Military%]]&lt;TblMili[[#This Row],[Draftrate]],ROUND(TblPop[[#This Row],[Peasants]]*Constants!$B$55,0), 0)</f>
        <v>95</v>
      </c>
      <c r="AA62" s="132"/>
      <c r="AB62" s="109" t="n">
        <f aca="false">Overview!$I$16 + IF(Magic!AE62&gt;0,Constants!$F$78) + ROUND(6*(Construction!BM63+Construction!CK62)/IF(Explore!S63&gt;0,Construction!F63-20,Construction!F63),4) + tech_6_5_2*Techs!BJ62 + tech_8_4*Techs!BT62</f>
        <v>0.4365</v>
      </c>
      <c r="AC62" s="130" t="n">
        <f aca="false">(Overview!$I$15 + Imps!Z62+ tech_2_5*Techs!AB62 + tech_3_6*Techs!AM62 + tech_6_1*Techs!BJ62 + tech_6_5*Techs!BF62 + tech_7_3_2*Techs!BN62) * (1 + Production!P62/100*prestige_pop_multiplier) + Production!P62/100*prestige_pop_multiplier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9678</v>
      </c>
      <c r="D63" s="69" t="n">
        <f aca="false">TblMili[[#This Row],[Military]]</f>
        <v>1655</v>
      </c>
      <c r="E63" s="69" t="n">
        <f aca="false">TblMili[[#This Row],[Draftees]]</f>
        <v>1655</v>
      </c>
      <c r="F63" s="69" t="n">
        <f aca="false">TblPop[[#This Row],[Peasants]]+TblPop[[#This Row],[Military]]</f>
        <v>11333</v>
      </c>
      <c r="G63" s="130" t="n">
        <f aca="false">TblPop[[#This Row],[Military]]/TblPop[[#This Row],[Total]]</f>
        <v>0.146033706873732</v>
      </c>
      <c r="H63" s="95" t="n">
        <f aca="false">MIN(TblPop[[#This Row],[Peasants]],TblPop[[#This Row],[Jobs]])</f>
        <v>9678</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1655</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11333</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63" s="69" t="n">
        <f aca="false">MAX(-5%*TblPop[[#This Row],[Peasants]]-TblPop[[#This Row],[Draft Growth]],MIN(OFFSET(TblPop[[#This Row],[Net max]],1,0)-TblPop[[#This Row],[Peasants]]-TblPop[[#This Row],[Military]]-TblPop[[#This Row],[Draft Growth]],TblPop[[#This Row],[Modded Birth]]-TblPop[[#This Row],[Draft Growth]]))</f>
        <v>226</v>
      </c>
      <c r="X63" s="69" t="n">
        <f aca="false">ROUND(TblPop[[#This Row],[Raw Birth]]*(1+TblPop[[#This Row],[Growth]]),0)</f>
        <v>413</v>
      </c>
      <c r="Y63" s="69" t="n">
        <f aca="false">(TblPop[[#This Row],[Peasants]]-TblPop[[#This Row],[Draft Growth]])*raw_pop_growth</f>
        <v>287.43</v>
      </c>
      <c r="Z63" s="69" t="n">
        <f aca="false">IF(TblPop[[#This Row],[Military%]]&lt;TblMili[[#This Row],[Draftrate]],ROUND(TblPop[[#This Row],[Peasants]]*Constants!$B$55,0), 0)</f>
        <v>97</v>
      </c>
      <c r="AA63" s="132"/>
      <c r="AB63" s="109" t="n">
        <f aca="false">Overview!$I$16 + IF(Magic!AE63&gt;0,Constants!$F$78) + ROUND(6*(Construction!BM64+Construction!CK63)/IF(Explore!S64&gt;0,Construction!F64-20,Construction!F64),4) + tech_6_5_2*Techs!BJ63 + tech_8_4*Techs!BT63</f>
        <v>0.4365</v>
      </c>
      <c r="AC63" s="130" t="n">
        <f aca="false">(Overview!$I$15 + Imps!Z63+ tech_2_5*Techs!AB63 + tech_3_6*Techs!AM63 + tech_6_1*Techs!BJ63 + tech_6_5*Techs!BF63 + tech_7_3_2*Techs!BN63) * (1 + Production!P63/100*prestige_pop_multiplier) + Production!P63/100*prestige_pop_multiplier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9904</v>
      </c>
      <c r="D64" s="69" t="n">
        <f aca="false">TblMili[[#This Row],[Military]]</f>
        <v>1752</v>
      </c>
      <c r="E64" s="69" t="n">
        <f aca="false">TblMili[[#This Row],[Draftees]]</f>
        <v>409</v>
      </c>
      <c r="F64" s="69" t="n">
        <f aca="false">TblPop[[#This Row],[Peasants]]+TblPop[[#This Row],[Military]]</f>
        <v>11656</v>
      </c>
      <c r="G64" s="130" t="n">
        <f aca="false">TblPop[[#This Row],[Military]]/TblPop[[#This Row],[Total]]</f>
        <v>0.150308853809197</v>
      </c>
      <c r="H64" s="95" t="n">
        <f aca="false">MIN(TblPop[[#This Row],[Peasants]],TblPop[[#This Row],[Jobs]])</f>
        <v>9904</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409</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11656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4" s="69" t="n">
        <f aca="false">MAX(-5%*TblPop[[#This Row],[Peasants]]-TblPop[[#This Row],[Draft Growth]],MIN(OFFSET(TblPop[[#This Row],[Net max]],1,0)-TblPop[[#This Row],[Peasants]]-TblPop[[#This Row],[Military]]-TblPop[[#This Row],[Draft Growth]],TblPop[[#This Row],[Modded Birth]]-TblPop[[#This Row],[Draft Growth]]))</f>
        <v>-99</v>
      </c>
      <c r="X64" s="69" t="n">
        <f aca="false">ROUND(TblPop[[#This Row],[Raw Birth]]*(1+TblPop[[#This Row],[Growth]]),0)</f>
        <v>423</v>
      </c>
      <c r="Y64" s="69" t="n">
        <f aca="false">(TblPop[[#This Row],[Peasants]]-TblPop[[#This Row],[Draft Growth]])*raw_pop_growth</f>
        <v>294.15</v>
      </c>
      <c r="Z64" s="69" t="n">
        <f aca="false">IF(TblPop[[#This Row],[Military%]]&lt;TblMili[[#This Row],[Draftrate]],ROUND(TblPop[[#This Row],[Peasants]]*Constants!$B$55,0), 0)</f>
        <v>99</v>
      </c>
      <c r="AA64" s="132"/>
      <c r="AB64" s="109" t="n">
        <f aca="false">Overview!$I$16 + IF(Magic!AE64&gt;0,Constants!$F$78) + ROUND(6*(Construction!BM65+Construction!CK64)/IF(Explore!S65&gt;0,Construction!F65-20,Construction!F65),4) + tech_6_5_2*Techs!BJ64 + tech_8_4*Techs!BT64</f>
        <v>0.4365</v>
      </c>
      <c r="AC64" s="130" t="n">
        <f aca="false">(Overview!$I$15 + Imps!Z64+ tech_2_5*Techs!AB64 + tech_3_6*Techs!AM64 + tech_6_1*Techs!BJ64 + tech_6_5*Techs!BF64 + tech_7_3_2*Techs!BN64) * (1 + Production!P64/100*prestige_pop_multiplier) + Production!P64/100*prestige_pop_multiplier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9805</v>
      </c>
      <c r="D65" s="69" t="n">
        <f aca="false">TblMili[[#This Row],[Military]]</f>
        <v>1851</v>
      </c>
      <c r="E65" s="69" t="n">
        <f aca="false">TblMili[[#This Row],[Draftees]]</f>
        <v>508</v>
      </c>
      <c r="F65" s="69" t="n">
        <f aca="false">TblPop[[#This Row],[Peasants]]+TblPop[[#This Row],[Military]]</f>
        <v>11656</v>
      </c>
      <c r="G65" s="130" t="n">
        <f aca="false">TblPop[[#This Row],[Military]]/TblPop[[#This Row],[Total]]</f>
        <v>0.158802333562114</v>
      </c>
      <c r="H65" s="95" t="n">
        <f aca="false">MIN(TblPop[[#This Row],[Peasants]],TblPop[[#This Row],[Jobs]])</f>
        <v>9805</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508</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11656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5" s="69" t="n">
        <f aca="false">MAX(-5%*TblPop[[#This Row],[Peasants]]-TblPop[[#This Row],[Draft Growth]],MIN(OFFSET(TblPop[[#This Row],[Net max]],1,0)-TblPop[[#This Row],[Peasants]]-TblPop[[#This Row],[Military]]-TblPop[[#This Row],[Draft Growth]],TblPop[[#This Row],[Modded Birth]]-TblPop[[#This Row],[Draft Growth]]))</f>
        <v>-98</v>
      </c>
      <c r="X65" s="69" t="n">
        <f aca="false">ROUND(TblPop[[#This Row],[Raw Birth]]*(1+TblPop[[#This Row],[Growth]]),0)</f>
        <v>418</v>
      </c>
      <c r="Y65" s="69" t="n">
        <f aca="false">(TblPop[[#This Row],[Peasants]]-TblPop[[#This Row],[Draft Growth]])*raw_pop_growth</f>
        <v>291.21</v>
      </c>
      <c r="Z65" s="69" t="n">
        <f aca="false">IF(TblPop[[#This Row],[Military%]]&lt;TblMili[[#This Row],[Draftrate]],ROUND(TblPop[[#This Row],[Peasants]]*Constants!$B$55,0), 0)</f>
        <v>98</v>
      </c>
      <c r="AA65" s="132"/>
      <c r="AB65" s="109" t="n">
        <f aca="false">Overview!$I$16 + IF(Magic!AE65&gt;0,Constants!$F$78) + ROUND(6*(Construction!BM66+Construction!CK65)/IF(Explore!S66&gt;0,Construction!F66-20,Construction!F66),4) + tech_6_5_2*Techs!BJ65 + tech_8_4*Techs!BT65</f>
        <v>0.4365</v>
      </c>
      <c r="AC65" s="130" t="n">
        <f aca="false">(Overview!$I$15 + Imps!Z65+ tech_2_5*Techs!AB65 + tech_3_6*Techs!AM65 + tech_6_1*Techs!BJ65 + tech_6_5*Techs!BF65 + tech_7_3_2*Techs!BN65) * (1 + Production!P65/100*prestige_pop_multiplier) + Production!P65/100*prestige_pop_multiplier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9707</v>
      </c>
      <c r="D66" s="69" t="n">
        <f aca="false">TblMili[[#This Row],[Military]]</f>
        <v>1949</v>
      </c>
      <c r="E66" s="69" t="n">
        <f aca="false">TblMili[[#This Row],[Draftees]]</f>
        <v>606</v>
      </c>
      <c r="F66" s="69" t="n">
        <f aca="false">TblPop[[#This Row],[Peasants]]+TblPop[[#This Row],[Military]]</f>
        <v>11656</v>
      </c>
      <c r="G66" s="130" t="n">
        <f aca="false">TblPop[[#This Row],[Military]]/TblPop[[#This Row],[Total]]</f>
        <v>0.167210020590254</v>
      </c>
      <c r="H66" s="95" t="n">
        <f aca="false">MIN(TblPop[[#This Row],[Peasants]],TblPop[[#This Row],[Jobs]])</f>
        <v>9707</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606</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11656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10830</v>
      </c>
      <c r="W66" s="69" t="n">
        <f aca="false">MAX(-5%*TblPop[[#This Row],[Peasants]]-TblPop[[#This Row],[Draft Growth]],MIN(OFFSET(TblPop[[#This Row],[Net max]],1,0)-TblPop[[#This Row],[Peasants]]-TblPop[[#This Row],[Military]]-TblPop[[#This Row],[Draft Growth]],TblPop[[#This Row],[Modded Birth]]-TblPop[[#This Row],[Draft Growth]]))</f>
        <v>121</v>
      </c>
      <c r="X66" s="69" t="n">
        <f aca="false">ROUND(TblPop[[#This Row],[Raw Birth]]*(1+TblPop[[#This Row],[Growth]]),0)</f>
        <v>414</v>
      </c>
      <c r="Y66" s="69" t="n">
        <f aca="false">(TblPop[[#This Row],[Peasants]]-TblPop[[#This Row],[Draft Growth]])*raw_pop_growth</f>
        <v>288.3</v>
      </c>
      <c r="Z66" s="69" t="n">
        <f aca="false">IF(TblPop[[#This Row],[Military%]]&lt;TblMili[[#This Row],[Draftrate]],ROUND(TblPop[[#This Row],[Peasants]]*Constants!$B$55,0), 0)</f>
        <v>97</v>
      </c>
      <c r="AA66" s="132"/>
      <c r="AB66" s="109" t="n">
        <f aca="false">Overview!$I$16 + IF(Magic!AE66&gt;0,Constants!$F$78) + ROUND(6*(Construction!BM67+Construction!CK66)/IF(Explore!S67&gt;0,Construction!F67-20,Construction!F67),4) + tech_6_5_2*Techs!BJ66 + tech_8_4*Techs!BT66</f>
        <v>0.4365</v>
      </c>
      <c r="AC66" s="130" t="n">
        <f aca="false">(Overview!$I$15 + Imps!Z66+ tech_2_5*Techs!AB66 + tech_3_6*Techs!AM66 + tech_6_1*Techs!BJ66 + tech_6_5*Techs!BF66 + tech_7_3_2*Techs!BN66) * (1 + Production!P66/100*prestige_pop_multiplier) + Production!P66/100*prestige_pop_multiplier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9828</v>
      </c>
      <c r="D67" s="69" t="n">
        <f aca="false">TblMili[[#This Row],[Military]]</f>
        <v>2046</v>
      </c>
      <c r="E67" s="69" t="n">
        <f aca="false">TblMili[[#This Row],[Draftees]]</f>
        <v>4</v>
      </c>
      <c r="F67" s="69" t="n">
        <f aca="false">TblPop[[#This Row],[Peasants]]+TblPop[[#This Row],[Military]]</f>
        <v>11874</v>
      </c>
      <c r="G67" s="130" t="n">
        <f aca="false">TblPop[[#This Row],[Military]]/TblPop[[#This Row],[Total]]</f>
        <v>0.172309247094492</v>
      </c>
      <c r="H67" s="95" t="n">
        <f aca="false">MIN(TblPop[[#This Row],[Peasants]],TblPop[[#This Row],[Jobs]])</f>
        <v>9828</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4</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11874</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10665</v>
      </c>
      <c r="W67" s="69" t="n">
        <f aca="false">MAX(-5%*TblPop[[#This Row],[Peasants]]-TblPop[[#This Row],[Draft Growth]],MIN(OFFSET(TblPop[[#This Row],[Net max]],1,0)-TblPop[[#This Row],[Peasants]]-TblPop[[#This Row],[Military]]-TblPop[[#This Row],[Draft Growth]],TblPop[[#This Row],[Modded Birth]]-TblPop[[#This Row],[Draft Growth]]))</f>
        <v>121</v>
      </c>
      <c r="X67" s="69" t="n">
        <f aca="false">ROUND(TblPop[[#This Row],[Raw Birth]]*(1+TblPop[[#This Row],[Growth]]),0)</f>
        <v>419</v>
      </c>
      <c r="Y67" s="69" t="n">
        <f aca="false">(TblPop[[#This Row],[Peasants]]-TblPop[[#This Row],[Draft Growth]])*raw_pop_growth</f>
        <v>291.9</v>
      </c>
      <c r="Z67" s="69" t="n">
        <f aca="false">IF(TblPop[[#This Row],[Military%]]&lt;TblMili[[#This Row],[Draftrate]],ROUND(TblPop[[#This Row],[Peasants]]*Constants!$B$55,0), 0)</f>
        <v>98</v>
      </c>
      <c r="AA67" s="132"/>
      <c r="AB67" s="109" t="n">
        <f aca="false">Overview!$I$16 + IF(Magic!AE67&gt;0,Constants!$F$78) + ROUND(6*(Construction!BM68+Construction!CK67)/IF(Explore!S68&gt;0,Construction!F68-20,Construction!F68),4) + tech_6_5_2*Techs!BJ67 + tech_8_4*Techs!BT67</f>
        <v>0.4365</v>
      </c>
      <c r="AC67" s="130" t="n">
        <f aca="false">(Overview!$I$15 + Imps!Z67+ tech_2_5*Techs!AB67 + tech_3_6*Techs!AM67 + tech_6_1*Techs!BJ67 + tech_6_5*Techs!BF67 + tech_7_3_2*Techs!BN67) * (1 + Production!P67/100*prestige_pop_multiplier) + Production!P67/100*prestige_pop_multiplier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9949</v>
      </c>
      <c r="D68" s="69" t="n">
        <f aca="false">TblMili[[#This Row],[Military]]</f>
        <v>2144</v>
      </c>
      <c r="E68" s="69" t="n">
        <f aca="false">TblMili[[#This Row],[Draftees]]</f>
        <v>3</v>
      </c>
      <c r="F68" s="69" t="n">
        <f aca="false">TblPop[[#This Row],[Peasants]]+TblPop[[#This Row],[Military]]</f>
        <v>12093</v>
      </c>
      <c r="G68" s="130" t="n">
        <f aca="false">TblPop[[#This Row],[Military]]/TblPop[[#This Row],[Total]]</f>
        <v>0.177292648639709</v>
      </c>
      <c r="H68" s="95" t="n">
        <f aca="false">MIN(TblPop[[#This Row],[Peasants]],TblPop[[#This Row],[Jobs]])</f>
        <v>9949</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3</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12093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8" s="69" t="n">
        <f aca="false">MAX(-5%*TblPop[[#This Row],[Peasants]]-TblPop[[#This Row],[Draft Growth]],MIN(OFFSET(TblPop[[#This Row],[Net max]],1,0)-TblPop[[#This Row],[Peasants]]-TblPop[[#This Row],[Military]]-TblPop[[#This Row],[Draft Growth]],TblPop[[#This Row],[Modded Birth]]-TblPop[[#This Row],[Draft Growth]]))</f>
        <v>139</v>
      </c>
      <c r="X68" s="69" t="n">
        <f aca="false">ROUND(TblPop[[#This Row],[Raw Birth]]*(1+TblPop[[#This Row],[Growth]]),0)</f>
        <v>424</v>
      </c>
      <c r="Y68" s="69" t="n">
        <f aca="false">(TblPop[[#This Row],[Peasants]]-TblPop[[#This Row],[Draft Growth]])*raw_pop_growth</f>
        <v>295.5</v>
      </c>
      <c r="Z68" s="69" t="n">
        <f aca="false">IF(TblPop[[#This Row],[Military%]]&lt;TblMili[[#This Row],[Draftrate]],ROUND(TblPop[[#This Row],[Peasants]]*Constants!$B$55,0), 0)</f>
        <v>99</v>
      </c>
      <c r="AA68" s="132"/>
      <c r="AB68" s="109" t="n">
        <f aca="false">Overview!$I$16 + IF(Magic!AE68&gt;0,Constants!$F$78) + ROUND(6*(Construction!BM69+Construction!CK68)/IF(Explore!S69&gt;0,Construction!F69-20,Construction!F69),4) + tech_6_5_2*Techs!BJ68 + tech_8_4*Techs!BT68</f>
        <v>0.4365</v>
      </c>
      <c r="AC68" s="130" t="n">
        <f aca="false">(Overview!$I$15 + Imps!Z68+ tech_2_5*Techs!AB68 + tech_3_6*Techs!AM68 + tech_6_1*Techs!BJ68 + tech_6_5*Techs!BF68 + tech_7_3_2*Techs!BN68) * (1 + Production!P68/100*prestige_pop_multiplier) + Production!P68/100*prestige_pop_multiplier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10088</v>
      </c>
      <c r="D69" s="69" t="n">
        <f aca="false">TblMili[[#This Row],[Military]]</f>
        <v>2243</v>
      </c>
      <c r="E69" s="69" t="n">
        <f aca="false">TblMili[[#This Row],[Draftees]]</f>
        <v>2</v>
      </c>
      <c r="F69" s="69" t="n">
        <f aca="false">TblPop[[#This Row],[Peasants]]+TblPop[[#This Row],[Military]]</f>
        <v>12331</v>
      </c>
      <c r="G69" s="130" t="n">
        <f aca="false">TblPop[[#This Row],[Military]]/TblPop[[#This Row],[Total]]</f>
        <v>0.18189927824183</v>
      </c>
      <c r="H69" s="95" t="n">
        <f aca="false">MIN(TblPop[[#This Row],[Peasants]],TblPop[[#This Row],[Jobs]])</f>
        <v>10088</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2</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12331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10320</v>
      </c>
      <c r="W69" s="69" t="n">
        <f aca="false">MAX(-5%*TblPop[[#This Row],[Peasants]]-TblPop[[#This Row],[Draft Growth]],MIN(OFFSET(TblPop[[#This Row],[Net max]],1,0)-TblPop[[#This Row],[Peasants]]-TblPop[[#This Row],[Military]]-TblPop[[#This Row],[Draft Growth]],TblPop[[#This Row],[Modded Birth]]-TblPop[[#This Row],[Draft Growth]]))</f>
        <v>-22</v>
      </c>
      <c r="X69" s="69" t="n">
        <f aca="false">ROUND(TblPop[[#This Row],[Raw Birth]]*(1+TblPop[[#This Row],[Growth]]),0)</f>
        <v>430</v>
      </c>
      <c r="Y69" s="69" t="n">
        <f aca="false">(TblPop[[#This Row],[Peasants]]-TblPop[[#This Row],[Draft Growth]])*raw_pop_growth</f>
        <v>299.61</v>
      </c>
      <c r="Z69" s="69" t="n">
        <f aca="false">IF(TblPop[[#This Row],[Military%]]&lt;TblMili[[#This Row],[Draftrate]],ROUND(TblPop[[#This Row],[Peasants]]*Constants!$B$55,0), 0)</f>
        <v>101</v>
      </c>
      <c r="AA69" s="132"/>
      <c r="AB69" s="109" t="n">
        <f aca="false">Overview!$I$16 + IF(Magic!AE69&gt;0,Constants!$F$78) + ROUND(6*(Construction!BM70+Construction!CK69)/IF(Explore!S70&gt;0,Construction!F70-20,Construction!F70),4) + tech_6_5_2*Techs!BJ69 + tech_8_4*Techs!BT69</f>
        <v>0.4365</v>
      </c>
      <c r="AC69" s="130" t="n">
        <f aca="false">(Overview!$I$15 + Imps!Z69+ tech_2_5*Techs!AB69 + tech_3_6*Techs!AM69 + tech_6_1*Techs!BJ69 + tech_6_5*Techs!BF69 + tech_7_3_2*Techs!BN69) * (1 + Production!P69/100*prestige_pop_multiplier) + Production!P69/100*prestige_pop_multiplier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10066</v>
      </c>
      <c r="D70" s="69" t="n">
        <f aca="false">TblMili[[#This Row],[Military]]</f>
        <v>2344</v>
      </c>
      <c r="E70" s="69" t="n">
        <f aca="false">TblMili[[#This Row],[Draftees]]</f>
        <v>-7</v>
      </c>
      <c r="F70" s="69" t="n">
        <f aca="false">TblPop[[#This Row],[Peasants]]+TblPop[[#This Row],[Military]]</f>
        <v>12410</v>
      </c>
      <c r="G70" s="130" t="n">
        <f aca="false">TblPop[[#This Row],[Military]]/TblPop[[#This Row],[Total]]</f>
        <v>0.188879935535858</v>
      </c>
      <c r="H70" s="95" t="n">
        <f aca="false">MIN(TblPop[[#This Row],[Peasants]],TblPop[[#This Row],[Jobs]])</f>
        <v>10066</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-7</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12410</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0" s="69" t="n">
        <f aca="false">MAX(-5%*TblPop[[#This Row],[Peasants]]-TblPop[[#This Row],[Draft Growth]],MIN(OFFSET(TblPop[[#This Row],[Net max]],1,0)-TblPop[[#This Row],[Peasants]]-TblPop[[#This Row],[Military]]-TblPop[[#This Row],[Draft Growth]],TblPop[[#This Row],[Modded Birth]]-TblPop[[#This Row],[Draft Growth]]))</f>
        <v>-101</v>
      </c>
      <c r="X70" s="69" t="n">
        <f aca="false">ROUND(TblPop[[#This Row],[Raw Birth]]*(1+TblPop[[#This Row],[Growth]]),0)</f>
        <v>429</v>
      </c>
      <c r="Y70" s="69" t="n">
        <f aca="false">(TblPop[[#This Row],[Peasants]]-TblPop[[#This Row],[Draft Growth]])*raw_pop_growth</f>
        <v>298.95</v>
      </c>
      <c r="Z70" s="69" t="n">
        <f aca="false">IF(TblPop[[#This Row],[Military%]]&lt;TblMili[[#This Row],[Draftrate]],ROUND(TblPop[[#This Row],[Peasants]]*Constants!$B$55,0), 0)</f>
        <v>101</v>
      </c>
      <c r="AA70" s="132"/>
      <c r="AB70" s="109" t="n">
        <f aca="false">Overview!$I$16 + IF(Magic!AE70&gt;0,Constants!$F$78) + ROUND(6*(Construction!BM71+Construction!CK70)/IF(Explore!S71&gt;0,Construction!F71-20,Construction!F71),4) + tech_6_5_2*Techs!BJ70 + tech_8_4*Techs!BT70</f>
        <v>0.4365</v>
      </c>
      <c r="AC70" s="130" t="n">
        <f aca="false">(Overview!$I$15 + Imps!Z70+ tech_2_5*Techs!AB70 + tech_3_6*Techs!AM70 + tech_6_1*Techs!BJ70 + tech_6_5*Techs!BF70 + tech_7_3_2*Techs!BN70) * (1 + Production!P70/100*prestige_pop_multiplier) + Production!P70/100*prestige_pop_multiplier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9965</v>
      </c>
      <c r="D71" s="69" t="n">
        <f aca="false">TblMili[[#This Row],[Military]]</f>
        <v>2445</v>
      </c>
      <c r="E71" s="69" t="n">
        <f aca="false">TblMili[[#This Row],[Draftees]]</f>
        <v>-10</v>
      </c>
      <c r="F71" s="69" t="n">
        <f aca="false">TblPop[[#This Row],[Peasants]]+TblPop[[#This Row],[Military]]</f>
        <v>12410</v>
      </c>
      <c r="G71" s="130" t="n">
        <f aca="false">TblPop[[#This Row],[Military]]/TblPop[[#This Row],[Total]]</f>
        <v>0.197018533440774</v>
      </c>
      <c r="H71" s="95" t="n">
        <f aca="false">MIN(TblPop[[#This Row],[Peasants]],TblPop[[#This Row],[Jobs]])</f>
        <v>9965</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-10</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12410</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1" s="69" t="n">
        <f aca="false">MAX(-5%*TblPop[[#This Row],[Peasants]]-TblPop[[#This Row],[Draft Growth]],MIN(OFFSET(TblPop[[#This Row],[Net max]],1,0)-TblPop[[#This Row],[Peasants]]-TblPop[[#This Row],[Military]]-TblPop[[#This Row],[Draft Growth]],TblPop[[#This Row],[Modded Birth]]-TblPop[[#This Row],[Draft Growth]]))</f>
        <v>-100</v>
      </c>
      <c r="X71" s="69" t="n">
        <f aca="false">ROUND(TblPop[[#This Row],[Raw Birth]]*(1+TblPop[[#This Row],[Growth]]),0)</f>
        <v>425</v>
      </c>
      <c r="Y71" s="69" t="n">
        <f aca="false">(TblPop[[#This Row],[Peasants]]-TblPop[[#This Row],[Draft Growth]])*raw_pop_growth</f>
        <v>295.95</v>
      </c>
      <c r="Z71" s="69" t="n">
        <f aca="false">IF(TblPop[[#This Row],[Military%]]&lt;TblMili[[#This Row],[Draftrate]],ROUND(TblPop[[#This Row],[Peasants]]*Constants!$B$55,0), 0)</f>
        <v>100</v>
      </c>
      <c r="AA71" s="132"/>
      <c r="AB71" s="109" t="n">
        <f aca="false">Overview!$I$16 + IF(Magic!AE71&gt;0,Constants!$F$78) + ROUND(6*(Construction!BM72+Construction!CK71)/IF(Explore!S72&gt;0,Construction!F72-20,Construction!F72),4) + tech_6_5_2*Techs!BJ71 + tech_8_4*Techs!BT71</f>
        <v>0.4365</v>
      </c>
      <c r="AC71" s="130" t="n">
        <f aca="false">(Overview!$I$15 + Imps!Z71+ tech_2_5*Techs!AB71 + tech_3_6*Techs!AM71 + tech_6_1*Techs!BJ71 + tech_6_5*Techs!BF71 + tech_7_3_2*Techs!BN71) * (1 + Production!P71/100*prestige_pop_multiplier) + Production!P71/100*prestige_pop_multiplier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9865</v>
      </c>
      <c r="D72" s="69" t="n">
        <f aca="false">TblMili[[#This Row],[Military]]</f>
        <v>2545</v>
      </c>
      <c r="E72" s="69" t="n">
        <f aca="false">TblMili[[#This Row],[Draftees]]</f>
        <v>-13</v>
      </c>
      <c r="F72" s="69" t="n">
        <f aca="false">TblPop[[#This Row],[Peasants]]+TblPop[[#This Row],[Military]]</f>
        <v>12410</v>
      </c>
      <c r="G72" s="130" t="n">
        <f aca="false">TblPop[[#This Row],[Military]]/TblPop[[#This Row],[Total]]</f>
        <v>0.205076551168413</v>
      </c>
      <c r="H72" s="95" t="n">
        <f aca="false">MIN(TblPop[[#This Row],[Peasants]],TblPop[[#This Row],[Jobs]])</f>
        <v>9865</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-13</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12410</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2" s="69" t="n">
        <f aca="false">MAX(-5%*TblPop[[#This Row],[Peasants]]-TblPop[[#This Row],[Draft Growth]],MIN(OFFSET(TblPop[[#This Row],[Net max]],1,0)-TblPop[[#This Row],[Peasants]]-TblPop[[#This Row],[Military]]-TblPop[[#This Row],[Draft Growth]],TblPop[[#This Row],[Modded Birth]]-TblPop[[#This Row],[Draft Growth]]))</f>
        <v>-99</v>
      </c>
      <c r="X72" s="69" t="n">
        <f aca="false">ROUND(TblPop[[#This Row],[Raw Birth]]*(1+TblPop[[#This Row],[Growth]]),0)</f>
        <v>421</v>
      </c>
      <c r="Y72" s="69" t="n">
        <f aca="false">(TblPop[[#This Row],[Peasants]]-TblPop[[#This Row],[Draft Growth]])*raw_pop_growth</f>
        <v>292.98</v>
      </c>
      <c r="Z72" s="69" t="n">
        <f aca="false">IF(TblPop[[#This Row],[Military%]]&lt;TblMili[[#This Row],[Draftrate]],ROUND(TblPop[[#This Row],[Peasants]]*Constants!$B$55,0), 0)</f>
        <v>99</v>
      </c>
      <c r="AA72" s="132"/>
      <c r="AB72" s="109" t="n">
        <f aca="false">Overview!$I$16 + IF(Magic!AE72&gt;0,Constants!$F$78) + ROUND(6*(Construction!BM73+Construction!CK72)/IF(Explore!S73&gt;0,Construction!F73-20,Construction!F73),4) + tech_6_5_2*Techs!BJ72 + tech_8_4*Techs!BT72</f>
        <v>0.4365</v>
      </c>
      <c r="AC72" s="130" t="n">
        <f aca="false">(Overview!$I$15 + Imps!Z72+ tech_2_5*Techs!AB72 + tech_3_6*Techs!AM72 + tech_6_1*Techs!BJ72 + tech_6_5*Techs!BF72 + tech_7_3_2*Techs!BN72) * (1 + Production!P72/100*prestige_pop_multiplier) + Production!P72/100*prestige_pop_multiplier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9766</v>
      </c>
      <c r="D73" s="69" t="n">
        <f aca="false">TblMili[[#This Row],[Military]]</f>
        <v>2644</v>
      </c>
      <c r="E73" s="69" t="n">
        <f aca="false">TblMili[[#This Row],[Draftees]]</f>
        <v>-16</v>
      </c>
      <c r="F73" s="69" t="n">
        <f aca="false">TblPop[[#This Row],[Peasants]]+TblPop[[#This Row],[Military]]</f>
        <v>12410</v>
      </c>
      <c r="G73" s="130" t="n">
        <f aca="false">TblPop[[#This Row],[Military]]/TblPop[[#This Row],[Total]]</f>
        <v>0.213053988718775</v>
      </c>
      <c r="H73" s="95" t="n">
        <f aca="false">MIN(TblPop[[#This Row],[Peasants]],TblPop[[#This Row],[Jobs]])</f>
        <v>9766</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-16</v>
      </c>
      <c r="M73" s="33" t="n">
        <f aca="false">TblMili[[#This Row],[Unit 1]]</f>
        <v>13</v>
      </c>
      <c r="N73" s="33" t="n">
        <f aca="false">TblMili[[#This Row],[Unit 2]]</f>
        <v>15</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12410</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3" s="69" t="n">
        <f aca="false">MAX(-5%*TblPop[[#This Row],[Peasants]]-TblPop[[#This Row],[Draft Growth]],MIN(OFFSET(TblPop[[#This Row],[Net max]],1,0)-TblPop[[#This Row],[Peasants]]-TblPop[[#This Row],[Military]]-TblPop[[#This Row],[Draft Growth]],TblPop[[#This Row],[Modded Birth]]-TblPop[[#This Row],[Draft Growth]]))</f>
        <v>-98</v>
      </c>
      <c r="X73" s="69" t="n">
        <f aca="false">ROUND(TblPop[[#This Row],[Raw Birth]]*(1+TblPop[[#This Row],[Growth]]),0)</f>
        <v>417</v>
      </c>
      <c r="Y73" s="69" t="n">
        <f aca="false">(TblPop[[#This Row],[Peasants]]-TblPop[[#This Row],[Draft Growth]])*raw_pop_growth</f>
        <v>290.04</v>
      </c>
      <c r="Z73" s="69" t="n">
        <f aca="false">IF(TblPop[[#This Row],[Military%]]&lt;TblMili[[#This Row],[Draftrate]],ROUND(TblPop[[#This Row],[Peasants]]*Constants!$B$55,0), 0)</f>
        <v>98</v>
      </c>
      <c r="AA73" s="132"/>
      <c r="AB73" s="109" t="n">
        <f aca="false">Overview!$I$16 + IF(Magic!AE73&gt;0,Constants!$F$78) + ROUND(6*(Construction!BM74+Construction!CK73)/IF(Explore!S74&gt;0,Construction!F74-20,Construction!F74),4) + tech_6_5_2*Techs!BJ73 + tech_8_4*Techs!BT73</f>
        <v>0.4365</v>
      </c>
      <c r="AC73" s="130" t="n">
        <f aca="false">(Overview!$I$15 + Imps!Z73+ tech_2_5*Techs!AB73 + tech_3_6*Techs!AM73 + tech_6_1*Techs!BJ73 + tech_6_5*Techs!BF73 + tech_7_3_2*Techs!BN73) * (1 + Production!P73/100*prestige_pop_multiplier) + Production!P73/100*prestige_pop_multiplier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9668</v>
      </c>
      <c r="D74" s="69" t="n">
        <f aca="false">TblMili[[#This Row],[Military]]</f>
        <v>2742</v>
      </c>
      <c r="E74" s="69" t="n">
        <f aca="false">TblMili[[#This Row],[Draftees]]</f>
        <v>-19</v>
      </c>
      <c r="F74" s="69" t="n">
        <f aca="false">TblPop[[#This Row],[Peasants]]+TblPop[[#This Row],[Military]]</f>
        <v>12410</v>
      </c>
      <c r="G74" s="130" t="n">
        <f aca="false">TblPop[[#This Row],[Military]]/TblPop[[#This Row],[Total]]</f>
        <v>0.220950846091861</v>
      </c>
      <c r="H74" s="95" t="n">
        <f aca="false">MIN(TblPop[[#This Row],[Peasants]],TblPop[[#This Row],[Jobs]])</f>
        <v>9668</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-19</v>
      </c>
      <c r="M74" s="33" t="n">
        <f aca="false">TblMili[[#This Row],[Unit 1]]</f>
        <v>13</v>
      </c>
      <c r="N74" s="33" t="n">
        <f aca="false">TblMili[[#This Row],[Unit 2]]</f>
        <v>15</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12410</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4" s="69" t="n">
        <f aca="false">MAX(-5%*TblPop[[#This Row],[Peasants]]-TblPop[[#This Row],[Draft Growth]],MIN(OFFSET(TblPop[[#This Row],[Net max]],1,0)-TblPop[[#This Row],[Peasants]]-TblPop[[#This Row],[Military]]-TblPop[[#This Row],[Draft Growth]],TblPop[[#This Row],[Modded Birth]]-TblPop[[#This Row],[Draft Growth]]))</f>
        <v>-97</v>
      </c>
      <c r="X74" s="69" t="n">
        <f aca="false">ROUND(TblPop[[#This Row],[Raw Birth]]*(1+TblPop[[#This Row],[Growth]]),0)</f>
        <v>412</v>
      </c>
      <c r="Y74" s="69" t="n">
        <f aca="false">(TblPop[[#This Row],[Peasants]]-TblPop[[#This Row],[Draft Growth]])*raw_pop_growth</f>
        <v>287.13</v>
      </c>
      <c r="Z74" s="69" t="n">
        <f aca="false">IF(TblPop[[#This Row],[Military%]]&lt;TblMili[[#This Row],[Draftrate]],ROUND(TblPop[[#This Row],[Peasants]]*Constants!$B$55,0), 0)</f>
        <v>97</v>
      </c>
      <c r="AA74" s="132"/>
      <c r="AB74" s="109" t="n">
        <f aca="false">Overview!$I$16 + IF(Magic!AE74&gt;0,Constants!$F$78) + ROUND(6*(Construction!BM75+Construction!CK74)/IF(Explore!S75&gt;0,Construction!F75-20,Construction!F75),4) + tech_6_5_2*Techs!BJ74 + tech_8_4*Techs!BT74</f>
        <v>0.4365</v>
      </c>
      <c r="AC74" s="130" t="n">
        <f aca="false">(Overview!$I$15 + Imps!Z74+ tech_2_5*Techs!AB74 + tech_3_6*Techs!AM74 + tech_6_1*Techs!BJ74 + tech_6_5*Techs!BF74 + tech_7_3_2*Techs!BN74) * (1 + Production!P74/100*prestige_pop_multiplier) + Production!P74/100*prestige_pop_multiplier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9571</v>
      </c>
      <c r="D75" s="69" t="n">
        <f aca="false">TblMili[[#This Row],[Military]]</f>
        <v>2839</v>
      </c>
      <c r="E75" s="69" t="n">
        <f aca="false">TblMili[[#This Row],[Draftees]]</f>
        <v>-22</v>
      </c>
      <c r="F75" s="69" t="n">
        <f aca="false">TblPop[[#This Row],[Peasants]]+TblPop[[#This Row],[Military]]</f>
        <v>12410</v>
      </c>
      <c r="G75" s="130" t="n">
        <f aca="false">TblPop[[#This Row],[Military]]/TblPop[[#This Row],[Total]]</f>
        <v>0.228767123287671</v>
      </c>
      <c r="H75" s="95" t="n">
        <f aca="false">MIN(TblPop[[#This Row],[Peasants]],TblPop[[#This Row],[Jobs]])</f>
        <v>9571</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-22</v>
      </c>
      <c r="M75" s="33" t="n">
        <f aca="false">TblMili[[#This Row],[Unit 1]]</f>
        <v>13</v>
      </c>
      <c r="N75" s="33" t="n">
        <f aca="false">TblMili[[#This Row],[Unit 2]]</f>
        <v>15</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12410</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5" s="69" t="n">
        <f aca="false">MAX(-5%*TblPop[[#This Row],[Peasants]]-TblPop[[#This Row],[Draft Growth]],MIN(OFFSET(TblPop[[#This Row],[Net max]],1,0)-TblPop[[#This Row],[Peasants]]-TblPop[[#This Row],[Military]]-TblPop[[#This Row],[Draft Growth]],TblPop[[#This Row],[Modded Birth]]-TblPop[[#This Row],[Draft Growth]]))</f>
        <v>-96</v>
      </c>
      <c r="X75" s="69" t="n">
        <f aca="false">ROUND(TblPop[[#This Row],[Raw Birth]]*(1+TblPop[[#This Row],[Growth]]),0)</f>
        <v>408</v>
      </c>
      <c r="Y75" s="69" t="n">
        <f aca="false">(TblPop[[#This Row],[Peasants]]-TblPop[[#This Row],[Draft Growth]])*raw_pop_growth</f>
        <v>284.25</v>
      </c>
      <c r="Z75" s="69" t="n">
        <f aca="false">IF(TblPop[[#This Row],[Military%]]&lt;TblMili[[#This Row],[Draftrate]],ROUND(TblPop[[#This Row],[Peasants]]*Constants!$B$55,0), 0)</f>
        <v>96</v>
      </c>
      <c r="AA75" s="132"/>
      <c r="AB75" s="109" t="n">
        <f aca="false">Overview!$I$16 + IF(Magic!AE75&gt;0,Constants!$F$78) + ROUND(6*(Construction!BM76+Construction!CK75)/IF(Explore!S76&gt;0,Construction!F76-20,Construction!F76),4) + tech_6_5_2*Techs!BJ75 + tech_8_4*Techs!BT75</f>
        <v>0.4365</v>
      </c>
      <c r="AC75" s="130" t="n">
        <f aca="false">(Overview!$I$15 + Imps!Z75+ tech_2_5*Techs!AB75 + tech_3_6*Techs!AM75 + tech_6_1*Techs!BJ75 + tech_6_5*Techs!BF75 + tech_7_3_2*Techs!BN75) * (1 + Production!P75/100*prestige_pop_multiplier) + Production!P75/100*prestige_pop_multiplier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9475</v>
      </c>
      <c r="D76" s="76" t="n">
        <f aca="false">TblMili[[#This Row],[Military]]</f>
        <v>2935</v>
      </c>
      <c r="E76" s="76" t="n">
        <f aca="false">TblMili[[#This Row],[Draftees]]</f>
        <v>-25</v>
      </c>
      <c r="F76" s="76" t="n">
        <f aca="false">TblPop[[#This Row],[Peasants]]+TblPop[[#This Row],[Military]]</f>
        <v>12410</v>
      </c>
      <c r="G76" s="135" t="n">
        <f aca="false">TblPop[[#This Row],[Military]]/TblPop[[#This Row],[Total]]</f>
        <v>0.236502820306205</v>
      </c>
      <c r="H76" s="136" t="n">
        <f aca="false">MIN(TblPop[[#This Row],[Peasants]],TblPop[[#This Row],[Jobs]])</f>
        <v>9475</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-25</v>
      </c>
      <c r="M76" s="137" t="n">
        <f aca="false">TblMili[[#This Row],[Unit 1]]</f>
        <v>13</v>
      </c>
      <c r="N76" s="137" t="n">
        <f aca="false">TblMili[[#This Row],[Unit 2]]</f>
        <v>714</v>
      </c>
      <c r="O76" s="137" t="n">
        <f aca="false">TblMili[[#This Row],[Unit 3]]</f>
        <v>625</v>
      </c>
      <c r="P76" s="137" t="n">
        <f aca="false">TblMili[[#This Row],[Unit 4]]</f>
        <v>638</v>
      </c>
      <c r="Q76" s="137" t="n">
        <f aca="false">TblMili[[#This Row],[Spies]]</f>
        <v>25</v>
      </c>
      <c r="R76" s="137" t="n">
        <f aca="false">TblMili[[#This Row],[Wizards]]</f>
        <v>27</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12410</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76" s="76" t="n">
        <f aca="false">MAX(-5%*TblPop[[#This Row],[Peasants]]-TblPop[[#This Row],[Draft Growth]],MIN(OFFSET(TblPop[[#This Row],[Net max]],1,0)-TblPop[[#This Row],[Peasants]]-TblPop[[#This Row],[Military]]-TblPop[[#This Row],[Draft Growth]],TblPop[[#This Row],[Modded Birth]]-TblPop[[#This Row],[Draft Growth]]))</f>
        <v>5</v>
      </c>
      <c r="X76" s="76" t="n">
        <f aca="false">ROUND(TblPop[[#This Row],[Raw Birth]]*(1+TblPop[[#This Row],[Growth]]),0)</f>
        <v>404</v>
      </c>
      <c r="Y76" s="76" t="n">
        <f aca="false">(TblPop[[#This Row],[Peasants]]-TblPop[[#This Row],[Draft Growth]])*raw_pop_growth</f>
        <v>281.4</v>
      </c>
      <c r="Z76" s="76" t="n">
        <f aca="false">IF(TblPop[[#This Row],[Military%]]&lt;TblMili[[#This Row],[Draftrate]],ROUND(TblPop[[#This Row],[Peasants]]*Constants!$B$55,0), 0)</f>
        <v>95</v>
      </c>
      <c r="AA76" s="138"/>
      <c r="AB76" s="139" t="n">
        <f aca="false">Overview!$I$16 + IF(Magic!AE76&gt;0,Constants!$F$78) + ROUND(6*(Construction!BM77+Construction!CK76)/IF(Explore!S77&gt;0,Construction!F77-20,Construction!F77),4) + tech_6_5_2*Techs!BJ76 + tech_8_4*Techs!BT76</f>
        <v>0.4365</v>
      </c>
      <c r="AC76" s="130" t="n">
        <f aca="false">(Overview!$I$15 + Imps!Z76+ tech_2_5*Techs!AB76 + tech_3_6*Techs!AM76 + tech_6_1*Techs!BJ76 + tech_6_5*Techs!BF76 + tech_7_3_2*Techs!BN76) * (1 + Production!P76/100*prestige_pop_multiplier) + Production!P76/100*prestige_pop_multiplier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9480</v>
      </c>
      <c r="D77" s="69" t="n">
        <f aca="false">TblMili[[#This Row],[Military]]</f>
        <v>3030</v>
      </c>
      <c r="E77" s="69" t="n">
        <f aca="false">TblMili[[#This Row],[Draftees]]</f>
        <v>-28</v>
      </c>
      <c r="F77" s="69" t="n">
        <f aca="false">TblPop[[#This Row],[Peasants]]+TblPop[[#This Row],[Military]]</f>
        <v>12510</v>
      </c>
      <c r="G77" s="130" t="n">
        <f aca="false">TblPop[[#This Row],[Military]]/TblPop[[#This Row],[Total]]</f>
        <v>0.24220623501199</v>
      </c>
      <c r="H77" s="95" t="n">
        <f aca="false">MIN(TblPop[[#This Row],[Peasants]],TblPop[[#This Row],[Jobs]])</f>
        <v>9480</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-28</v>
      </c>
      <c r="M77" s="33" t="n">
        <f aca="false">TblMili[[#This Row],[Unit 1]]</f>
        <v>13</v>
      </c>
      <c r="N77" s="33" t="n">
        <f aca="false">TblMili[[#This Row],[Unit 2]]</f>
        <v>813</v>
      </c>
      <c r="O77" s="33" t="n">
        <f aca="false">TblMili[[#This Row],[Unit 3]]</f>
        <v>625</v>
      </c>
      <c r="P77" s="33" t="n">
        <f aca="false">TblMili[[#This Row],[Unit 4]]</f>
        <v>638</v>
      </c>
      <c r="Q77" s="33" t="n">
        <f aca="false">TblMili[[#This Row],[Spies]]</f>
        <v>25</v>
      </c>
      <c r="R77" s="33" t="n">
        <f aca="false">TblMili[[#This Row],[Wizards]]</f>
        <v>27</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12510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10185</v>
      </c>
      <c r="W77" s="69" t="n">
        <f aca="false">MAX(-5%*TblPop[[#This Row],[Peasants]]-TblPop[[#This Row],[Draft Growth]],MIN(OFFSET(TblPop[[#This Row],[Net max]],1,0)-TblPop[[#This Row],[Peasants]]-TblPop[[#This Row],[Military]]-TblPop[[#This Row],[Draft Growth]],TblPop[[#This Row],[Modded Birth]]-TblPop[[#This Row],[Draft Growth]]))</f>
        <v>4</v>
      </c>
      <c r="X77" s="69" t="n">
        <f aca="false">ROUND(TblPop[[#This Row],[Raw Birth]]*(1+TblPop[[#This Row],[Growth]]),0)</f>
        <v>404</v>
      </c>
      <c r="Y77" s="69" t="n">
        <f aca="false">(TblPop[[#This Row],[Peasants]]-TblPop[[#This Row],[Draft Growth]])*raw_pop_growth</f>
        <v>281.55</v>
      </c>
      <c r="Z77" s="69" t="n">
        <f aca="false">IF(TblPop[[#This Row],[Military%]]&lt;TblMili[[#This Row],[Draftrate]],ROUND(TblPop[[#This Row],[Peasants]]*Constants!$B$55,0), 0)</f>
        <v>95</v>
      </c>
      <c r="AA77" s="132"/>
      <c r="AB77" s="109" t="n">
        <f aca="false">Overview!$I$16 + IF(Magic!AE77&gt;0,Constants!$F$78) + ROUND(6*(Construction!BM78+Construction!CK77)/IF(Explore!S78&gt;0,Construction!F78-20,Construction!F78),4) + tech_6_5_2*Techs!BJ77 + tech_8_4*Techs!BT77</f>
        <v>0.4365</v>
      </c>
      <c r="AC77" s="130" t="n">
        <f aca="false">(Overview!$I$15 + Imps!Z77+ tech_2_5*Techs!AB77 + tech_3_6*Techs!AM77 + tech_6_1*Techs!BJ77 + tech_6_5*Techs!BF77 + tech_7_3_2*Techs!BN77) * (1 + Production!P77/100*prestige_pop_multiplier) + Production!P77/100*prestige_pop_multiplier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9484</v>
      </c>
      <c r="D78" s="69" t="n">
        <f aca="false">TblMili[[#This Row],[Military]]</f>
        <v>3125</v>
      </c>
      <c r="E78" s="69" t="n">
        <f aca="false">TblMili[[#This Row],[Draftees]]</f>
        <v>-31</v>
      </c>
      <c r="F78" s="69" t="n">
        <f aca="false">TblPop[[#This Row],[Peasants]]+TblPop[[#This Row],[Military]]</f>
        <v>12609</v>
      </c>
      <c r="G78" s="130" t="n">
        <f aca="false">TblPop[[#This Row],[Military]]/TblPop[[#This Row],[Total]]</f>
        <v>0.247838845269252</v>
      </c>
      <c r="H78" s="95" t="n">
        <f aca="false">MIN(TblPop[[#This Row],[Peasants]],TblPop[[#This Row],[Jobs]])</f>
        <v>9484</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-31</v>
      </c>
      <c r="M78" s="33" t="n">
        <f aca="false">TblMili[[#This Row],[Unit 1]]</f>
        <v>13</v>
      </c>
      <c r="N78" s="33" t="n">
        <f aca="false">TblMili[[#This Row],[Unit 2]]</f>
        <v>913</v>
      </c>
      <c r="O78" s="33" t="n">
        <f aca="false">TblMili[[#This Row],[Unit 3]]</f>
        <v>625</v>
      </c>
      <c r="P78" s="33" t="n">
        <f aca="false">TblMili[[#This Row],[Unit 4]]</f>
        <v>638</v>
      </c>
      <c r="Q78" s="33" t="n">
        <f aca="false">TblMili[[#This Row],[Spies]]</f>
        <v>25</v>
      </c>
      <c r="R78" s="33" t="n">
        <f aca="false">TblMili[[#This Row],[Wizards]]</f>
        <v>27</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12609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10110</v>
      </c>
      <c r="W78" s="69" t="n">
        <f aca="false">MAX(-5%*TblPop[[#This Row],[Peasants]]-TblPop[[#This Row],[Draft Growth]],MIN(OFFSET(TblPop[[#This Row],[Net max]],1,0)-TblPop[[#This Row],[Peasants]]-TblPop[[#This Row],[Military]]-TblPop[[#This Row],[Draft Growth]],TblPop[[#This Row],[Modded Birth]]-TblPop[[#This Row],[Draft Growth]]))</f>
        <v>-55</v>
      </c>
      <c r="X78" s="69" t="n">
        <f aca="false">ROUND(TblPop[[#This Row],[Raw Birth]]*(1+TblPop[[#This Row],[Growth]]),0)</f>
        <v>405</v>
      </c>
      <c r="Y78" s="69" t="n">
        <f aca="false">(TblPop[[#This Row],[Peasants]]-TblPop[[#This Row],[Draft Growth]])*raw_pop_growth</f>
        <v>281.67</v>
      </c>
      <c r="Z78" s="69" t="n">
        <f aca="false">IF(TblPop[[#This Row],[Military%]]&lt;TblMili[[#This Row],[Draftrate]],ROUND(TblPop[[#This Row],[Peasants]]*Constants!$B$55,0), 0)</f>
        <v>95</v>
      </c>
      <c r="AA78" s="132"/>
      <c r="AB78" s="109" t="n">
        <f aca="false">Overview!$I$16 + IF(Magic!AE78&gt;0,Constants!$F$78) + ROUND(6*(Construction!BM79+Construction!CK78)/IF(Explore!S79&gt;0,Construction!F79-20,Construction!F79),4) + tech_6_5_2*Techs!BJ78 + tech_8_4*Techs!BT78</f>
        <v>0.4365</v>
      </c>
      <c r="AC78" s="130" t="n">
        <f aca="false">(Overview!$I$15 + Imps!Z78+ tech_2_5*Techs!AB78 + tech_3_6*Techs!AM78 + tech_6_1*Techs!BJ78 + tech_6_5*Techs!BF78 + tech_7_3_2*Techs!BN78) * (1 + Production!P78/100*prestige_pop_multiplier) + Production!P78/100*prestige_pop_multiplier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9429</v>
      </c>
      <c r="D79" s="69" t="n">
        <f aca="false">TblMili[[#This Row],[Military]]</f>
        <v>3220</v>
      </c>
      <c r="E79" s="69" t="n">
        <f aca="false">TblMili[[#This Row],[Draftees]]</f>
        <v>-34</v>
      </c>
      <c r="F79" s="69" t="n">
        <f aca="false">TblPop[[#This Row],[Peasants]]+TblPop[[#This Row],[Military]]</f>
        <v>12649</v>
      </c>
      <c r="G79" s="130" t="n">
        <f aca="false">TblPop[[#This Row],[Military]]/TblPop[[#This Row],[Total]]</f>
        <v>0.254565578306586</v>
      </c>
      <c r="H79" s="95" t="n">
        <f aca="false">MIN(TblPop[[#This Row],[Peasants]],TblPop[[#This Row],[Jobs]])</f>
        <v>9429</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-34</v>
      </c>
      <c r="M79" s="33" t="n">
        <f aca="false">TblMili[[#This Row],[Unit 1]]</f>
        <v>13</v>
      </c>
      <c r="N79" s="33" t="n">
        <f aca="false">TblMili[[#This Row],[Unit 2]]</f>
        <v>965</v>
      </c>
      <c r="O79" s="33" t="n">
        <f aca="false">TblMili[[#This Row],[Unit 3]]</f>
        <v>625</v>
      </c>
      <c r="P79" s="33" t="n">
        <f aca="false">TblMili[[#This Row],[Unit 4]]</f>
        <v>638</v>
      </c>
      <c r="Q79" s="33" t="n">
        <f aca="false">TblMili[[#This Row],[Spies]]</f>
        <v>25</v>
      </c>
      <c r="R79" s="33" t="n">
        <f aca="false">TblMili[[#This Row],[Wizards]]</f>
        <v>27</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12649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79" s="69" t="n">
        <f aca="false">MAX(-5%*TblPop[[#This Row],[Peasants]]-TblPop[[#This Row],[Draft Growth]],MIN(OFFSET(TblPop[[#This Row],[Net max]],1,0)-TblPop[[#This Row],[Peasants]]-TblPop[[#This Row],[Military]]-TblPop[[#This Row],[Draft Growth]],TblPop[[#This Row],[Modded Birth]]-TblPop[[#This Row],[Draft Growth]]))</f>
        <v>-94</v>
      </c>
      <c r="X79" s="69" t="n">
        <f aca="false">ROUND(TblPop[[#This Row],[Raw Birth]]*(1+TblPop[[#This Row],[Growth]]),0)</f>
        <v>402</v>
      </c>
      <c r="Y79" s="69" t="n">
        <f aca="false">(TblPop[[#This Row],[Peasants]]-TblPop[[#This Row],[Draft Growth]])*raw_pop_growth</f>
        <v>280.05</v>
      </c>
      <c r="Z79" s="69" t="n">
        <f aca="false">IF(TblPop[[#This Row],[Military%]]&lt;TblMili[[#This Row],[Draftrate]],ROUND(TblPop[[#This Row],[Peasants]]*Constants!$B$55,0), 0)</f>
        <v>94</v>
      </c>
      <c r="AA79" s="132"/>
      <c r="AB79" s="109" t="n">
        <f aca="false">Overview!$I$16 + IF(Magic!AE79&gt;0,Constants!$F$78) + ROUND(6*(Construction!BM80+Construction!CK79)/IF(Explore!S80&gt;0,Construction!F80-20,Construction!F80),4) + tech_6_5_2*Techs!BJ79 + tech_8_4*Techs!BT79</f>
        <v>0.4365</v>
      </c>
      <c r="AC79" s="130" t="n">
        <f aca="false">(Overview!$I$15 + Imps!Z79+ tech_2_5*Techs!AB79 + tech_3_6*Techs!AM79 + tech_6_1*Techs!BJ79 + tech_6_5*Techs!BF79 + tech_7_3_2*Techs!BN79) * (1 + Production!P79/100*prestige_pop_multiplier) + Production!P79/100*prestige_pop_multiplier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9335</v>
      </c>
      <c r="D80" s="69" t="n">
        <f aca="false">TblMili[[#This Row],[Military]]</f>
        <v>3314</v>
      </c>
      <c r="E80" s="69" t="n">
        <f aca="false">TblMili[[#This Row],[Draftees]]</f>
        <v>60</v>
      </c>
      <c r="F80" s="69" t="n">
        <f aca="false">TblPop[[#This Row],[Peasants]]+TblPop[[#This Row],[Military]]</f>
        <v>12649</v>
      </c>
      <c r="G80" s="130" t="n">
        <f aca="false">TblPop[[#This Row],[Military]]/TblPop[[#This Row],[Total]]</f>
        <v>0.261996995809945</v>
      </c>
      <c r="H80" s="95" t="n">
        <f aca="false">MIN(TblPop[[#This Row],[Peasants]],TblPop[[#This Row],[Jobs]])</f>
        <v>9335</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60</v>
      </c>
      <c r="M80" s="33" t="n">
        <f aca="false">TblMili[[#This Row],[Unit 1]]</f>
        <v>13</v>
      </c>
      <c r="N80" s="33" t="n">
        <f aca="false">TblMili[[#This Row],[Unit 2]]</f>
        <v>1017</v>
      </c>
      <c r="O80" s="33" t="n">
        <f aca="false">TblMili[[#This Row],[Unit 3]]</f>
        <v>625</v>
      </c>
      <c r="P80" s="33" t="n">
        <f aca="false">TblMili[[#This Row],[Unit 4]]</f>
        <v>638</v>
      </c>
      <c r="Q80" s="33" t="n">
        <f aca="false">TblMili[[#This Row],[Spies]]</f>
        <v>25</v>
      </c>
      <c r="R80" s="33" t="n">
        <f aca="false">TblMili[[#This Row],[Wizards]]</f>
        <v>27</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12649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0" s="69" t="n">
        <f aca="false">MAX(-5%*TblPop[[#This Row],[Peasants]]-TblPop[[#This Row],[Draft Growth]],MIN(OFFSET(TblPop[[#This Row],[Net max]],1,0)-TblPop[[#This Row],[Peasants]]-TblPop[[#This Row],[Military]]-TblPop[[#This Row],[Draft Growth]],TblPop[[#This Row],[Modded Birth]]-TblPop[[#This Row],[Draft Growth]]))</f>
        <v>-93</v>
      </c>
      <c r="X80" s="69" t="n">
        <f aca="false">ROUND(TblPop[[#This Row],[Raw Birth]]*(1+TblPop[[#This Row],[Growth]]),0)</f>
        <v>398</v>
      </c>
      <c r="Y80" s="69" t="n">
        <f aca="false">(TblPop[[#This Row],[Peasants]]-TblPop[[#This Row],[Draft Growth]])*raw_pop_growth</f>
        <v>277.26</v>
      </c>
      <c r="Z80" s="69" t="n">
        <f aca="false">IF(TblPop[[#This Row],[Military%]]&lt;TblMili[[#This Row],[Draftrate]],ROUND(TblPop[[#This Row],[Peasants]]*Constants!$B$55,0), 0)</f>
        <v>93</v>
      </c>
      <c r="AA80" s="132"/>
      <c r="AB80" s="109" t="n">
        <f aca="false">Overview!$I$16 + IF(Magic!AE80&gt;0,Constants!$F$78) + ROUND(6*(Construction!BM81+Construction!CK80)/IF(Explore!S81&gt;0,Construction!F81-20,Construction!F81),4) + tech_6_5_2*Techs!BJ80 + tech_8_4*Techs!BT80</f>
        <v>0.4365</v>
      </c>
      <c r="AC80" s="130" t="n">
        <f aca="false">(Overview!$I$15 + Imps!Z80+ tech_2_5*Techs!AB80 + tech_3_6*Techs!AM80 + tech_6_1*Techs!BJ80 + tech_6_5*Techs!BF80 + tech_7_3_2*Techs!BN80) * (1 + Production!P80/100*prestige_pop_multiplier) + Production!P80/100*prestige_pop_multiplier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9242</v>
      </c>
      <c r="D81" s="69" t="n">
        <f aca="false">TblMili[[#This Row],[Military]]</f>
        <v>3407</v>
      </c>
      <c r="E81" s="69" t="n">
        <f aca="false">TblMili[[#This Row],[Draftees]]</f>
        <v>153</v>
      </c>
      <c r="F81" s="69" t="n">
        <f aca="false">TblPop[[#This Row],[Peasants]]+TblPop[[#This Row],[Military]]</f>
        <v>12649</v>
      </c>
      <c r="G81" s="130" t="n">
        <f aca="false">TblPop[[#This Row],[Military]]/TblPop[[#This Row],[Total]]</f>
        <v>0.269349355680291</v>
      </c>
      <c r="H81" s="95" t="n">
        <f aca="false">MIN(TblPop[[#This Row],[Peasants]],TblPop[[#This Row],[Jobs]])</f>
        <v>9242</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153</v>
      </c>
      <c r="M81" s="33" t="n">
        <f aca="false">TblMili[[#This Row],[Unit 1]]</f>
        <v>13</v>
      </c>
      <c r="N81" s="33" t="n">
        <f aca="false">TblMili[[#This Row],[Unit 2]]</f>
        <v>1017</v>
      </c>
      <c r="O81" s="33" t="n">
        <f aca="false">TblMili[[#This Row],[Unit 3]]</f>
        <v>625</v>
      </c>
      <c r="P81" s="33" t="n">
        <f aca="false">TblMili[[#This Row],[Unit 4]]</f>
        <v>638</v>
      </c>
      <c r="Q81" s="33" t="n">
        <f aca="false">TblMili[[#This Row],[Spies]]</f>
        <v>25</v>
      </c>
      <c r="R81" s="33" t="n">
        <f aca="false">TblMili[[#This Row],[Wizards]]</f>
        <v>27</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12649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1" s="69" t="n">
        <f aca="false">MAX(-5%*TblPop[[#This Row],[Peasants]]-TblPop[[#This Row],[Draft Growth]],MIN(OFFSET(TblPop[[#This Row],[Net max]],1,0)-TblPop[[#This Row],[Peasants]]-TblPop[[#This Row],[Military]]-TblPop[[#This Row],[Draft Growth]],TblPop[[#This Row],[Modded Birth]]-TblPop[[#This Row],[Draft Growth]]))</f>
        <v>-92</v>
      </c>
      <c r="X81" s="69" t="n">
        <f aca="false">ROUND(TblPop[[#This Row],[Raw Birth]]*(1+TblPop[[#This Row],[Growth]]),0)</f>
        <v>394</v>
      </c>
      <c r="Y81" s="69" t="n">
        <f aca="false">(TblPop[[#This Row],[Peasants]]-TblPop[[#This Row],[Draft Growth]])*raw_pop_growth</f>
        <v>274.5</v>
      </c>
      <c r="Z81" s="69" t="n">
        <f aca="false">IF(TblPop[[#This Row],[Military%]]&lt;TblMili[[#This Row],[Draftrate]],ROUND(TblPop[[#This Row],[Peasants]]*Constants!$B$55,0), 0)</f>
        <v>92</v>
      </c>
      <c r="AA81" s="132"/>
      <c r="AB81" s="109" t="n">
        <f aca="false">Overview!$I$16 + IF(Magic!AE81&gt;0,Constants!$F$78) + ROUND(6*(Construction!BM82+Construction!CK81)/IF(Explore!S82&gt;0,Construction!F82-20,Construction!F82),4) + tech_6_5_2*Techs!BJ81 + tech_8_4*Techs!BT81</f>
        <v>0.4365</v>
      </c>
      <c r="AC81" s="130" t="n">
        <f aca="false">(Overview!$I$15 + Imps!Z81+ tech_2_5*Techs!AB81 + tech_3_6*Techs!AM81 + tech_6_1*Techs!BJ81 + tech_6_5*Techs!BF81 + tech_7_3_2*Techs!BN81) * (1 + Production!P81/100*prestige_pop_multiplier) + Production!P81/100*prestige_pop_multiplier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9150</v>
      </c>
      <c r="D82" s="69" t="n">
        <f aca="false">TblMili[[#This Row],[Military]]</f>
        <v>3499</v>
      </c>
      <c r="E82" s="69" t="n">
        <f aca="false">TblMili[[#This Row],[Draftees]]</f>
        <v>245</v>
      </c>
      <c r="F82" s="69" t="n">
        <f aca="false">TblPop[[#This Row],[Peasants]]+TblPop[[#This Row],[Military]]</f>
        <v>12649</v>
      </c>
      <c r="G82" s="130" t="n">
        <f aca="false">TblPop[[#This Row],[Military]]/TblPop[[#This Row],[Total]]</f>
        <v>0.276622657917622</v>
      </c>
      <c r="H82" s="95" t="n">
        <f aca="false">MIN(TblPop[[#This Row],[Peasants]],TblPop[[#This Row],[Jobs]])</f>
        <v>9150</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245</v>
      </c>
      <c r="M82" s="33" t="n">
        <f aca="false">TblMili[[#This Row],[Unit 1]]</f>
        <v>13</v>
      </c>
      <c r="N82" s="33" t="n">
        <f aca="false">TblMili[[#This Row],[Unit 2]]</f>
        <v>1017</v>
      </c>
      <c r="O82" s="33" t="n">
        <f aca="false">TblMili[[#This Row],[Unit 3]]</f>
        <v>625</v>
      </c>
      <c r="P82" s="33" t="n">
        <f aca="false">TblMili[[#This Row],[Unit 4]]</f>
        <v>696</v>
      </c>
      <c r="Q82" s="33" t="n">
        <f aca="false">TblMili[[#This Row],[Spies]]</f>
        <v>25</v>
      </c>
      <c r="R82" s="33" t="n">
        <f aca="false">TblMili[[#This Row],[Wizards]]</f>
        <v>27</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12649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2" s="69" t="n">
        <f aca="false">MAX(-5%*TblPop[[#This Row],[Peasants]]-TblPop[[#This Row],[Draft Growth]],MIN(OFFSET(TblPop[[#This Row],[Net max]],1,0)-TblPop[[#This Row],[Peasants]]-TblPop[[#This Row],[Military]]-TblPop[[#This Row],[Draft Growth]],TblPop[[#This Row],[Modded Birth]]-TblPop[[#This Row],[Draft Growth]]))</f>
        <v>-92</v>
      </c>
      <c r="X82" s="69" t="n">
        <f aca="false">ROUND(TblPop[[#This Row],[Raw Birth]]*(1+TblPop[[#This Row],[Growth]]),0)</f>
        <v>390</v>
      </c>
      <c r="Y82" s="69" t="n">
        <f aca="false">(TblPop[[#This Row],[Peasants]]-TblPop[[#This Row],[Draft Growth]])*raw_pop_growth</f>
        <v>271.74</v>
      </c>
      <c r="Z82" s="69" t="n">
        <f aca="false">IF(TblPop[[#This Row],[Military%]]&lt;TblMili[[#This Row],[Draftrate]],ROUND(TblPop[[#This Row],[Peasants]]*Constants!$B$55,0), 0)</f>
        <v>92</v>
      </c>
      <c r="AA82" s="132"/>
      <c r="AB82" s="109" t="n">
        <f aca="false">Overview!$I$16 + IF(Magic!AE82&gt;0,Constants!$F$78) + ROUND(6*(Construction!BM83+Construction!CK82)/IF(Explore!S83&gt;0,Construction!F83-20,Construction!F83),4) + tech_6_5_2*Techs!BJ82 + tech_8_4*Techs!BT82</f>
        <v>0.4365</v>
      </c>
      <c r="AC82" s="130" t="n">
        <f aca="false">(Overview!$I$15 + Imps!Z82+ tech_2_5*Techs!AB82 + tech_3_6*Techs!AM82 + tech_6_1*Techs!BJ82 + tech_6_5*Techs!BF82 + tech_7_3_2*Techs!BN82) * (1 + Production!P82/100*prestige_pop_multiplier) + Production!P82/100*prestige_pop_multiplier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9058</v>
      </c>
      <c r="D83" s="69" t="n">
        <f aca="false">TblMili[[#This Row],[Military]]</f>
        <v>3591</v>
      </c>
      <c r="E83" s="69" t="n">
        <f aca="false">TblMili[[#This Row],[Draftees]]</f>
        <v>337</v>
      </c>
      <c r="F83" s="69" t="n">
        <f aca="false">TblPop[[#This Row],[Peasants]]+TblPop[[#This Row],[Military]]</f>
        <v>12649</v>
      </c>
      <c r="G83" s="130" t="n">
        <f aca="false">TblPop[[#This Row],[Military]]/TblPop[[#This Row],[Total]]</f>
        <v>0.283895960154953</v>
      </c>
      <c r="H83" s="95" t="n">
        <f aca="false">MIN(TblPop[[#This Row],[Peasants]],TblPop[[#This Row],[Jobs]])</f>
        <v>9058</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337</v>
      </c>
      <c r="M83" s="33" t="n">
        <f aca="false">TblMili[[#This Row],[Unit 1]]</f>
        <v>13</v>
      </c>
      <c r="N83" s="33" t="n">
        <f aca="false">TblMili[[#This Row],[Unit 2]]</f>
        <v>1017</v>
      </c>
      <c r="O83" s="33" t="n">
        <f aca="false">TblMili[[#This Row],[Unit 3]]</f>
        <v>625</v>
      </c>
      <c r="P83" s="33" t="n">
        <f aca="false">TblMili[[#This Row],[Unit 4]]</f>
        <v>748</v>
      </c>
      <c r="Q83" s="33" t="n">
        <f aca="false">TblMili[[#This Row],[Spies]]</f>
        <v>25</v>
      </c>
      <c r="R83" s="33" t="n">
        <f aca="false">TblMili[[#This Row],[Wizards]]</f>
        <v>27</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12649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3" s="69" t="n">
        <f aca="false">MAX(-5%*TblPop[[#This Row],[Peasants]]-TblPop[[#This Row],[Draft Growth]],MIN(OFFSET(TblPop[[#This Row],[Net max]],1,0)-TblPop[[#This Row],[Peasants]]-TblPop[[#This Row],[Military]]-TblPop[[#This Row],[Draft Growth]],TblPop[[#This Row],[Modded Birth]]-TblPop[[#This Row],[Draft Growth]]))</f>
        <v>-91</v>
      </c>
      <c r="X83" s="69" t="n">
        <f aca="false">ROUND(TblPop[[#This Row],[Raw Birth]]*(1+TblPop[[#This Row],[Growth]]),0)</f>
        <v>386</v>
      </c>
      <c r="Y83" s="69" t="n">
        <f aca="false">(TblPop[[#This Row],[Peasants]]-TblPop[[#This Row],[Draft Growth]])*raw_pop_growth</f>
        <v>269.01</v>
      </c>
      <c r="Z83" s="69" t="n">
        <f aca="false">IF(TblPop[[#This Row],[Military%]]&lt;TblMili[[#This Row],[Draftrate]],ROUND(TblPop[[#This Row],[Peasants]]*Constants!$B$55,0), 0)</f>
        <v>91</v>
      </c>
      <c r="AA83" s="132"/>
      <c r="AB83" s="109" t="n">
        <f aca="false">Overview!$I$16 + IF(Magic!AE83&gt;0,Constants!$F$78) + ROUND(6*(Construction!BM84+Construction!CK83)/IF(Explore!S84&gt;0,Construction!F84-20,Construction!F84),4) + tech_6_5_2*Techs!BJ83 + tech_8_4*Techs!BT83</f>
        <v>0.4365</v>
      </c>
      <c r="AC83" s="130" t="n">
        <f aca="false">(Overview!$I$15 + Imps!Z83+ tech_2_5*Techs!AB83 + tech_3_6*Techs!AM83 + tech_6_1*Techs!BJ83 + tech_6_5*Techs!BF83 + tech_7_3_2*Techs!BN83) * (1 + Production!P83/100*prestige_pop_multiplier) + Production!P83/100*prestige_pop_multiplier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8967</v>
      </c>
      <c r="D84" s="69" t="n">
        <f aca="false">TblMili[[#This Row],[Military]]</f>
        <v>3682</v>
      </c>
      <c r="E84" s="69" t="n">
        <f aca="false">TblMili[[#This Row],[Draftees]]</f>
        <v>428</v>
      </c>
      <c r="F84" s="69" t="n">
        <f aca="false">TblPop[[#This Row],[Peasants]]+TblPop[[#This Row],[Military]]</f>
        <v>12649</v>
      </c>
      <c r="G84" s="130" t="n">
        <f aca="false">TblPop[[#This Row],[Military]]/TblPop[[#This Row],[Total]]</f>
        <v>0.29109020475927</v>
      </c>
      <c r="H84" s="95" t="n">
        <f aca="false">MIN(TblPop[[#This Row],[Peasants]],TblPop[[#This Row],[Jobs]])</f>
        <v>8967</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428</v>
      </c>
      <c r="M84" s="33" t="n">
        <f aca="false">TblMili[[#This Row],[Unit 1]]</f>
        <v>13</v>
      </c>
      <c r="N84" s="33" t="n">
        <f aca="false">TblMili[[#This Row],[Unit 2]]</f>
        <v>1017</v>
      </c>
      <c r="O84" s="33" t="n">
        <f aca="false">TblMili[[#This Row],[Unit 3]]</f>
        <v>625</v>
      </c>
      <c r="P84" s="33" t="n">
        <f aca="false">TblMili[[#This Row],[Unit 4]]</f>
        <v>851</v>
      </c>
      <c r="Q84" s="33" t="n">
        <f aca="false">TblMili[[#This Row],[Spies]]</f>
        <v>25</v>
      </c>
      <c r="R84" s="33" t="n">
        <f aca="false">TblMili[[#This Row],[Wizards]]</f>
        <v>27</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12649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4" s="69" t="n">
        <f aca="false">MAX(-5%*TblPop[[#This Row],[Peasants]]-TblPop[[#This Row],[Draft Growth]],MIN(OFFSET(TblPop[[#This Row],[Net max]],1,0)-TblPop[[#This Row],[Peasants]]-TblPop[[#This Row],[Military]]-TblPop[[#This Row],[Draft Growth]],TblPop[[#This Row],[Modded Birth]]-TblPop[[#This Row],[Draft Growth]]))</f>
        <v>-90</v>
      </c>
      <c r="X84" s="69" t="n">
        <f aca="false">ROUND(TblPop[[#This Row],[Raw Birth]]*(1+TblPop[[#This Row],[Growth]]),0)</f>
        <v>383</v>
      </c>
      <c r="Y84" s="69" t="n">
        <f aca="false">(TblPop[[#This Row],[Peasants]]-TblPop[[#This Row],[Draft Growth]])*raw_pop_growth</f>
        <v>266.31</v>
      </c>
      <c r="Z84" s="69" t="n">
        <f aca="false">IF(TblPop[[#This Row],[Military%]]&lt;TblMili[[#This Row],[Draftrate]],ROUND(TblPop[[#This Row],[Peasants]]*Constants!$B$55,0), 0)</f>
        <v>90</v>
      </c>
      <c r="AA84" s="132"/>
      <c r="AB84" s="109" t="n">
        <f aca="false">Overview!$I$16 + IF(Magic!AE84&gt;0,Constants!$F$78) + ROUND(6*(Construction!BM85+Construction!CK84)/IF(Explore!S85&gt;0,Construction!F85-20,Construction!F85),4) + tech_6_5_2*Techs!BJ84 + tech_8_4*Techs!BT84</f>
        <v>0.4365</v>
      </c>
      <c r="AC84" s="130" t="n">
        <f aca="false">(Overview!$I$15 + Imps!Z84+ tech_2_5*Techs!AB84 + tech_3_6*Techs!AM84 + tech_6_1*Techs!BJ84 + tech_6_5*Techs!BF84 + tech_7_3_2*Techs!BN84) * (1 + Production!P84/100*prestige_pop_multiplier) + Production!P84/100*prestige_pop_multiplier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8877</v>
      </c>
      <c r="D85" s="69" t="n">
        <f aca="false">TblMili[[#This Row],[Military]]</f>
        <v>3772</v>
      </c>
      <c r="E85" s="69" t="n">
        <f aca="false">TblMili[[#This Row],[Draftees]]</f>
        <v>518</v>
      </c>
      <c r="F85" s="69" t="n">
        <f aca="false">TblPop[[#This Row],[Peasants]]+TblPop[[#This Row],[Military]]</f>
        <v>12649</v>
      </c>
      <c r="G85" s="130" t="n">
        <f aca="false">TblPop[[#This Row],[Military]]/TblPop[[#This Row],[Total]]</f>
        <v>0.298205391730572</v>
      </c>
      <c r="H85" s="95" t="n">
        <f aca="false">MIN(TblPop[[#This Row],[Peasants]],TblPop[[#This Row],[Jobs]])</f>
        <v>8877</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518</v>
      </c>
      <c r="M85" s="33" t="n">
        <f aca="false">TblMili[[#This Row],[Unit 1]]</f>
        <v>13</v>
      </c>
      <c r="N85" s="33" t="n">
        <f aca="false">TblMili[[#This Row],[Unit 2]]</f>
        <v>1017</v>
      </c>
      <c r="O85" s="33" t="n">
        <f aca="false">TblMili[[#This Row],[Unit 3]]</f>
        <v>625</v>
      </c>
      <c r="P85" s="33" t="n">
        <f aca="false">TblMili[[#This Row],[Unit 4]]</f>
        <v>953</v>
      </c>
      <c r="Q85" s="33" t="n">
        <f aca="false">TblMili[[#This Row],[Spies]]</f>
        <v>25</v>
      </c>
      <c r="R85" s="33" t="n">
        <f aca="false">TblMili[[#This Row],[Wizards]]</f>
        <v>27</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12649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5" s="69" t="n">
        <f aca="false">MAX(-5%*TblPop[[#This Row],[Peasants]]-TblPop[[#This Row],[Draft Growth]],MIN(OFFSET(TblPop[[#This Row],[Net max]],1,0)-TblPop[[#This Row],[Peasants]]-TblPop[[#This Row],[Military]]-TblPop[[#This Row],[Draft Growth]],TblPop[[#This Row],[Modded Birth]]-TblPop[[#This Row],[Draft Growth]]))</f>
        <v>-89</v>
      </c>
      <c r="X85" s="69" t="n">
        <f aca="false">ROUND(TblPop[[#This Row],[Raw Birth]]*(1+TblPop[[#This Row],[Growth]]),0)</f>
        <v>379</v>
      </c>
      <c r="Y85" s="69" t="n">
        <f aca="false">(TblPop[[#This Row],[Peasants]]-TblPop[[#This Row],[Draft Growth]])*raw_pop_growth</f>
        <v>263.64</v>
      </c>
      <c r="Z85" s="69" t="n">
        <f aca="false">IF(TblPop[[#This Row],[Military%]]&lt;TblMili[[#This Row],[Draftrate]],ROUND(TblPop[[#This Row],[Peasants]]*Constants!$B$55,0), 0)</f>
        <v>89</v>
      </c>
      <c r="AA85" s="132"/>
      <c r="AB85" s="109" t="n">
        <f aca="false">Overview!$I$16 + IF(Magic!AE85&gt;0,Constants!$F$78) + ROUND(6*(Construction!BM86+Construction!CK85)/IF(Explore!S86&gt;0,Construction!F86-20,Construction!F86),4) + tech_6_5_2*Techs!BJ85 + tech_8_4*Techs!BT85</f>
        <v>0.4365</v>
      </c>
      <c r="AC85" s="130" t="n">
        <f aca="false">(Overview!$I$15 + Imps!Z85+ tech_2_5*Techs!AB85 + tech_3_6*Techs!AM85 + tech_6_1*Techs!BJ85 + tech_6_5*Techs!BF85 + tech_7_3_2*Techs!BN85) * (1 + Production!P85/100*prestige_pop_multiplier) + Production!P85/100*prestige_pop_multiplier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8788</v>
      </c>
      <c r="D86" s="69" t="n">
        <f aca="false">TblMili[[#This Row],[Military]]</f>
        <v>3861</v>
      </c>
      <c r="E86" s="69" t="n">
        <f aca="false">TblMili[[#This Row],[Draftees]]</f>
        <v>607</v>
      </c>
      <c r="F86" s="69" t="n">
        <f aca="false">TblPop[[#This Row],[Peasants]]+TblPop[[#This Row],[Military]]</f>
        <v>12649</v>
      </c>
      <c r="G86" s="130" t="n">
        <f aca="false">TblPop[[#This Row],[Military]]/TblPop[[#This Row],[Total]]</f>
        <v>0.305241521068859</v>
      </c>
      <c r="H86" s="95" t="n">
        <f aca="false">MIN(TblPop[[#This Row],[Peasants]],TblPop[[#This Row],[Jobs]])</f>
        <v>8788</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607</v>
      </c>
      <c r="M86" s="33" t="n">
        <f aca="false">TblMili[[#This Row],[Unit 1]]</f>
        <v>13</v>
      </c>
      <c r="N86" s="33" t="n">
        <f aca="false">TblMili[[#This Row],[Unit 2]]</f>
        <v>1065</v>
      </c>
      <c r="O86" s="33" t="n">
        <f aca="false">TblMili[[#This Row],[Unit 3]]</f>
        <v>625</v>
      </c>
      <c r="P86" s="33" t="n">
        <f aca="false">TblMili[[#This Row],[Unit 4]]</f>
        <v>1054</v>
      </c>
      <c r="Q86" s="33" t="n">
        <f aca="false">TblMili[[#This Row],[Spies]]</f>
        <v>25</v>
      </c>
      <c r="R86" s="33" t="n">
        <f aca="false">TblMili[[#This Row],[Wizards]]</f>
        <v>27</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12649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6" s="69" t="n">
        <f aca="false">MAX(-5%*TblPop[[#This Row],[Peasants]]-TblPop[[#This Row],[Draft Growth]],MIN(OFFSET(TblPop[[#This Row],[Net max]],1,0)-TblPop[[#This Row],[Peasants]]-TblPop[[#This Row],[Military]]-TblPop[[#This Row],[Draft Growth]],TblPop[[#This Row],[Modded Birth]]-TblPop[[#This Row],[Draft Growth]]))</f>
        <v>-88</v>
      </c>
      <c r="X86" s="69" t="n">
        <f aca="false">ROUND(TblPop[[#This Row],[Raw Birth]]*(1+TblPop[[#This Row],[Growth]]),0)</f>
        <v>375</v>
      </c>
      <c r="Y86" s="69" t="n">
        <f aca="false">(TblPop[[#This Row],[Peasants]]-TblPop[[#This Row],[Draft Growth]])*raw_pop_growth</f>
        <v>261</v>
      </c>
      <c r="Z86" s="69" t="n">
        <f aca="false">IF(TblPop[[#This Row],[Military%]]&lt;TblMili[[#This Row],[Draftrate]],ROUND(TblPop[[#This Row],[Peasants]]*Constants!$B$55,0), 0)</f>
        <v>88</v>
      </c>
      <c r="AA86" s="132"/>
      <c r="AB86" s="109" t="n">
        <f aca="false">Overview!$I$16 + IF(Magic!AE86&gt;0,Constants!$F$78) + ROUND(6*(Construction!BM87+Construction!CK86)/IF(Explore!S87&gt;0,Construction!F87-20,Construction!F87),4) + tech_6_5_2*Techs!BJ86 + tech_8_4*Techs!BT86</f>
        <v>0.4365</v>
      </c>
      <c r="AC86" s="130" t="n">
        <f aca="false">(Overview!$I$15 + Imps!Z86+ tech_2_5*Techs!AB86 + tech_3_6*Techs!AM86 + tech_6_1*Techs!BJ86 + tech_6_5*Techs!BF86 + tech_7_3_2*Techs!BN86) * (1 + Production!P86/100*prestige_pop_multiplier) + Production!P86/100*prestige_pop_multiplier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8700</v>
      </c>
      <c r="D87" s="69" t="n">
        <f aca="false">TblMili[[#This Row],[Military]]</f>
        <v>3949</v>
      </c>
      <c r="E87" s="69" t="n">
        <f aca="false">TblMili[[#This Row],[Draftees]]</f>
        <v>695</v>
      </c>
      <c r="F87" s="69" t="n">
        <f aca="false">TblPop[[#This Row],[Peasants]]+TblPop[[#This Row],[Military]]</f>
        <v>12649</v>
      </c>
      <c r="G87" s="130" t="n">
        <f aca="false">TblPop[[#This Row],[Military]]/TblPop[[#This Row],[Total]]</f>
        <v>0.312198592774132</v>
      </c>
      <c r="H87" s="95" t="n">
        <f aca="false">MIN(TblPop[[#This Row],[Peasants]],TblPop[[#This Row],[Jobs]])</f>
        <v>8700</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695</v>
      </c>
      <c r="M87" s="33" t="n">
        <f aca="false">TblMili[[#This Row],[Unit 1]]</f>
        <v>13</v>
      </c>
      <c r="N87" s="33" t="n">
        <f aca="false">TblMili[[#This Row],[Unit 2]]</f>
        <v>1163</v>
      </c>
      <c r="O87" s="33" t="n">
        <f aca="false">TblMili[[#This Row],[Unit 3]]</f>
        <v>625</v>
      </c>
      <c r="P87" s="33" t="n">
        <f aca="false">TblMili[[#This Row],[Unit 4]]</f>
        <v>1154</v>
      </c>
      <c r="Q87" s="33" t="n">
        <f aca="false">TblMili[[#This Row],[Spies]]</f>
        <v>25</v>
      </c>
      <c r="R87" s="33" t="n">
        <f aca="false">TblMili[[#This Row],[Wizards]]</f>
        <v>27</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12649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7" s="69" t="n">
        <f aca="false">MAX(-5%*TblPop[[#This Row],[Peasants]]-TblPop[[#This Row],[Draft Growth]],MIN(OFFSET(TblPop[[#This Row],[Net max]],1,0)-TblPop[[#This Row],[Peasants]]-TblPop[[#This Row],[Military]]-TblPop[[#This Row],[Draft Growth]],TblPop[[#This Row],[Modded Birth]]-TblPop[[#This Row],[Draft Growth]]))</f>
        <v>-87</v>
      </c>
      <c r="X87" s="69" t="n">
        <f aca="false">ROUND(TblPop[[#This Row],[Raw Birth]]*(1+TblPop[[#This Row],[Growth]]),0)</f>
        <v>371</v>
      </c>
      <c r="Y87" s="69" t="n">
        <f aca="false">(TblPop[[#This Row],[Peasants]]-TblPop[[#This Row],[Draft Growth]])*raw_pop_growth</f>
        <v>258.39</v>
      </c>
      <c r="Z87" s="69" t="n">
        <f aca="false">IF(TblPop[[#This Row],[Military%]]&lt;TblMili[[#This Row],[Draftrate]],ROUND(TblPop[[#This Row],[Peasants]]*Constants!$B$55,0), 0)</f>
        <v>87</v>
      </c>
      <c r="AA87" s="132"/>
      <c r="AB87" s="109" t="n">
        <f aca="false">Overview!$I$16 + IF(Magic!AE87&gt;0,Constants!$F$78) + ROUND(6*(Construction!BM88+Construction!CK87)/IF(Explore!S88&gt;0,Construction!F88-20,Construction!F88),4) + tech_6_5_2*Techs!BJ87 + tech_8_4*Techs!BT87</f>
        <v>0.4365</v>
      </c>
      <c r="AC87" s="130" t="n">
        <f aca="false">(Overview!$I$15 + Imps!Z87+ tech_2_5*Techs!AB87 + tech_3_6*Techs!AM87 + tech_6_1*Techs!BJ87 + tech_6_5*Techs!BF87 + tech_7_3_2*Techs!BN87) * (1 + Production!P87/100*prestige_pop_multiplier) + Production!P87/100*prestige_pop_multiplier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8613</v>
      </c>
      <c r="D88" s="69" t="n">
        <f aca="false">TblMili[[#This Row],[Military]]</f>
        <v>4036</v>
      </c>
      <c r="E88" s="69" t="n">
        <f aca="false">TblMili[[#This Row],[Draftees]]</f>
        <v>782</v>
      </c>
      <c r="F88" s="69" t="n">
        <f aca="false">TblPop[[#This Row],[Peasants]]+TblPop[[#This Row],[Military]]</f>
        <v>12649</v>
      </c>
      <c r="G88" s="130" t="n">
        <f aca="false">TblPop[[#This Row],[Military]]/TblPop[[#This Row],[Total]]</f>
        <v>0.319076606846391</v>
      </c>
      <c r="H88" s="95" t="n">
        <f aca="false">MIN(TblPop[[#This Row],[Peasants]],TblPop[[#This Row],[Jobs]])</f>
        <v>8613</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782</v>
      </c>
      <c r="M88" s="33" t="n">
        <f aca="false">TblMili[[#This Row],[Unit 1]]</f>
        <v>13</v>
      </c>
      <c r="N88" s="33" t="n">
        <f aca="false">TblMili[[#This Row],[Unit 2]]</f>
        <v>1261</v>
      </c>
      <c r="O88" s="33" t="n">
        <f aca="false">TblMili[[#This Row],[Unit 3]]</f>
        <v>650</v>
      </c>
      <c r="P88" s="33" t="n">
        <f aca="false">TblMili[[#This Row],[Unit 4]]</f>
        <v>1228</v>
      </c>
      <c r="Q88" s="33" t="n">
        <f aca="false">TblMili[[#This Row],[Spies]]</f>
        <v>25</v>
      </c>
      <c r="R88" s="33" t="n">
        <f aca="false">TblMili[[#This Row],[Wizards]]</f>
        <v>27</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12649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8" s="69" t="n">
        <f aca="false">MAX(-5%*TblPop[[#This Row],[Peasants]]-TblPop[[#This Row],[Draft Growth]],MIN(OFFSET(TblPop[[#This Row],[Net max]],1,0)-TblPop[[#This Row],[Peasants]]-TblPop[[#This Row],[Military]]-TblPop[[#This Row],[Draft Growth]],TblPop[[#This Row],[Modded Birth]]-TblPop[[#This Row],[Draft Growth]]))</f>
        <v>-86</v>
      </c>
      <c r="X88" s="69" t="n">
        <f aca="false">ROUND(TblPop[[#This Row],[Raw Birth]]*(1+TblPop[[#This Row],[Growth]]),0)</f>
        <v>367</v>
      </c>
      <c r="Y88" s="69" t="n">
        <f aca="false">(TblPop[[#This Row],[Peasants]]-TblPop[[#This Row],[Draft Growth]])*raw_pop_growth</f>
        <v>255.81</v>
      </c>
      <c r="Z88" s="69" t="n">
        <f aca="false">IF(TblPop[[#This Row],[Military%]]&lt;TblMili[[#This Row],[Draftrate]],ROUND(TblPop[[#This Row],[Peasants]]*Constants!$B$55,0), 0)</f>
        <v>86</v>
      </c>
      <c r="AA88" s="132"/>
      <c r="AB88" s="109" t="n">
        <f aca="false">Overview!$I$16 + IF(Magic!AE88&gt;0,Constants!$F$78) + ROUND(6*(Construction!BM89+Construction!CK88)/IF(Explore!S89&gt;0,Construction!F89-20,Construction!F89),4) + tech_6_5_2*Techs!BJ88 + tech_8_4*Techs!BT88</f>
        <v>0.4365</v>
      </c>
      <c r="AC88" s="130" t="n">
        <f aca="false">(Overview!$I$15 + Imps!Z88+ tech_2_5*Techs!AB88 + tech_3_6*Techs!AM88 + tech_6_1*Techs!BJ88 + tech_6_5*Techs!BF88 + tech_7_3_2*Techs!BN88) * (1 + Production!P88/100*prestige_pop_multiplier) + Production!P88/100*prestige_pop_multiplier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8527</v>
      </c>
      <c r="D89" s="69" t="n">
        <f aca="false">TblMili[[#This Row],[Military]]</f>
        <v>4122</v>
      </c>
      <c r="E89" s="69" t="n">
        <f aca="false">TblMili[[#This Row],[Draftees]]</f>
        <v>868</v>
      </c>
      <c r="F89" s="69" t="n">
        <f aca="false">TblPop[[#This Row],[Peasants]]+TblPop[[#This Row],[Military]]</f>
        <v>12649</v>
      </c>
      <c r="G89" s="130" t="n">
        <f aca="false">TblPop[[#This Row],[Military]]/TblPop[[#This Row],[Total]]</f>
        <v>0.325875563285635</v>
      </c>
      <c r="H89" s="95" t="n">
        <f aca="false">MIN(TblPop[[#This Row],[Peasants]],TblPop[[#This Row],[Jobs]])</f>
        <v>8527</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868</v>
      </c>
      <c r="M89" s="33" t="n">
        <f aca="false">TblMili[[#This Row],[Unit 1]]</f>
        <v>13</v>
      </c>
      <c r="N89" s="33" t="n">
        <f aca="false">TblMili[[#This Row],[Unit 2]]</f>
        <v>1261</v>
      </c>
      <c r="O89" s="33" t="n">
        <f aca="false">TblMili[[#This Row],[Unit 3]]</f>
        <v>700</v>
      </c>
      <c r="P89" s="33" t="n">
        <f aca="false">TblMili[[#This Row],[Unit 4]]</f>
        <v>1228</v>
      </c>
      <c r="Q89" s="33" t="n">
        <f aca="false">TblMili[[#This Row],[Spies]]</f>
        <v>25</v>
      </c>
      <c r="R89" s="33" t="n">
        <f aca="false">TblMili[[#This Row],[Wizards]]</f>
        <v>27</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12649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89" s="69" t="n">
        <f aca="false">MAX(-5%*TblPop[[#This Row],[Peasants]]-TblPop[[#This Row],[Draft Growth]],MIN(OFFSET(TblPop[[#This Row],[Net max]],1,0)-TblPop[[#This Row],[Peasants]]-TblPop[[#This Row],[Military]]-TblPop[[#This Row],[Draft Growth]],TblPop[[#This Row],[Modded Birth]]-TblPop[[#This Row],[Draft Growth]]))</f>
        <v>-85</v>
      </c>
      <c r="X89" s="69" t="n">
        <f aca="false">ROUND(TblPop[[#This Row],[Raw Birth]]*(1+TblPop[[#This Row],[Growth]]),0)</f>
        <v>364</v>
      </c>
      <c r="Y89" s="69" t="n">
        <f aca="false">(TblPop[[#This Row],[Peasants]]-TblPop[[#This Row],[Draft Growth]])*raw_pop_growth</f>
        <v>253.26</v>
      </c>
      <c r="Z89" s="69" t="n">
        <f aca="false">IF(TblPop[[#This Row],[Military%]]&lt;TblMili[[#This Row],[Draftrate]],ROUND(TblPop[[#This Row],[Peasants]]*Constants!$B$55,0), 0)</f>
        <v>85</v>
      </c>
      <c r="AA89" s="132"/>
      <c r="AB89" s="109" t="n">
        <f aca="false">Overview!$I$16 + IF(Magic!AE89&gt;0,Constants!$F$78) + ROUND(6*(Construction!BM90+Construction!CK89)/IF(Explore!S90&gt;0,Construction!F90-20,Construction!F90),4) + tech_6_5_2*Techs!BJ89 + tech_8_4*Techs!BT89</f>
        <v>0.4365</v>
      </c>
      <c r="AC89" s="130" t="n">
        <f aca="false">(Overview!$I$15 + Imps!Z89+ tech_2_5*Techs!AB89 + tech_3_6*Techs!AM89 + tech_6_1*Techs!BJ89 + tech_6_5*Techs!BF89 + tech_7_3_2*Techs!BN89) * (1 + Production!P89/100*prestige_pop_multiplier) + Production!P89/100*prestige_pop_multiplier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8442</v>
      </c>
      <c r="D90" s="69" t="n">
        <f aca="false">TblMili[[#This Row],[Military]]</f>
        <v>4207</v>
      </c>
      <c r="E90" s="69" t="n">
        <f aca="false">TblMili[[#This Row],[Draftees]]</f>
        <v>953</v>
      </c>
      <c r="F90" s="69" t="n">
        <f aca="false">TblPop[[#This Row],[Peasants]]+TblPop[[#This Row],[Military]]</f>
        <v>12649</v>
      </c>
      <c r="G90" s="130" t="n">
        <f aca="false">TblPop[[#This Row],[Military]]/TblPop[[#This Row],[Total]]</f>
        <v>0.332595462091865</v>
      </c>
      <c r="H90" s="95" t="n">
        <f aca="false">MIN(TblPop[[#This Row],[Peasants]],TblPop[[#This Row],[Jobs]])</f>
        <v>8442</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953</v>
      </c>
      <c r="M90" s="33" t="n">
        <f aca="false">TblMili[[#This Row],[Unit 1]]</f>
        <v>13</v>
      </c>
      <c r="N90" s="33" t="n">
        <f aca="false">TblMili[[#This Row],[Unit 2]]</f>
        <v>1261</v>
      </c>
      <c r="O90" s="33" t="n">
        <f aca="false">TblMili[[#This Row],[Unit 3]]</f>
        <v>700</v>
      </c>
      <c r="P90" s="33" t="n">
        <f aca="false">TblMili[[#This Row],[Unit 4]]</f>
        <v>1228</v>
      </c>
      <c r="Q90" s="33" t="n">
        <f aca="false">TblMili[[#This Row],[Spies]]</f>
        <v>25</v>
      </c>
      <c r="R90" s="33" t="n">
        <f aca="false">TblMili[[#This Row],[Wizards]]</f>
        <v>27</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12649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0" s="69" t="n">
        <f aca="false">MAX(-5%*TblPop[[#This Row],[Peasants]]-TblPop[[#This Row],[Draft Growth]],MIN(OFFSET(TblPop[[#This Row],[Net max]],1,0)-TblPop[[#This Row],[Peasants]]-TblPop[[#This Row],[Military]]-TblPop[[#This Row],[Draft Growth]],TblPop[[#This Row],[Modded Birth]]-TblPop[[#This Row],[Draft Growth]]))</f>
        <v>-84</v>
      </c>
      <c r="X90" s="69" t="n">
        <f aca="false">ROUND(TblPop[[#This Row],[Raw Birth]]*(1+TblPop[[#This Row],[Growth]]),0)</f>
        <v>360</v>
      </c>
      <c r="Y90" s="69" t="n">
        <f aca="false">(TblPop[[#This Row],[Peasants]]-TblPop[[#This Row],[Draft Growth]])*raw_pop_growth</f>
        <v>250.74</v>
      </c>
      <c r="Z90" s="69" t="n">
        <f aca="false">IF(TblPop[[#This Row],[Military%]]&lt;TblMili[[#This Row],[Draftrate]],ROUND(TblPop[[#This Row],[Peasants]]*Constants!$B$55,0), 0)</f>
        <v>84</v>
      </c>
      <c r="AA90" s="132"/>
      <c r="AB90" s="109" t="n">
        <f aca="false">Overview!$I$16 + IF(Magic!AE90&gt;0,Constants!$F$78) + ROUND(6*(Construction!BM91+Construction!CK90)/IF(Explore!S91&gt;0,Construction!F91-20,Construction!F91),4) + tech_6_5_2*Techs!BJ90 + tech_8_4*Techs!BT90</f>
        <v>0.4365</v>
      </c>
      <c r="AC90" s="130" t="n">
        <f aca="false">(Overview!$I$15 + Imps!Z90+ tech_2_5*Techs!AB90 + tech_3_6*Techs!AM90 + tech_6_1*Techs!BJ90 + tech_6_5*Techs!BF90 + tech_7_3_2*Techs!BN90) * (1 + Production!P90/100*prestige_pop_multiplier) + Production!P90/100*prestige_pop_multiplier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8358</v>
      </c>
      <c r="D91" s="69" t="n">
        <f aca="false">TblMili[[#This Row],[Military]]</f>
        <v>4291</v>
      </c>
      <c r="E91" s="69" t="n">
        <f aca="false">TblMili[[#This Row],[Draftees]]</f>
        <v>1037</v>
      </c>
      <c r="F91" s="69" t="n">
        <f aca="false">TblPop[[#This Row],[Peasants]]+TblPop[[#This Row],[Military]]</f>
        <v>12649</v>
      </c>
      <c r="G91" s="130" t="n">
        <f aca="false">TblPop[[#This Row],[Military]]/TblPop[[#This Row],[Total]]</f>
        <v>0.33923630326508</v>
      </c>
      <c r="H91" s="95" t="n">
        <f aca="false">MIN(TblPop[[#This Row],[Peasants]],TblPop[[#This Row],[Jobs]])</f>
        <v>8358</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1037</v>
      </c>
      <c r="M91" s="33" t="n">
        <f aca="false">TblMili[[#This Row],[Unit 1]]</f>
        <v>13</v>
      </c>
      <c r="N91" s="33" t="n">
        <f aca="false">TblMili[[#This Row],[Unit 2]]</f>
        <v>1261</v>
      </c>
      <c r="O91" s="33" t="n">
        <f aca="false">TblMili[[#This Row],[Unit 3]]</f>
        <v>700</v>
      </c>
      <c r="P91" s="33" t="n">
        <f aca="false">TblMili[[#This Row],[Unit 4]]</f>
        <v>1228</v>
      </c>
      <c r="Q91" s="33" t="n">
        <f aca="false">TblMili[[#This Row],[Spies]]</f>
        <v>25</v>
      </c>
      <c r="R91" s="33" t="n">
        <f aca="false">TblMili[[#This Row],[Wizards]]</f>
        <v>27</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12649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1" s="69" t="n">
        <f aca="false">MAX(-5%*TblPop[[#This Row],[Peasants]]-TblPop[[#This Row],[Draft Growth]],MIN(OFFSET(TblPop[[#This Row],[Net max]],1,0)-TblPop[[#This Row],[Peasants]]-TblPop[[#This Row],[Military]]-TblPop[[#This Row],[Draft Growth]],TblPop[[#This Row],[Modded Birth]]-TblPop[[#This Row],[Draft Growth]]))</f>
        <v>-84</v>
      </c>
      <c r="X91" s="69" t="n">
        <f aca="false">ROUND(TblPop[[#This Row],[Raw Birth]]*(1+TblPop[[#This Row],[Growth]]),0)</f>
        <v>357</v>
      </c>
      <c r="Y91" s="69" t="n">
        <f aca="false">(TblPop[[#This Row],[Peasants]]-TblPop[[#This Row],[Draft Growth]])*raw_pop_growth</f>
        <v>248.22</v>
      </c>
      <c r="Z91" s="69" t="n">
        <f aca="false">IF(TblPop[[#This Row],[Military%]]&lt;TblMili[[#This Row],[Draftrate]],ROUND(TblPop[[#This Row],[Peasants]]*Constants!$B$55,0), 0)</f>
        <v>84</v>
      </c>
      <c r="AA91" s="132"/>
      <c r="AB91" s="109" t="n">
        <f aca="false">Overview!$I$16 + IF(Magic!AE91&gt;0,Constants!$F$78) + ROUND(6*(Construction!BM92+Construction!CK91)/IF(Explore!S92&gt;0,Construction!F92-20,Construction!F92),4) + tech_6_5_2*Techs!BJ91 + tech_8_4*Techs!BT91</f>
        <v>0.4365</v>
      </c>
      <c r="AC91" s="130" t="n">
        <f aca="false">(Overview!$I$15 + Imps!Z91+ tech_2_5*Techs!AB91 + tech_3_6*Techs!AM91 + tech_6_1*Techs!BJ91 + tech_6_5*Techs!BF91 + tech_7_3_2*Techs!BN91) * (1 + Production!P91/100*prestige_pop_multiplier) + Production!P91/100*prestige_pop_multiplier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8274</v>
      </c>
      <c r="D92" s="69" t="n">
        <f aca="false">TblMili[[#This Row],[Military]]</f>
        <v>4375</v>
      </c>
      <c r="E92" s="69" t="n">
        <f aca="false">TblMili[[#This Row],[Draftees]]</f>
        <v>1121</v>
      </c>
      <c r="F92" s="69" t="n">
        <f aca="false">TblPop[[#This Row],[Peasants]]+TblPop[[#This Row],[Military]]</f>
        <v>12649</v>
      </c>
      <c r="G92" s="130" t="n">
        <f aca="false">TblPop[[#This Row],[Military]]/TblPop[[#This Row],[Total]]</f>
        <v>0.345877144438296</v>
      </c>
      <c r="H92" s="95" t="n">
        <f aca="false">MIN(TblPop[[#This Row],[Peasants]],TblPop[[#This Row],[Jobs]])</f>
        <v>8274</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1121</v>
      </c>
      <c r="M92" s="33" t="n">
        <f aca="false">TblMili[[#This Row],[Unit 1]]</f>
        <v>13</v>
      </c>
      <c r="N92" s="33" t="n">
        <f aca="false">TblMili[[#This Row],[Unit 2]]</f>
        <v>1261</v>
      </c>
      <c r="O92" s="33" t="n">
        <f aca="false">TblMili[[#This Row],[Unit 3]]</f>
        <v>700</v>
      </c>
      <c r="P92" s="33" t="n">
        <f aca="false">TblMili[[#This Row],[Unit 4]]</f>
        <v>1228</v>
      </c>
      <c r="Q92" s="33" t="n">
        <f aca="false">TblMili[[#This Row],[Spies]]</f>
        <v>25</v>
      </c>
      <c r="R92" s="33" t="n">
        <f aca="false">TblMili[[#This Row],[Wizards]]</f>
        <v>27</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12649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2" s="69" t="n">
        <f aca="false">MAX(-5%*TblPop[[#This Row],[Peasants]]-TblPop[[#This Row],[Draft Growth]],MIN(OFFSET(TblPop[[#This Row],[Net max]],1,0)-TblPop[[#This Row],[Peasants]]-TblPop[[#This Row],[Military]]-TblPop[[#This Row],[Draft Growth]],TblPop[[#This Row],[Modded Birth]]-TblPop[[#This Row],[Draft Growth]]))</f>
        <v>-83</v>
      </c>
      <c r="X92" s="69" t="n">
        <f aca="false">ROUND(TblPop[[#This Row],[Raw Birth]]*(1+TblPop[[#This Row],[Growth]]),0)</f>
        <v>353</v>
      </c>
      <c r="Y92" s="69" t="n">
        <f aca="false">(TblPop[[#This Row],[Peasants]]-TblPop[[#This Row],[Draft Growth]])*raw_pop_growth</f>
        <v>245.73</v>
      </c>
      <c r="Z92" s="69" t="n">
        <f aca="false">IF(TblPop[[#This Row],[Military%]]&lt;TblMili[[#This Row],[Draftrate]],ROUND(TblPop[[#This Row],[Peasants]]*Constants!$B$55,0), 0)</f>
        <v>83</v>
      </c>
      <c r="AA92" s="132"/>
      <c r="AB92" s="109" t="n">
        <f aca="false">Overview!$I$16 + IF(Magic!AE92&gt;0,Constants!$F$78) + ROUND(6*(Construction!BM93+Construction!CK92)/IF(Explore!S93&gt;0,Construction!F93-20,Construction!F93),4) + tech_6_5_2*Techs!BJ92 + tech_8_4*Techs!BT92</f>
        <v>0.4365</v>
      </c>
      <c r="AC92" s="130" t="n">
        <f aca="false">(Overview!$I$15 + Imps!Z92+ tech_2_5*Techs!AB92 + tech_3_6*Techs!AM92 + tech_6_1*Techs!BJ92 + tech_6_5*Techs!BF92 + tech_7_3_2*Techs!BN92) * (1 + Production!P92/100*prestige_pop_multiplier) + Production!P92/100*prestige_pop_multiplier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8191</v>
      </c>
      <c r="D93" s="69" t="n">
        <f aca="false">TblMili[[#This Row],[Military]]</f>
        <v>4458</v>
      </c>
      <c r="E93" s="69" t="n">
        <f aca="false">TblMili[[#This Row],[Draftees]]</f>
        <v>1204</v>
      </c>
      <c r="F93" s="69" t="n">
        <f aca="false">TblPop[[#This Row],[Peasants]]+TblPop[[#This Row],[Military]]</f>
        <v>12649</v>
      </c>
      <c r="G93" s="130" t="n">
        <f aca="false">TblPop[[#This Row],[Military]]/TblPop[[#This Row],[Total]]</f>
        <v>0.352438927978496</v>
      </c>
      <c r="H93" s="95" t="n">
        <f aca="false">MIN(TblPop[[#This Row],[Peasants]],TblPop[[#This Row],[Jobs]])</f>
        <v>8191</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1204</v>
      </c>
      <c r="M93" s="33" t="n">
        <f aca="false">TblMili[[#This Row],[Unit 1]]</f>
        <v>13</v>
      </c>
      <c r="N93" s="33" t="n">
        <f aca="false">TblMili[[#This Row],[Unit 2]]</f>
        <v>1261</v>
      </c>
      <c r="O93" s="33" t="n">
        <f aca="false">TblMili[[#This Row],[Unit 3]]</f>
        <v>700</v>
      </c>
      <c r="P93" s="33" t="n">
        <f aca="false">TblMili[[#This Row],[Unit 4]]</f>
        <v>1228</v>
      </c>
      <c r="Q93" s="33" t="n">
        <f aca="false">TblMili[[#This Row],[Spies]]</f>
        <v>25</v>
      </c>
      <c r="R93" s="33" t="n">
        <f aca="false">TblMili[[#This Row],[Wizards]]</f>
        <v>27</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12649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3" s="69" t="n">
        <f aca="false">MAX(-5%*TblPop[[#This Row],[Peasants]]-TblPop[[#This Row],[Draft Growth]],MIN(OFFSET(TblPop[[#This Row],[Net max]],1,0)-TblPop[[#This Row],[Peasants]]-TblPop[[#This Row],[Military]]-TblPop[[#This Row],[Draft Growth]],TblPop[[#This Row],[Modded Birth]]-TblPop[[#This Row],[Draft Growth]]))</f>
        <v>-82</v>
      </c>
      <c r="X93" s="69" t="n">
        <f aca="false">ROUND(TblPop[[#This Row],[Raw Birth]]*(1+TblPop[[#This Row],[Growth]]),0)</f>
        <v>349</v>
      </c>
      <c r="Y93" s="69" t="n">
        <f aca="false">(TblPop[[#This Row],[Peasants]]-TblPop[[#This Row],[Draft Growth]])*raw_pop_growth</f>
        <v>243.27</v>
      </c>
      <c r="Z93" s="69" t="n">
        <f aca="false">IF(TblPop[[#This Row],[Military%]]&lt;TblMili[[#This Row],[Draftrate]],ROUND(TblPop[[#This Row],[Peasants]]*Constants!$B$55,0), 0)</f>
        <v>82</v>
      </c>
      <c r="AA93" s="132"/>
      <c r="AB93" s="109" t="n">
        <f aca="false">Overview!$I$16 + IF(Magic!AE93&gt;0,Constants!$F$78) + ROUND(6*(Construction!BM94+Construction!CK93)/IF(Explore!S94&gt;0,Construction!F94-20,Construction!F94),4) + tech_6_5_2*Techs!BJ93 + tech_8_4*Techs!BT93</f>
        <v>0.4365</v>
      </c>
      <c r="AC93" s="130" t="n">
        <f aca="false">(Overview!$I$15 + Imps!Z93+ tech_2_5*Techs!AB93 + tech_3_6*Techs!AM93 + tech_6_1*Techs!BJ93 + tech_6_5*Techs!BF93 + tech_7_3_2*Techs!BN93) * (1 + Production!P93/100*prestige_pop_multiplier) + Production!P93/100*prestige_pop_multiplier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8109</v>
      </c>
      <c r="D94" s="69" t="n">
        <f aca="false">TblMili[[#This Row],[Military]]</f>
        <v>4540</v>
      </c>
      <c r="E94" s="69" t="n">
        <f aca="false">TblMili[[#This Row],[Draftees]]</f>
        <v>1286</v>
      </c>
      <c r="F94" s="69" t="n">
        <f aca="false">TblPop[[#This Row],[Peasants]]+TblPop[[#This Row],[Military]]</f>
        <v>12649</v>
      </c>
      <c r="G94" s="130" t="n">
        <f aca="false">TblPop[[#This Row],[Military]]/TblPop[[#This Row],[Total]]</f>
        <v>0.358921653885683</v>
      </c>
      <c r="H94" s="95" t="n">
        <f aca="false">MIN(TblPop[[#This Row],[Peasants]],TblPop[[#This Row],[Jobs]])</f>
        <v>8109</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1286</v>
      </c>
      <c r="M94" s="33" t="n">
        <f aca="false">TblMili[[#This Row],[Unit 1]]</f>
        <v>13</v>
      </c>
      <c r="N94" s="33" t="n">
        <f aca="false">TblMili[[#This Row],[Unit 2]]</f>
        <v>1261</v>
      </c>
      <c r="O94" s="33" t="n">
        <f aca="false">TblMili[[#This Row],[Unit 3]]</f>
        <v>700</v>
      </c>
      <c r="P94" s="33" t="n">
        <f aca="false">TblMili[[#This Row],[Unit 4]]</f>
        <v>1228</v>
      </c>
      <c r="Q94" s="33" t="n">
        <f aca="false">TblMili[[#This Row],[Spies]]</f>
        <v>25</v>
      </c>
      <c r="R94" s="33" t="n">
        <f aca="false">TblMili[[#This Row],[Wizards]]</f>
        <v>27</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12649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4" s="69" t="n">
        <f aca="false">MAX(-5%*TblPop[[#This Row],[Peasants]]-TblPop[[#This Row],[Draft Growth]],MIN(OFFSET(TblPop[[#This Row],[Net max]],1,0)-TblPop[[#This Row],[Peasants]]-TblPop[[#This Row],[Military]]-TblPop[[#This Row],[Draft Growth]],TblPop[[#This Row],[Modded Birth]]-TblPop[[#This Row],[Draft Growth]]))</f>
        <v>-81</v>
      </c>
      <c r="X94" s="69" t="n">
        <f aca="false">ROUND(TblPop[[#This Row],[Raw Birth]]*(1+TblPop[[#This Row],[Growth]]),0)</f>
        <v>346</v>
      </c>
      <c r="Y94" s="69" t="n">
        <f aca="false">(TblPop[[#This Row],[Peasants]]-TblPop[[#This Row],[Draft Growth]])*raw_pop_growth</f>
        <v>240.84</v>
      </c>
      <c r="Z94" s="69" t="n">
        <f aca="false">IF(TblPop[[#This Row],[Military%]]&lt;TblMili[[#This Row],[Draftrate]],ROUND(TblPop[[#This Row],[Peasants]]*Constants!$B$55,0), 0)</f>
        <v>81</v>
      </c>
      <c r="AA94" s="132"/>
      <c r="AB94" s="109" t="n">
        <f aca="false">Overview!$I$16 + IF(Magic!AE94&gt;0,Constants!$F$78) + ROUND(6*(Construction!BM95+Construction!CK94)/IF(Explore!S95&gt;0,Construction!F95-20,Construction!F95),4) + tech_6_5_2*Techs!BJ94 + tech_8_4*Techs!BT94</f>
        <v>0.4365</v>
      </c>
      <c r="AC94" s="130" t="n">
        <f aca="false">(Overview!$I$15 + Imps!Z94+ tech_2_5*Techs!AB94 + tech_3_6*Techs!AM94 + tech_6_1*Techs!BJ94 + tech_6_5*Techs!BF94 + tech_7_3_2*Techs!BN94) * (1 + Production!P94/100*prestige_pop_multiplier) + Production!P94/100*prestige_pop_multiplier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8028</v>
      </c>
      <c r="D95" s="69" t="n">
        <f aca="false">TblMili[[#This Row],[Military]]</f>
        <v>4621</v>
      </c>
      <c r="E95" s="69" t="n">
        <f aca="false">TblMili[[#This Row],[Draftees]]</f>
        <v>1367</v>
      </c>
      <c r="F95" s="69" t="n">
        <f aca="false">TblPop[[#This Row],[Peasants]]+TblPop[[#This Row],[Military]]</f>
        <v>12649</v>
      </c>
      <c r="G95" s="130" t="n">
        <f aca="false">TblPop[[#This Row],[Military]]/TblPop[[#This Row],[Total]]</f>
        <v>0.365325322159855</v>
      </c>
      <c r="H95" s="95" t="n">
        <f aca="false">MIN(TblPop[[#This Row],[Peasants]],TblPop[[#This Row],[Jobs]])</f>
        <v>8028</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1367</v>
      </c>
      <c r="M95" s="33" t="n">
        <f aca="false">TblMili[[#This Row],[Unit 1]]</f>
        <v>13</v>
      </c>
      <c r="N95" s="33" t="n">
        <f aca="false">TblMili[[#This Row],[Unit 2]]</f>
        <v>1261</v>
      </c>
      <c r="O95" s="33" t="n">
        <f aca="false">TblMili[[#This Row],[Unit 3]]</f>
        <v>700</v>
      </c>
      <c r="P95" s="33" t="n">
        <f aca="false">TblMili[[#This Row],[Unit 4]]</f>
        <v>1228</v>
      </c>
      <c r="Q95" s="33" t="n">
        <f aca="false">TblMili[[#This Row],[Spies]]</f>
        <v>25</v>
      </c>
      <c r="R95" s="33" t="n">
        <f aca="false">TblMili[[#This Row],[Wizards]]</f>
        <v>27</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12649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5" s="69" t="n">
        <f aca="false">MAX(-5%*TblPop[[#This Row],[Peasants]]-TblPop[[#This Row],[Draft Growth]],MIN(OFFSET(TblPop[[#This Row],[Net max]],1,0)-TblPop[[#This Row],[Peasants]]-TblPop[[#This Row],[Military]]-TblPop[[#This Row],[Draft Growth]],TblPop[[#This Row],[Modded Birth]]-TblPop[[#This Row],[Draft Growth]]))</f>
        <v>-80</v>
      </c>
      <c r="X95" s="69" t="n">
        <f aca="false">ROUND(TblPop[[#This Row],[Raw Birth]]*(1+TblPop[[#This Row],[Growth]]),0)</f>
        <v>343</v>
      </c>
      <c r="Y95" s="69" t="n">
        <f aca="false">(TblPop[[#This Row],[Peasants]]-TblPop[[#This Row],[Draft Growth]])*raw_pop_growth</f>
        <v>238.44</v>
      </c>
      <c r="Z95" s="69" t="n">
        <f aca="false">IF(TblPop[[#This Row],[Military%]]&lt;TblMili[[#This Row],[Draftrate]],ROUND(TblPop[[#This Row],[Peasants]]*Constants!$B$55,0), 0)</f>
        <v>80</v>
      </c>
      <c r="AA95" s="132"/>
      <c r="AB95" s="109" t="n">
        <f aca="false">Overview!$I$16 + IF(Magic!AE95&gt;0,Constants!$F$78) + ROUND(6*(Construction!BM96+Construction!CK95)/IF(Explore!S96&gt;0,Construction!F96-20,Construction!F96),4) + tech_6_5_2*Techs!BJ95 + tech_8_4*Techs!BT95</f>
        <v>0.4365</v>
      </c>
      <c r="AC95" s="130" t="n">
        <f aca="false">(Overview!$I$15 + Imps!Z95+ tech_2_5*Techs!AB95 + tech_3_6*Techs!AM95 + tech_6_1*Techs!BJ95 + tech_6_5*Techs!BF95 + tech_7_3_2*Techs!BN95) * (1 + Production!P95/100*prestige_pop_multiplier) + Production!P95/100*prestige_pop_multiplier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7948</v>
      </c>
      <c r="D96" s="69" t="n">
        <f aca="false">TblMili[[#This Row],[Military]]</f>
        <v>4701</v>
      </c>
      <c r="E96" s="69" t="n">
        <f aca="false">TblMili[[#This Row],[Draftees]]</f>
        <v>1447</v>
      </c>
      <c r="F96" s="69" t="n">
        <f aca="false">TblPop[[#This Row],[Peasants]]+TblPop[[#This Row],[Military]]</f>
        <v>12649</v>
      </c>
      <c r="G96" s="130" t="n">
        <f aca="false">TblPop[[#This Row],[Military]]/TblPop[[#This Row],[Total]]</f>
        <v>0.371649932801012</v>
      </c>
      <c r="H96" s="95" t="n">
        <f aca="false">MIN(TblPop[[#This Row],[Peasants]],TblPop[[#This Row],[Jobs]])</f>
        <v>7948</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1447</v>
      </c>
      <c r="M96" s="33" t="n">
        <f aca="false">TblMili[[#This Row],[Unit 1]]</f>
        <v>13</v>
      </c>
      <c r="N96" s="33" t="n">
        <f aca="false">TblMili[[#This Row],[Unit 2]]</f>
        <v>1261</v>
      </c>
      <c r="O96" s="33" t="n">
        <f aca="false">TblMili[[#This Row],[Unit 3]]</f>
        <v>700</v>
      </c>
      <c r="P96" s="33" t="n">
        <f aca="false">TblMili[[#This Row],[Unit 4]]</f>
        <v>1228</v>
      </c>
      <c r="Q96" s="33" t="n">
        <f aca="false">TblMili[[#This Row],[Spies]]</f>
        <v>25</v>
      </c>
      <c r="R96" s="33" t="n">
        <f aca="false">TblMili[[#This Row],[Wizards]]</f>
        <v>27</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12649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6" s="69" t="n">
        <f aca="false">MAX(-5%*TblPop[[#This Row],[Peasants]]-TblPop[[#This Row],[Draft Growth]],MIN(OFFSET(TblPop[[#This Row],[Net max]],1,0)-TblPop[[#This Row],[Peasants]]-TblPop[[#This Row],[Military]]-TblPop[[#This Row],[Draft Growth]],TblPop[[#This Row],[Modded Birth]]-TblPop[[#This Row],[Draft Growth]]))</f>
        <v>-79</v>
      </c>
      <c r="X96" s="69" t="n">
        <f aca="false">ROUND(TblPop[[#This Row],[Raw Birth]]*(1+TblPop[[#This Row],[Growth]]),0)</f>
        <v>339</v>
      </c>
      <c r="Y96" s="69" t="n">
        <f aca="false">(TblPop[[#This Row],[Peasants]]-TblPop[[#This Row],[Draft Growth]])*raw_pop_growth</f>
        <v>236.07</v>
      </c>
      <c r="Z96" s="69" t="n">
        <f aca="false">IF(TblPop[[#This Row],[Military%]]&lt;TblMili[[#This Row],[Draftrate]],ROUND(TblPop[[#This Row],[Peasants]]*Constants!$B$55,0), 0)</f>
        <v>79</v>
      </c>
      <c r="AA96" s="132"/>
      <c r="AB96" s="109" t="n">
        <f aca="false">Overview!$I$16 + IF(Magic!AE96&gt;0,Constants!$F$78) + ROUND(6*(Construction!BM97+Construction!CK96)/IF(Explore!S97&gt;0,Construction!F97-20,Construction!F97),4) + tech_6_5_2*Techs!BJ96 + tech_8_4*Techs!BT96</f>
        <v>0.4365</v>
      </c>
      <c r="AC96" s="130" t="n">
        <f aca="false">(Overview!$I$15 + Imps!Z96+ tech_2_5*Techs!AB96 + tech_3_6*Techs!AM96 + tech_6_1*Techs!BJ96 + tech_6_5*Techs!BF96 + tech_7_3_2*Techs!BN96) * (1 + Production!P96/100*prestige_pop_multiplier) + Production!P96/100*prestige_pop_multiplier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7869</v>
      </c>
      <c r="D97" s="69" t="n">
        <f aca="false">TblMili[[#This Row],[Military]]</f>
        <v>4780</v>
      </c>
      <c r="E97" s="69" t="n">
        <f aca="false">TblMili[[#This Row],[Draftees]]</f>
        <v>1526</v>
      </c>
      <c r="F97" s="69" t="n">
        <f aca="false">TblPop[[#This Row],[Peasants]]+TblPop[[#This Row],[Military]]</f>
        <v>12649</v>
      </c>
      <c r="G97" s="130" t="n">
        <f aca="false">TblPop[[#This Row],[Military]]/TblPop[[#This Row],[Total]]</f>
        <v>0.377895485809155</v>
      </c>
      <c r="H97" s="95" t="n">
        <f aca="false">MIN(TblPop[[#This Row],[Peasants]],TblPop[[#This Row],[Jobs]])</f>
        <v>7869</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1526</v>
      </c>
      <c r="M97" s="33" t="n">
        <f aca="false">TblMili[[#This Row],[Unit 1]]</f>
        <v>13</v>
      </c>
      <c r="N97" s="33" t="n">
        <f aca="false">TblMili[[#This Row],[Unit 2]]</f>
        <v>1261</v>
      </c>
      <c r="O97" s="33" t="n">
        <f aca="false">TblMili[[#This Row],[Unit 3]]</f>
        <v>700</v>
      </c>
      <c r="P97" s="33" t="n">
        <f aca="false">TblMili[[#This Row],[Unit 4]]</f>
        <v>1228</v>
      </c>
      <c r="Q97" s="33" t="n">
        <f aca="false">TblMili[[#This Row],[Spies]]</f>
        <v>25</v>
      </c>
      <c r="R97" s="33" t="n">
        <f aca="false">TblMili[[#This Row],[Wizards]]</f>
        <v>27</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12649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7" s="69" t="n">
        <f aca="false">MAX(-5%*TblPop[[#This Row],[Peasants]]-TblPop[[#This Row],[Draft Growth]],MIN(OFFSET(TblPop[[#This Row],[Net max]],1,0)-TblPop[[#This Row],[Peasants]]-TblPop[[#This Row],[Military]]-TblPop[[#This Row],[Draft Growth]],TblPop[[#This Row],[Modded Birth]]-TblPop[[#This Row],[Draft Growth]]))</f>
        <v>-79</v>
      </c>
      <c r="X97" s="69" t="n">
        <f aca="false">ROUND(TblPop[[#This Row],[Raw Birth]]*(1+TblPop[[#This Row],[Growth]]),0)</f>
        <v>336</v>
      </c>
      <c r="Y97" s="69" t="n">
        <f aca="false">(TblPop[[#This Row],[Peasants]]-TblPop[[#This Row],[Draft Growth]])*raw_pop_growth</f>
        <v>233.7</v>
      </c>
      <c r="Z97" s="69" t="n">
        <f aca="false">IF(TblPop[[#This Row],[Military%]]&lt;TblMili[[#This Row],[Draftrate]],ROUND(TblPop[[#This Row],[Peasants]]*Constants!$B$55,0), 0)</f>
        <v>79</v>
      </c>
      <c r="AA97" s="132"/>
      <c r="AB97" s="109" t="n">
        <f aca="false">Overview!$I$16 + IF(Magic!AE97&gt;0,Constants!$F$78) + ROUND(6*(Construction!BM98+Construction!CK97)/IF(Explore!S98&gt;0,Construction!F98-20,Construction!F98),4) + tech_6_5_2*Techs!BJ97 + tech_8_4*Techs!BT97</f>
        <v>0.4365</v>
      </c>
      <c r="AC97" s="130" t="n">
        <f aca="false">(Overview!$I$15 + Imps!Z97+ tech_2_5*Techs!AB97 + tech_3_6*Techs!AM97 + tech_6_1*Techs!BJ97 + tech_6_5*Techs!BF97 + tech_7_3_2*Techs!BN97) * (1 + Production!P97/100*prestige_pop_multiplier) + Production!P97/100*prestige_pop_multiplier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7790</v>
      </c>
      <c r="D98" s="69" t="n">
        <f aca="false">TblMili[[#This Row],[Military]]</f>
        <v>4859</v>
      </c>
      <c r="E98" s="69" t="n">
        <f aca="false">TblMili[[#This Row],[Draftees]]</f>
        <v>1605</v>
      </c>
      <c r="F98" s="69" t="n">
        <f aca="false">TblPop[[#This Row],[Peasants]]+TblPop[[#This Row],[Military]]</f>
        <v>12649</v>
      </c>
      <c r="G98" s="130" t="n">
        <f aca="false">TblPop[[#This Row],[Military]]/TblPop[[#This Row],[Total]]</f>
        <v>0.384141038817298</v>
      </c>
      <c r="H98" s="95" t="n">
        <f aca="false">MIN(TblPop[[#This Row],[Peasants]],TblPop[[#This Row],[Jobs]])</f>
        <v>7790</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1605</v>
      </c>
      <c r="M98" s="33" t="n">
        <f aca="false">TblMili[[#This Row],[Unit 1]]</f>
        <v>13</v>
      </c>
      <c r="N98" s="33" t="n">
        <f aca="false">TblMili[[#This Row],[Unit 2]]</f>
        <v>1261</v>
      </c>
      <c r="O98" s="33" t="n">
        <f aca="false">TblMili[[#This Row],[Unit 3]]</f>
        <v>700</v>
      </c>
      <c r="P98" s="33" t="n">
        <f aca="false">TblMili[[#This Row],[Unit 4]]</f>
        <v>1228</v>
      </c>
      <c r="Q98" s="33" t="n">
        <f aca="false">TblMili[[#This Row],[Spies]]</f>
        <v>25</v>
      </c>
      <c r="R98" s="33" t="n">
        <f aca="false">TblMili[[#This Row],[Wizards]]</f>
        <v>27</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12649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8" s="69" t="n">
        <f aca="false">MAX(-5%*TblPop[[#This Row],[Peasants]]-TblPop[[#This Row],[Draft Growth]],MIN(OFFSET(TblPop[[#This Row],[Net max]],1,0)-TblPop[[#This Row],[Peasants]]-TblPop[[#This Row],[Military]]-TblPop[[#This Row],[Draft Growth]],TblPop[[#This Row],[Modded Birth]]-TblPop[[#This Row],[Draft Growth]]))</f>
        <v>-78</v>
      </c>
      <c r="X98" s="69" t="n">
        <f aca="false">ROUND(TblPop[[#This Row],[Raw Birth]]*(1+TblPop[[#This Row],[Growth]]),0)</f>
        <v>332</v>
      </c>
      <c r="Y98" s="69" t="n">
        <f aca="false">(TblPop[[#This Row],[Peasants]]-TblPop[[#This Row],[Draft Growth]])*raw_pop_growth</f>
        <v>231.36</v>
      </c>
      <c r="Z98" s="69" t="n">
        <f aca="false">IF(TblPop[[#This Row],[Military%]]&lt;TblMili[[#This Row],[Draftrate]],ROUND(TblPop[[#This Row],[Peasants]]*Constants!$B$55,0), 0)</f>
        <v>78</v>
      </c>
      <c r="AA98" s="132"/>
      <c r="AB98" s="109" t="n">
        <f aca="false">Overview!$I$16 + IF(Magic!AE98&gt;0,Constants!$F$78) + ROUND(6*(Construction!BM99+Construction!CK98)/IF(Explore!S99&gt;0,Construction!F99-20,Construction!F99),4) + tech_6_5_2*Techs!BJ98 + tech_8_4*Techs!BT98</f>
        <v>0.4365</v>
      </c>
      <c r="AC98" s="130" t="n">
        <f aca="false">(Overview!$I$15 + Imps!Z98+ tech_2_5*Techs!AB98 + tech_3_6*Techs!AM98 + tech_6_1*Techs!BJ98 + tech_6_5*Techs!BF98 + tech_7_3_2*Techs!BN98) * (1 + Production!P98/100*prestige_pop_multiplier) + Production!P98/100*prestige_pop_multiplier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7712</v>
      </c>
      <c r="D99" s="69" t="n">
        <f aca="false">TblMili[[#This Row],[Military]]</f>
        <v>4937</v>
      </c>
      <c r="E99" s="69" t="n">
        <f aca="false">TblMili[[#This Row],[Draftees]]</f>
        <v>1683</v>
      </c>
      <c r="F99" s="69" t="n">
        <f aca="false">TblPop[[#This Row],[Peasants]]+TblPop[[#This Row],[Military]]</f>
        <v>12649</v>
      </c>
      <c r="G99" s="130" t="n">
        <f aca="false">TblPop[[#This Row],[Military]]/TblPop[[#This Row],[Total]]</f>
        <v>0.390307534192426</v>
      </c>
      <c r="H99" s="95" t="n">
        <f aca="false">MIN(TblPop[[#This Row],[Peasants]],TblPop[[#This Row],[Jobs]])</f>
        <v>7712</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1683</v>
      </c>
      <c r="M99" s="33" t="n">
        <f aca="false">TblMili[[#This Row],[Unit 1]]</f>
        <v>13</v>
      </c>
      <c r="N99" s="33" t="n">
        <f aca="false">TblMili[[#This Row],[Unit 2]]</f>
        <v>1261</v>
      </c>
      <c r="O99" s="33" t="n">
        <f aca="false">TblMili[[#This Row],[Unit 3]]</f>
        <v>700</v>
      </c>
      <c r="P99" s="33" t="n">
        <f aca="false">TblMili[[#This Row],[Unit 4]]</f>
        <v>1228</v>
      </c>
      <c r="Q99" s="33" t="n">
        <f aca="false">TblMili[[#This Row],[Spies]]</f>
        <v>25</v>
      </c>
      <c r="R99" s="33" t="n">
        <f aca="false">TblMili[[#This Row],[Wizards]]</f>
        <v>27</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12649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99" s="69" t="n">
        <f aca="false">MAX(-5%*TblPop[[#This Row],[Peasants]]-TblPop[[#This Row],[Draft Growth]],MIN(OFFSET(TblPop[[#This Row],[Net max]],1,0)-TblPop[[#This Row],[Peasants]]-TblPop[[#This Row],[Military]]-TblPop[[#This Row],[Draft Growth]],TblPop[[#This Row],[Modded Birth]]-TblPop[[#This Row],[Draft Growth]]))</f>
        <v>-77</v>
      </c>
      <c r="X99" s="69" t="n">
        <f aca="false">ROUND(TblPop[[#This Row],[Raw Birth]]*(1+TblPop[[#This Row],[Growth]]),0)</f>
        <v>329</v>
      </c>
      <c r="Y99" s="69" t="n">
        <f aca="false">(TblPop[[#This Row],[Peasants]]-TblPop[[#This Row],[Draft Growth]])*raw_pop_growth</f>
        <v>229.05</v>
      </c>
      <c r="Z99" s="69" t="n">
        <f aca="false">IF(TblPop[[#This Row],[Military%]]&lt;TblMili[[#This Row],[Draftrate]],ROUND(TblPop[[#This Row],[Peasants]]*Constants!$B$55,0), 0)</f>
        <v>77</v>
      </c>
      <c r="AA99" s="132"/>
      <c r="AB99" s="109" t="n">
        <f aca="false">Overview!$I$16 + IF(Magic!AE99&gt;0,Constants!$F$78) + ROUND(6*(Construction!BM100+Construction!CK99)/IF(Explore!S100&gt;0,Construction!F100-20,Construction!F100),4) + tech_6_5_2*Techs!BJ99 + tech_8_4*Techs!BT99</f>
        <v>0.4365</v>
      </c>
      <c r="AC99" s="130" t="n">
        <f aca="false">(Overview!$I$15 + Imps!Z99+ tech_2_5*Techs!AB99 + tech_3_6*Techs!AM99 + tech_6_1*Techs!BJ99 + tech_6_5*Techs!BF99 + tech_7_3_2*Techs!BN99) * (1 + Production!P99/100*prestige_pop_multiplier) + Production!P99/100*prestige_pop_multiplier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7635</v>
      </c>
      <c r="D100" s="69" t="n">
        <f aca="false">TblMili[[#This Row],[Military]]</f>
        <v>5014</v>
      </c>
      <c r="E100" s="69" t="n">
        <f aca="false">TblMili[[#This Row],[Draftees]]</f>
        <v>1760</v>
      </c>
      <c r="F100" s="69" t="n">
        <f aca="false">TblPop[[#This Row],[Peasants]]+TblPop[[#This Row],[Military]]</f>
        <v>12649</v>
      </c>
      <c r="G100" s="130" t="n">
        <f aca="false">TblPop[[#This Row],[Military]]/TblPop[[#This Row],[Total]]</f>
        <v>0.39639497193454</v>
      </c>
      <c r="H100" s="95" t="n">
        <f aca="false">MIN(TblPop[[#This Row],[Peasants]],TblPop[[#This Row],[Jobs]])</f>
        <v>7635</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1760</v>
      </c>
      <c r="M100" s="33" t="n">
        <f aca="false">TblMili[[#This Row],[Unit 1]]</f>
        <v>13</v>
      </c>
      <c r="N100" s="33" t="n">
        <f aca="false">TblMili[[#This Row],[Unit 2]]</f>
        <v>1261</v>
      </c>
      <c r="O100" s="33" t="n">
        <f aca="false">TblMili[[#This Row],[Unit 3]]</f>
        <v>700</v>
      </c>
      <c r="P100" s="33" t="n">
        <f aca="false">TblMili[[#This Row],[Unit 4]]</f>
        <v>1228</v>
      </c>
      <c r="Q100" s="33" t="n">
        <f aca="false">TblMili[[#This Row],[Spies]]</f>
        <v>25</v>
      </c>
      <c r="R100" s="33" t="n">
        <f aca="false">TblMili[[#This Row],[Wizards]]</f>
        <v>27</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12649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0" s="69" t="n">
        <f aca="false">MAX(-5%*TblPop[[#This Row],[Peasants]]-TblPop[[#This Row],[Draft Growth]],MIN(OFFSET(TblPop[[#This Row],[Net max]],1,0)-TblPop[[#This Row],[Peasants]]-TblPop[[#This Row],[Military]]-TblPop[[#This Row],[Draft Growth]],TblPop[[#This Row],[Modded Birth]]-TblPop[[#This Row],[Draft Growth]]))</f>
        <v>-76</v>
      </c>
      <c r="X100" s="69" t="n">
        <f aca="false">ROUND(TblPop[[#This Row],[Raw Birth]]*(1+TblPop[[#This Row],[Growth]]),0)</f>
        <v>326</v>
      </c>
      <c r="Y100" s="69" t="n">
        <f aca="false">(TblPop[[#This Row],[Peasants]]-TblPop[[#This Row],[Draft Growth]])*raw_pop_growth</f>
        <v>226.77</v>
      </c>
      <c r="Z100" s="69" t="n">
        <f aca="false">IF(TblPop[[#This Row],[Military%]]&lt;TblMili[[#This Row],[Draftrate]],ROUND(TblPop[[#This Row],[Peasants]]*Constants!$B$55,0), 0)</f>
        <v>76</v>
      </c>
      <c r="AA100" s="132"/>
      <c r="AB100" s="109" t="n">
        <f aca="false">Overview!$I$16 + IF(Magic!AE100&gt;0,Constants!$F$78) + ROUND(6*(Construction!BM101+Construction!CK100)/IF(Explore!S101&gt;0,Construction!F101-20,Construction!F101),4) + tech_6_5_2*Techs!BJ100 + tech_8_4*Techs!BT100</f>
        <v>0.4365</v>
      </c>
      <c r="AC100" s="130" t="n">
        <f aca="false">(Overview!$I$15 + Imps!Z100+ tech_2_5*Techs!AB100 + tech_3_6*Techs!AM100 + tech_6_1*Techs!BJ100 + tech_6_5*Techs!BF100 + tech_7_3_2*Techs!BN100) * (1 + Production!P100/100*prestige_pop_multiplier) + Production!P100/100*prestige_pop_multiplier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7559</v>
      </c>
      <c r="D101" s="69" t="n">
        <f aca="false">TblMili[[#This Row],[Military]]</f>
        <v>5090</v>
      </c>
      <c r="E101" s="69" t="n">
        <f aca="false">TblMili[[#This Row],[Draftees]]</f>
        <v>1836</v>
      </c>
      <c r="F101" s="69" t="n">
        <f aca="false">TblPop[[#This Row],[Peasants]]+TblPop[[#This Row],[Military]]</f>
        <v>12649</v>
      </c>
      <c r="G101" s="130" t="n">
        <f aca="false">TblPop[[#This Row],[Military]]/TblPop[[#This Row],[Total]]</f>
        <v>0.40240335204364</v>
      </c>
      <c r="H101" s="95" t="n">
        <f aca="false">MIN(TblPop[[#This Row],[Peasants]],TblPop[[#This Row],[Jobs]])</f>
        <v>7559</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1836</v>
      </c>
      <c r="M101" s="33" t="n">
        <f aca="false">TblMili[[#This Row],[Unit 1]]</f>
        <v>13</v>
      </c>
      <c r="N101" s="33" t="n">
        <f aca="false">TblMili[[#This Row],[Unit 2]]</f>
        <v>1261</v>
      </c>
      <c r="O101" s="33" t="n">
        <f aca="false">TblMili[[#This Row],[Unit 3]]</f>
        <v>700</v>
      </c>
      <c r="P101" s="33" t="n">
        <f aca="false">TblMili[[#This Row],[Unit 4]]</f>
        <v>1228</v>
      </c>
      <c r="Q101" s="33" t="n">
        <f aca="false">TblMili[[#This Row],[Spies]]</f>
        <v>25</v>
      </c>
      <c r="R101" s="33" t="n">
        <f aca="false">TblMili[[#This Row],[Wizards]]</f>
        <v>27</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12649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1" s="69" t="n">
        <f aca="false">MAX(-5%*TblPop[[#This Row],[Peasants]]-TblPop[[#This Row],[Draft Growth]],MIN(OFFSET(TblPop[[#This Row],[Net max]],1,0)-TblPop[[#This Row],[Peasants]]-TblPop[[#This Row],[Military]]-TblPop[[#This Row],[Draft Growth]],TblPop[[#This Row],[Modded Birth]]-TblPop[[#This Row],[Draft Growth]]))</f>
        <v>-76</v>
      </c>
      <c r="X101" s="69" t="n">
        <f aca="false">ROUND(TblPop[[#This Row],[Raw Birth]]*(1+TblPop[[#This Row],[Growth]]),0)</f>
        <v>322</v>
      </c>
      <c r="Y101" s="69" t="n">
        <f aca="false">(TblPop[[#This Row],[Peasants]]-TblPop[[#This Row],[Draft Growth]])*raw_pop_growth</f>
        <v>224.49</v>
      </c>
      <c r="Z101" s="69" t="n">
        <f aca="false">IF(TblPop[[#This Row],[Military%]]&lt;TblMili[[#This Row],[Draftrate]],ROUND(TblPop[[#This Row],[Peasants]]*Constants!$B$55,0), 0)</f>
        <v>76</v>
      </c>
      <c r="AA101" s="132"/>
      <c r="AB101" s="109" t="n">
        <f aca="false">Overview!$I$16 + IF(Magic!AE101&gt;0,Constants!$F$78) + ROUND(6*(Construction!BM102+Construction!CK101)/IF(Explore!S102&gt;0,Construction!F102-20,Construction!F102),4) + tech_6_5_2*Techs!BJ101 + tech_8_4*Techs!BT101</f>
        <v>0.4365</v>
      </c>
      <c r="AC101" s="130" t="n">
        <f aca="false">(Overview!$I$15 + Imps!Z101+ tech_2_5*Techs!AB101 + tech_3_6*Techs!AM101 + tech_6_1*Techs!BJ101 + tech_6_5*Techs!BF101 + tech_7_3_2*Techs!BN101) * (1 + Production!P101/100*prestige_pop_multiplier) + Production!P101/100*prestige_pop_multiplier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7483</v>
      </c>
      <c r="D102" s="69" t="n">
        <f aca="false">TblMili[[#This Row],[Military]]</f>
        <v>5166</v>
      </c>
      <c r="E102" s="69" t="n">
        <f aca="false">TblMili[[#This Row],[Draftees]]</f>
        <v>1912</v>
      </c>
      <c r="F102" s="69" t="n">
        <f aca="false">TblPop[[#This Row],[Peasants]]+TblPop[[#This Row],[Military]]</f>
        <v>12649</v>
      </c>
      <c r="G102" s="130" t="n">
        <f aca="false">TblPop[[#This Row],[Military]]/TblPop[[#This Row],[Total]]</f>
        <v>0.408411732152739</v>
      </c>
      <c r="H102" s="95" t="n">
        <f aca="false">MIN(TblPop[[#This Row],[Peasants]],TblPop[[#This Row],[Jobs]])</f>
        <v>7483</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1912</v>
      </c>
      <c r="M102" s="33" t="n">
        <f aca="false">TblMili[[#This Row],[Unit 1]]</f>
        <v>13</v>
      </c>
      <c r="N102" s="33" t="n">
        <f aca="false">TblMili[[#This Row],[Unit 2]]</f>
        <v>1261</v>
      </c>
      <c r="O102" s="33" t="n">
        <f aca="false">TblMili[[#This Row],[Unit 3]]</f>
        <v>700</v>
      </c>
      <c r="P102" s="33" t="n">
        <f aca="false">TblMili[[#This Row],[Unit 4]]</f>
        <v>1228</v>
      </c>
      <c r="Q102" s="33" t="n">
        <f aca="false">TblMili[[#This Row],[Spies]]</f>
        <v>25</v>
      </c>
      <c r="R102" s="33" t="n">
        <f aca="false">TblMili[[#This Row],[Wizards]]</f>
        <v>27</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12649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2" s="69" t="n">
        <f aca="false">MAX(-5%*TblPop[[#This Row],[Peasants]]-TblPop[[#This Row],[Draft Growth]],MIN(OFFSET(TblPop[[#This Row],[Net max]],1,0)-TblPop[[#This Row],[Peasants]]-TblPop[[#This Row],[Military]]-TblPop[[#This Row],[Draft Growth]],TblPop[[#This Row],[Modded Birth]]-TblPop[[#This Row],[Draft Growth]]))</f>
        <v>-75</v>
      </c>
      <c r="X102" s="69" t="n">
        <f aca="false">ROUND(TblPop[[#This Row],[Raw Birth]]*(1+TblPop[[#This Row],[Growth]]),0)</f>
        <v>319</v>
      </c>
      <c r="Y102" s="69" t="n">
        <f aca="false">(TblPop[[#This Row],[Peasants]]-TblPop[[#This Row],[Draft Growth]])*raw_pop_growth</f>
        <v>222.24</v>
      </c>
      <c r="Z102" s="69" t="n">
        <f aca="false">IF(TblPop[[#This Row],[Military%]]&lt;TblMili[[#This Row],[Draftrate]],ROUND(TblPop[[#This Row],[Peasants]]*Constants!$B$55,0), 0)</f>
        <v>75</v>
      </c>
      <c r="AA102" s="132"/>
      <c r="AB102" s="109" t="n">
        <f aca="false">Overview!$I$16 + IF(Magic!AE102&gt;0,Constants!$F$78) + ROUND(6*(Construction!BM103+Construction!CK102)/IF(Explore!S103&gt;0,Construction!F103-20,Construction!F103),4) + tech_6_5_2*Techs!BJ102 + tech_8_4*Techs!BT102</f>
        <v>0.4365</v>
      </c>
      <c r="AC102" s="130" t="n">
        <f aca="false">(Overview!$I$15 + Imps!Z102+ tech_2_5*Techs!AB102 + tech_3_6*Techs!AM102 + tech_6_1*Techs!BJ102 + tech_6_5*Techs!BF102 + tech_7_3_2*Techs!BN102) * (1 + Production!P102/100*prestige_pop_multiplier) + Production!P102/100*prestige_pop_multiplier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7408</v>
      </c>
      <c r="D103" s="69" t="n">
        <f aca="false">TblMili[[#This Row],[Military]]</f>
        <v>5241</v>
      </c>
      <c r="E103" s="69" t="n">
        <f aca="false">TblMili[[#This Row],[Draftees]]</f>
        <v>1987</v>
      </c>
      <c r="F103" s="69" t="n">
        <f aca="false">TblPop[[#This Row],[Peasants]]+TblPop[[#This Row],[Military]]</f>
        <v>12649</v>
      </c>
      <c r="G103" s="130" t="n">
        <f aca="false">TblPop[[#This Row],[Military]]/TblPop[[#This Row],[Total]]</f>
        <v>0.414341054628824</v>
      </c>
      <c r="H103" s="95" t="n">
        <f aca="false">MIN(TblPop[[#This Row],[Peasants]],TblPop[[#This Row],[Jobs]])</f>
        <v>7408</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1987</v>
      </c>
      <c r="M103" s="33" t="n">
        <f aca="false">TblMili[[#This Row],[Unit 1]]</f>
        <v>13</v>
      </c>
      <c r="N103" s="33" t="n">
        <f aca="false">TblMili[[#This Row],[Unit 2]]</f>
        <v>1261</v>
      </c>
      <c r="O103" s="33" t="n">
        <f aca="false">TblMili[[#This Row],[Unit 3]]</f>
        <v>700</v>
      </c>
      <c r="P103" s="33" t="n">
        <f aca="false">TblMili[[#This Row],[Unit 4]]</f>
        <v>1228</v>
      </c>
      <c r="Q103" s="33" t="n">
        <f aca="false">TblMili[[#This Row],[Spies]]</f>
        <v>25</v>
      </c>
      <c r="R103" s="33" t="n">
        <f aca="false">TblMili[[#This Row],[Wizards]]</f>
        <v>27</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12649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3" s="69" t="n">
        <f aca="false">MAX(-5%*TblPop[[#This Row],[Peasants]]-TblPop[[#This Row],[Draft Growth]],MIN(OFFSET(TblPop[[#This Row],[Net max]],1,0)-TblPop[[#This Row],[Peasants]]-TblPop[[#This Row],[Military]]-TblPop[[#This Row],[Draft Growth]],TblPop[[#This Row],[Modded Birth]]-TblPop[[#This Row],[Draft Growth]]))</f>
        <v>-74</v>
      </c>
      <c r="X103" s="69" t="n">
        <f aca="false">ROUND(TblPop[[#This Row],[Raw Birth]]*(1+TblPop[[#This Row],[Growth]]),0)</f>
        <v>316</v>
      </c>
      <c r="Y103" s="69" t="n">
        <f aca="false">(TblPop[[#This Row],[Peasants]]-TblPop[[#This Row],[Draft Growth]])*raw_pop_growth</f>
        <v>220.02</v>
      </c>
      <c r="Z103" s="69" t="n">
        <f aca="false">IF(TblPop[[#This Row],[Military%]]&lt;TblMili[[#This Row],[Draftrate]],ROUND(TblPop[[#This Row],[Peasants]]*Constants!$B$55,0), 0)</f>
        <v>74</v>
      </c>
      <c r="AA103" s="132"/>
      <c r="AB103" s="109" t="n">
        <f aca="false">Overview!$I$16 + IF(Magic!AE103&gt;0,Constants!$F$78) + ROUND(6*(Construction!BM104+Construction!CK103)/IF(Explore!S104&gt;0,Construction!F104-20,Construction!F104),4) + tech_6_5_2*Techs!BJ103 + tech_8_4*Techs!BT103</f>
        <v>0.4365</v>
      </c>
      <c r="AC103" s="130" t="n">
        <f aca="false">(Overview!$I$15 + Imps!Z103+ tech_2_5*Techs!AB103 + tech_3_6*Techs!AM103 + tech_6_1*Techs!BJ103 + tech_6_5*Techs!BF103 + tech_7_3_2*Techs!BN103) * (1 + Production!P103/100*prestige_pop_multiplier) + Production!P103/100*prestige_pop_multiplier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7334</v>
      </c>
      <c r="D104" s="69" t="n">
        <f aca="false">TblMili[[#This Row],[Military]]</f>
        <v>5315</v>
      </c>
      <c r="E104" s="69" t="n">
        <f aca="false">TblMili[[#This Row],[Draftees]]</f>
        <v>2061</v>
      </c>
      <c r="F104" s="69" t="n">
        <f aca="false">TblPop[[#This Row],[Peasants]]+TblPop[[#This Row],[Military]]</f>
        <v>12649</v>
      </c>
      <c r="G104" s="130" t="n">
        <f aca="false">TblPop[[#This Row],[Military]]/TblPop[[#This Row],[Total]]</f>
        <v>0.420191319471895</v>
      </c>
      <c r="H104" s="95" t="n">
        <f aca="false">MIN(TblPop[[#This Row],[Peasants]],TblPop[[#This Row],[Jobs]])</f>
        <v>7334</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2061</v>
      </c>
      <c r="M104" s="33" t="n">
        <f aca="false">TblMili[[#This Row],[Unit 1]]</f>
        <v>13</v>
      </c>
      <c r="N104" s="33" t="n">
        <f aca="false">TblMili[[#This Row],[Unit 2]]</f>
        <v>1261</v>
      </c>
      <c r="O104" s="33" t="n">
        <f aca="false">TblMili[[#This Row],[Unit 3]]</f>
        <v>700</v>
      </c>
      <c r="P104" s="33" t="n">
        <f aca="false">TblMili[[#This Row],[Unit 4]]</f>
        <v>1228</v>
      </c>
      <c r="Q104" s="33" t="n">
        <f aca="false">TblMili[[#This Row],[Spies]]</f>
        <v>25</v>
      </c>
      <c r="R104" s="33" t="n">
        <f aca="false">TblMili[[#This Row],[Wizards]]</f>
        <v>27</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12649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4" s="69" t="n">
        <f aca="false">MAX(-5%*TblPop[[#This Row],[Peasants]]-TblPop[[#This Row],[Draft Growth]],MIN(OFFSET(TblPop[[#This Row],[Net max]],1,0)-TblPop[[#This Row],[Peasants]]-TblPop[[#This Row],[Military]]-TblPop[[#This Row],[Draft Growth]],TblPop[[#This Row],[Modded Birth]]-TblPop[[#This Row],[Draft Growth]]))</f>
        <v>-73</v>
      </c>
      <c r="X104" s="69" t="n">
        <f aca="false">ROUND(TblPop[[#This Row],[Raw Birth]]*(1+TblPop[[#This Row],[Growth]]),0)</f>
        <v>313</v>
      </c>
      <c r="Y104" s="69" t="n">
        <f aca="false">(TblPop[[#This Row],[Peasants]]-TblPop[[#This Row],[Draft Growth]])*raw_pop_growth</f>
        <v>217.83</v>
      </c>
      <c r="Z104" s="69" t="n">
        <f aca="false">IF(TblPop[[#This Row],[Military%]]&lt;TblMili[[#This Row],[Draftrate]],ROUND(TblPop[[#This Row],[Peasants]]*Constants!$B$55,0), 0)</f>
        <v>73</v>
      </c>
      <c r="AA104" s="132"/>
      <c r="AB104" s="109" t="n">
        <f aca="false">Overview!$I$16 + IF(Magic!AE104&gt;0,Constants!$F$78) + ROUND(6*(Construction!BM105+Construction!CK104)/IF(Explore!S105&gt;0,Construction!F105-20,Construction!F105),4) + tech_6_5_2*Techs!BJ104 + tech_8_4*Techs!BT104</f>
        <v>0.4365</v>
      </c>
      <c r="AC104" s="130" t="n">
        <f aca="false">(Overview!$I$15 + Imps!Z104+ tech_2_5*Techs!AB104 + tech_3_6*Techs!AM104 + tech_6_1*Techs!BJ104 + tech_6_5*Techs!BF104 + tech_7_3_2*Techs!BN104) * (1 + Production!P104/100*prestige_pop_multiplier) + Production!P104/100*prestige_pop_multiplier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7261</v>
      </c>
      <c r="D105" s="69" t="n">
        <f aca="false">TblMili[[#This Row],[Military]]</f>
        <v>5388</v>
      </c>
      <c r="E105" s="69" t="n">
        <f aca="false">TblMili[[#This Row],[Draftees]]</f>
        <v>2134</v>
      </c>
      <c r="F105" s="69" t="n">
        <f aca="false">TblPop[[#This Row],[Peasants]]+TblPop[[#This Row],[Military]]</f>
        <v>12649</v>
      </c>
      <c r="G105" s="130" t="n">
        <f aca="false">TblPop[[#This Row],[Military]]/TblPop[[#This Row],[Total]]</f>
        <v>0.425962526681951</v>
      </c>
      <c r="H105" s="95" t="n">
        <f aca="false">MIN(TblPop[[#This Row],[Peasants]],TblPop[[#This Row],[Jobs]])</f>
        <v>7261</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2134</v>
      </c>
      <c r="M105" s="33" t="n">
        <f aca="false">TblMili[[#This Row],[Unit 1]]</f>
        <v>13</v>
      </c>
      <c r="N105" s="33" t="n">
        <f aca="false">TblMili[[#This Row],[Unit 2]]</f>
        <v>1261</v>
      </c>
      <c r="O105" s="33" t="n">
        <f aca="false">TblMili[[#This Row],[Unit 3]]</f>
        <v>700</v>
      </c>
      <c r="P105" s="33" t="n">
        <f aca="false">TblMili[[#This Row],[Unit 4]]</f>
        <v>1228</v>
      </c>
      <c r="Q105" s="33" t="n">
        <f aca="false">TblMili[[#This Row],[Spies]]</f>
        <v>25</v>
      </c>
      <c r="R105" s="33" t="n">
        <f aca="false">TblMili[[#This Row],[Wizards]]</f>
        <v>27</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12649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5" s="69" t="n">
        <f aca="false">MAX(-5%*TblPop[[#This Row],[Peasants]]-TblPop[[#This Row],[Draft Growth]],MIN(OFFSET(TblPop[[#This Row],[Net max]],1,0)-TblPop[[#This Row],[Peasants]]-TblPop[[#This Row],[Military]]-TblPop[[#This Row],[Draft Growth]],TblPop[[#This Row],[Modded Birth]]-TblPop[[#This Row],[Draft Growth]]))</f>
        <v>-73</v>
      </c>
      <c r="X105" s="69" t="n">
        <f aca="false">ROUND(TblPop[[#This Row],[Raw Birth]]*(1+TblPop[[#This Row],[Growth]]),0)</f>
        <v>310</v>
      </c>
      <c r="Y105" s="69" t="n">
        <f aca="false">(TblPop[[#This Row],[Peasants]]-TblPop[[#This Row],[Draft Growth]])*raw_pop_growth</f>
        <v>215.64</v>
      </c>
      <c r="Z105" s="69" t="n">
        <f aca="false">IF(TblPop[[#This Row],[Military%]]&lt;TblMili[[#This Row],[Draftrate]],ROUND(TblPop[[#This Row],[Peasants]]*Constants!$B$55,0), 0)</f>
        <v>73</v>
      </c>
      <c r="AA105" s="132"/>
      <c r="AB105" s="109" t="n">
        <f aca="false">Overview!$I$16 + IF(Magic!AE105&gt;0,Constants!$F$78) + ROUND(6*(Construction!BM106+Construction!CK105)/IF(Explore!S106&gt;0,Construction!F106-20,Construction!F106),4) + tech_6_5_2*Techs!BJ105 + tech_8_4*Techs!BT105</f>
        <v>0.4365</v>
      </c>
      <c r="AC105" s="130" t="n">
        <f aca="false">(Overview!$I$15 + Imps!Z105+ tech_2_5*Techs!AB105 + tech_3_6*Techs!AM105 + tech_6_1*Techs!BJ105 + tech_6_5*Techs!BF105 + tech_7_3_2*Techs!BN105) * (1 + Production!P105/100*prestige_pop_multiplier) + Production!P105/100*prestige_pop_multiplier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7188</v>
      </c>
      <c r="D106" s="69" t="n">
        <f aca="false">TblMili[[#This Row],[Military]]</f>
        <v>5461</v>
      </c>
      <c r="E106" s="69" t="n">
        <f aca="false">TblMili[[#This Row],[Draftees]]</f>
        <v>2207</v>
      </c>
      <c r="F106" s="69" t="n">
        <f aca="false">TblPop[[#This Row],[Peasants]]+TblPop[[#This Row],[Military]]</f>
        <v>12649</v>
      </c>
      <c r="G106" s="130" t="n">
        <f aca="false">TblPop[[#This Row],[Military]]/TblPop[[#This Row],[Total]]</f>
        <v>0.431733733892007</v>
      </c>
      <c r="H106" s="95" t="n">
        <f aca="false">MIN(TblPop[[#This Row],[Peasants]],TblPop[[#This Row],[Jobs]])</f>
        <v>7188</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2207</v>
      </c>
      <c r="M106" s="33" t="n">
        <f aca="false">TblMili[[#This Row],[Unit 1]]</f>
        <v>13</v>
      </c>
      <c r="N106" s="33" t="n">
        <f aca="false">TblMili[[#This Row],[Unit 2]]</f>
        <v>1261</v>
      </c>
      <c r="O106" s="33" t="n">
        <f aca="false">TblMili[[#This Row],[Unit 3]]</f>
        <v>700</v>
      </c>
      <c r="P106" s="33" t="n">
        <f aca="false">TblMili[[#This Row],[Unit 4]]</f>
        <v>1228</v>
      </c>
      <c r="Q106" s="33" t="n">
        <f aca="false">TblMili[[#This Row],[Spies]]</f>
        <v>25</v>
      </c>
      <c r="R106" s="33" t="n">
        <f aca="false">TblMili[[#This Row],[Wizards]]</f>
        <v>27</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12649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6" s="69" t="n">
        <f aca="false">MAX(-5%*TblPop[[#This Row],[Peasants]]-TblPop[[#This Row],[Draft Growth]],MIN(OFFSET(TblPop[[#This Row],[Net max]],1,0)-TblPop[[#This Row],[Peasants]]-TblPop[[#This Row],[Military]]-TblPop[[#This Row],[Draft Growth]],TblPop[[#This Row],[Modded Birth]]-TblPop[[#This Row],[Draft Growth]]))</f>
        <v>-72</v>
      </c>
      <c r="X106" s="69" t="n">
        <f aca="false">ROUND(TblPop[[#This Row],[Raw Birth]]*(1+TblPop[[#This Row],[Growth]]),0)</f>
        <v>307</v>
      </c>
      <c r="Y106" s="69" t="n">
        <f aca="false">(TblPop[[#This Row],[Peasants]]-TblPop[[#This Row],[Draft Growth]])*raw_pop_growth</f>
        <v>213.48</v>
      </c>
      <c r="Z106" s="69" t="n">
        <f aca="false">IF(TblPop[[#This Row],[Military%]]&lt;TblMili[[#This Row],[Draftrate]],ROUND(TblPop[[#This Row],[Peasants]]*Constants!$B$55,0), 0)</f>
        <v>72</v>
      </c>
      <c r="AA106" s="132"/>
      <c r="AB106" s="109" t="n">
        <f aca="false">Overview!$I$16 + IF(Magic!AE106&gt;0,Constants!$F$78) + ROUND(6*(Construction!BM107+Construction!CK106)/IF(Explore!S107&gt;0,Construction!F107-20,Construction!F107),4) + tech_6_5_2*Techs!BJ106 + tech_8_4*Techs!BT106</f>
        <v>0.4365</v>
      </c>
      <c r="AC106" s="130" t="n">
        <f aca="false">(Overview!$I$15 + Imps!Z106+ tech_2_5*Techs!AB106 + tech_3_6*Techs!AM106 + tech_6_1*Techs!BJ106 + tech_6_5*Techs!BF106 + tech_7_3_2*Techs!BN106) * (1 + Production!P106/100*prestige_pop_multiplier) + Production!P106/100*prestige_pop_multiplier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7116</v>
      </c>
      <c r="D107" s="69" t="n">
        <f aca="false">TblMili[[#This Row],[Military]]</f>
        <v>5533</v>
      </c>
      <c r="E107" s="69" t="n">
        <f aca="false">TblMili[[#This Row],[Draftees]]</f>
        <v>2279</v>
      </c>
      <c r="F107" s="69" t="n">
        <f aca="false">TblPop[[#This Row],[Peasants]]+TblPop[[#This Row],[Military]]</f>
        <v>12649</v>
      </c>
      <c r="G107" s="130" t="n">
        <f aca="false">TblPop[[#This Row],[Military]]/TblPop[[#This Row],[Total]]</f>
        <v>0.437425883469049</v>
      </c>
      <c r="H107" s="95" t="n">
        <f aca="false">MIN(TblPop[[#This Row],[Peasants]],TblPop[[#This Row],[Jobs]])</f>
        <v>7116</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2279</v>
      </c>
      <c r="M107" s="33" t="n">
        <f aca="false">TblMili[[#This Row],[Unit 1]]</f>
        <v>13</v>
      </c>
      <c r="N107" s="33" t="n">
        <f aca="false">TblMili[[#This Row],[Unit 2]]</f>
        <v>1261</v>
      </c>
      <c r="O107" s="33" t="n">
        <f aca="false">TblMili[[#This Row],[Unit 3]]</f>
        <v>700</v>
      </c>
      <c r="P107" s="33" t="n">
        <f aca="false">TblMili[[#This Row],[Unit 4]]</f>
        <v>1228</v>
      </c>
      <c r="Q107" s="33" t="n">
        <f aca="false">TblMili[[#This Row],[Spies]]</f>
        <v>25</v>
      </c>
      <c r="R107" s="33" t="n">
        <f aca="false">TblMili[[#This Row],[Wizards]]</f>
        <v>27</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12649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7" s="69" t="n">
        <f aca="false">MAX(-5%*TblPop[[#This Row],[Peasants]]-TblPop[[#This Row],[Draft Growth]],MIN(OFFSET(TblPop[[#This Row],[Net max]],1,0)-TblPop[[#This Row],[Peasants]]-TblPop[[#This Row],[Military]]-TblPop[[#This Row],[Draft Growth]],TblPop[[#This Row],[Modded Birth]]-TblPop[[#This Row],[Draft Growth]]))</f>
        <v>-71</v>
      </c>
      <c r="X107" s="69" t="n">
        <f aca="false">ROUND(TblPop[[#This Row],[Raw Birth]]*(1+TblPop[[#This Row],[Growth]]),0)</f>
        <v>304</v>
      </c>
      <c r="Y107" s="69" t="n">
        <f aca="false">(TblPop[[#This Row],[Peasants]]-TblPop[[#This Row],[Draft Growth]])*raw_pop_growth</f>
        <v>211.35</v>
      </c>
      <c r="Z107" s="69" t="n">
        <f aca="false">IF(TblPop[[#This Row],[Military%]]&lt;TblMili[[#This Row],[Draftrate]],ROUND(TblPop[[#This Row],[Peasants]]*Constants!$B$55,0), 0)</f>
        <v>71</v>
      </c>
      <c r="AA107" s="132"/>
      <c r="AB107" s="109" t="n">
        <f aca="false">Overview!$I$16 + IF(Magic!AE107&gt;0,Constants!$F$78) + ROUND(6*(Construction!BM108+Construction!CK107)/IF(Explore!S108&gt;0,Construction!F108-20,Construction!F108),4) + tech_6_5_2*Techs!BJ107 + tech_8_4*Techs!BT107</f>
        <v>0.4365</v>
      </c>
      <c r="AC107" s="130" t="n">
        <f aca="false">(Overview!$I$15 + Imps!Z107+ tech_2_5*Techs!AB107 + tech_3_6*Techs!AM107 + tech_6_1*Techs!BJ107 + tech_6_5*Techs!BF107 + tech_7_3_2*Techs!BN107) * (1 + Production!P107/100*prestige_pop_multiplier) + Production!P107/100*prestige_pop_multiplier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7045</v>
      </c>
      <c r="D108" s="69" t="n">
        <f aca="false">TblMili[[#This Row],[Military]]</f>
        <v>5604</v>
      </c>
      <c r="E108" s="69" t="n">
        <f aca="false">TblMili[[#This Row],[Draftees]]</f>
        <v>2350</v>
      </c>
      <c r="F108" s="69" t="n">
        <f aca="false">TblPop[[#This Row],[Peasants]]+TblPop[[#This Row],[Military]]</f>
        <v>12649</v>
      </c>
      <c r="G108" s="130" t="n">
        <f aca="false">TblPop[[#This Row],[Military]]/TblPop[[#This Row],[Total]]</f>
        <v>0.443038975413076</v>
      </c>
      <c r="H108" s="95" t="n">
        <f aca="false">MIN(TblPop[[#This Row],[Peasants]],TblPop[[#This Row],[Jobs]])</f>
        <v>7045</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2350</v>
      </c>
      <c r="M108" s="33" t="n">
        <f aca="false">TblMili[[#This Row],[Unit 1]]</f>
        <v>13</v>
      </c>
      <c r="N108" s="33" t="n">
        <f aca="false">TblMili[[#This Row],[Unit 2]]</f>
        <v>1261</v>
      </c>
      <c r="O108" s="33" t="n">
        <f aca="false">TblMili[[#This Row],[Unit 3]]</f>
        <v>700</v>
      </c>
      <c r="P108" s="33" t="n">
        <f aca="false">TblMili[[#This Row],[Unit 4]]</f>
        <v>1228</v>
      </c>
      <c r="Q108" s="33" t="n">
        <f aca="false">TblMili[[#This Row],[Spies]]</f>
        <v>25</v>
      </c>
      <c r="R108" s="33" t="n">
        <f aca="false">TblMili[[#This Row],[Wizards]]</f>
        <v>27</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12649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8" s="69" t="n">
        <f aca="false">MAX(-5%*TblPop[[#This Row],[Peasants]]-TblPop[[#This Row],[Draft Growth]],MIN(OFFSET(TblPop[[#This Row],[Net max]],1,0)-TblPop[[#This Row],[Peasants]]-TblPop[[#This Row],[Military]]-TblPop[[#This Row],[Draft Growth]],TblPop[[#This Row],[Modded Birth]]-TblPop[[#This Row],[Draft Growth]]))</f>
        <v>-70</v>
      </c>
      <c r="X108" s="69" t="n">
        <f aca="false">ROUND(TblPop[[#This Row],[Raw Birth]]*(1+TblPop[[#This Row],[Growth]]),0)</f>
        <v>301</v>
      </c>
      <c r="Y108" s="69" t="n">
        <f aca="false">(TblPop[[#This Row],[Peasants]]-TblPop[[#This Row],[Draft Growth]])*raw_pop_growth</f>
        <v>209.25</v>
      </c>
      <c r="Z108" s="69" t="n">
        <f aca="false">IF(TblPop[[#This Row],[Military%]]&lt;TblMili[[#This Row],[Draftrate]],ROUND(TblPop[[#This Row],[Peasants]]*Constants!$B$55,0), 0)</f>
        <v>70</v>
      </c>
      <c r="AA108" s="132"/>
      <c r="AB108" s="109" t="n">
        <f aca="false">Overview!$I$16 + IF(Magic!AE108&gt;0,Constants!$F$78) + ROUND(6*(Construction!BM109+Construction!CK108)/IF(Explore!S109&gt;0,Construction!F109-20,Construction!F109),4) + tech_6_5_2*Techs!BJ108 + tech_8_4*Techs!BT108</f>
        <v>0.4365</v>
      </c>
      <c r="AC108" s="130" t="n">
        <f aca="false">(Overview!$I$15 + Imps!Z108+ tech_2_5*Techs!AB108 + tech_3_6*Techs!AM108 + tech_6_1*Techs!BJ108 + tech_6_5*Techs!BF108 + tech_7_3_2*Techs!BN108) * (1 + Production!P108/100*prestige_pop_multiplier) + Production!P108/100*prestige_pop_multiplier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6975</v>
      </c>
      <c r="D109" s="69" t="n">
        <f aca="false">TblMili[[#This Row],[Military]]</f>
        <v>5674</v>
      </c>
      <c r="E109" s="69" t="n">
        <f aca="false">TblMili[[#This Row],[Draftees]]</f>
        <v>2420</v>
      </c>
      <c r="F109" s="69" t="n">
        <f aca="false">TblPop[[#This Row],[Peasants]]+TblPop[[#This Row],[Military]]</f>
        <v>12649</v>
      </c>
      <c r="G109" s="130" t="n">
        <f aca="false">TblPop[[#This Row],[Military]]/TblPop[[#This Row],[Total]]</f>
        <v>0.448573009724089</v>
      </c>
      <c r="H109" s="95" t="n">
        <f aca="false">MIN(TblPop[[#This Row],[Peasants]],TblPop[[#This Row],[Jobs]])</f>
        <v>6975</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2420</v>
      </c>
      <c r="M109" s="33" t="n">
        <f aca="false">TblMili[[#This Row],[Unit 1]]</f>
        <v>13</v>
      </c>
      <c r="N109" s="33" t="n">
        <f aca="false">TblMili[[#This Row],[Unit 2]]</f>
        <v>1261</v>
      </c>
      <c r="O109" s="33" t="n">
        <f aca="false">TblMili[[#This Row],[Unit 3]]</f>
        <v>700</v>
      </c>
      <c r="P109" s="33" t="n">
        <f aca="false">TblMili[[#This Row],[Unit 4]]</f>
        <v>1228</v>
      </c>
      <c r="Q109" s="33" t="n">
        <f aca="false">TblMili[[#This Row],[Spies]]</f>
        <v>25</v>
      </c>
      <c r="R109" s="33" t="n">
        <f aca="false">TblMili[[#This Row],[Wizards]]</f>
        <v>27</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12649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09" s="69" t="n">
        <f aca="false">MAX(-5%*TblPop[[#This Row],[Peasants]]-TblPop[[#This Row],[Draft Growth]],MIN(OFFSET(TblPop[[#This Row],[Net max]],1,0)-TblPop[[#This Row],[Peasants]]-TblPop[[#This Row],[Military]]-TblPop[[#This Row],[Draft Growth]],TblPop[[#This Row],[Modded Birth]]-TblPop[[#This Row],[Draft Growth]]))</f>
        <v>-70</v>
      </c>
      <c r="X109" s="69" t="n">
        <f aca="false">ROUND(TblPop[[#This Row],[Raw Birth]]*(1+TblPop[[#This Row],[Growth]]),0)</f>
        <v>298</v>
      </c>
      <c r="Y109" s="69" t="n">
        <f aca="false">(TblPop[[#This Row],[Peasants]]-TblPop[[#This Row],[Draft Growth]])*raw_pop_growth</f>
        <v>207.15</v>
      </c>
      <c r="Z109" s="69" t="n">
        <f aca="false">IF(TblPop[[#This Row],[Military%]]&lt;TblMili[[#This Row],[Draftrate]],ROUND(TblPop[[#This Row],[Peasants]]*Constants!$B$55,0), 0)</f>
        <v>70</v>
      </c>
      <c r="AA109" s="132"/>
      <c r="AB109" s="109" t="n">
        <f aca="false">Overview!$I$16 + IF(Magic!AE109&gt;0,Constants!$F$78) + ROUND(6*(Construction!BM110+Construction!CK109)/IF(Explore!S110&gt;0,Construction!F110-20,Construction!F110),4) + tech_6_5_2*Techs!BJ109 + tech_8_4*Techs!BT109</f>
        <v>0.4365</v>
      </c>
      <c r="AC109" s="130" t="n">
        <f aca="false">(Overview!$I$15 + Imps!Z109+ tech_2_5*Techs!AB109 + tech_3_6*Techs!AM109 + tech_6_1*Techs!BJ109 + tech_6_5*Techs!BF109 + tech_7_3_2*Techs!BN109) * (1 + Production!P109/100*prestige_pop_multiplier) + Production!P109/100*prestige_pop_multiplier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6905</v>
      </c>
      <c r="D110" s="69" t="n">
        <f aca="false">TblMili[[#This Row],[Military]]</f>
        <v>5744</v>
      </c>
      <c r="E110" s="69" t="n">
        <f aca="false">TblMili[[#This Row],[Draftees]]</f>
        <v>2490</v>
      </c>
      <c r="F110" s="69" t="n">
        <f aca="false">TblPop[[#This Row],[Peasants]]+TblPop[[#This Row],[Military]]</f>
        <v>12649</v>
      </c>
      <c r="G110" s="130" t="n">
        <f aca="false">TblPop[[#This Row],[Military]]/TblPop[[#This Row],[Total]]</f>
        <v>0.454107044035102</v>
      </c>
      <c r="H110" s="95" t="n">
        <f aca="false">MIN(TblPop[[#This Row],[Peasants]],TblPop[[#This Row],[Jobs]])</f>
        <v>6905</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2490</v>
      </c>
      <c r="M110" s="33" t="n">
        <f aca="false">TblMili[[#This Row],[Unit 1]]</f>
        <v>13</v>
      </c>
      <c r="N110" s="33" t="n">
        <f aca="false">TblMili[[#This Row],[Unit 2]]</f>
        <v>1261</v>
      </c>
      <c r="O110" s="33" t="n">
        <f aca="false">TblMili[[#This Row],[Unit 3]]</f>
        <v>700</v>
      </c>
      <c r="P110" s="33" t="n">
        <f aca="false">TblMili[[#This Row],[Unit 4]]</f>
        <v>1228</v>
      </c>
      <c r="Q110" s="33" t="n">
        <f aca="false">TblMili[[#This Row],[Spies]]</f>
        <v>25</v>
      </c>
      <c r="R110" s="33" t="n">
        <f aca="false">TblMili[[#This Row],[Wizards]]</f>
        <v>27</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12649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0" s="69" t="n">
        <f aca="false">MAX(-5%*TblPop[[#This Row],[Peasants]]-TblPop[[#This Row],[Draft Growth]],MIN(OFFSET(TblPop[[#This Row],[Net max]],1,0)-TblPop[[#This Row],[Peasants]]-TblPop[[#This Row],[Military]]-TblPop[[#This Row],[Draft Growth]],TblPop[[#This Row],[Modded Birth]]-TblPop[[#This Row],[Draft Growth]]))</f>
        <v>-69</v>
      </c>
      <c r="X110" s="69" t="n">
        <f aca="false">ROUND(TblPop[[#This Row],[Raw Birth]]*(1+TblPop[[#This Row],[Growth]]),0)</f>
        <v>295</v>
      </c>
      <c r="Y110" s="69" t="n">
        <f aca="false">(TblPop[[#This Row],[Peasants]]-TblPop[[#This Row],[Draft Growth]])*raw_pop_growth</f>
        <v>205.08</v>
      </c>
      <c r="Z110" s="69" t="n">
        <f aca="false">IF(TblPop[[#This Row],[Military%]]&lt;TblMili[[#This Row],[Draftrate]],ROUND(TblPop[[#This Row],[Peasants]]*Constants!$B$55,0), 0)</f>
        <v>69</v>
      </c>
      <c r="AA110" s="132"/>
      <c r="AB110" s="109" t="n">
        <f aca="false">Overview!$I$16 + IF(Magic!AE110&gt;0,Constants!$F$78) + ROUND(6*(Construction!BM111+Construction!CK110)/IF(Explore!S111&gt;0,Construction!F111-20,Construction!F111),4) + tech_6_5_2*Techs!BJ110 + tech_8_4*Techs!BT110</f>
        <v>0.4365</v>
      </c>
      <c r="AC110" s="130" t="n">
        <f aca="false">(Overview!$I$15 + Imps!Z110+ tech_2_5*Techs!AB110 + tech_3_6*Techs!AM110 + tech_6_1*Techs!BJ110 + tech_6_5*Techs!BF110 + tech_7_3_2*Techs!BN110) * (1 + Production!P110/100*prestige_pop_multiplier) + Production!P110/100*prestige_pop_multiplier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6836</v>
      </c>
      <c r="D111" s="69" t="n">
        <f aca="false">TblMili[[#This Row],[Military]]</f>
        <v>5813</v>
      </c>
      <c r="E111" s="69" t="n">
        <f aca="false">TblMili[[#This Row],[Draftees]]</f>
        <v>2559</v>
      </c>
      <c r="F111" s="69" t="n">
        <f aca="false">TblPop[[#This Row],[Peasants]]+TblPop[[#This Row],[Military]]</f>
        <v>12649</v>
      </c>
      <c r="G111" s="130" t="n">
        <f aca="false">TblPop[[#This Row],[Military]]/TblPop[[#This Row],[Total]]</f>
        <v>0.4595620207131</v>
      </c>
      <c r="H111" s="95" t="n">
        <f aca="false">MIN(TblPop[[#This Row],[Peasants]],TblPop[[#This Row],[Jobs]])</f>
        <v>6836</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2559</v>
      </c>
      <c r="M111" s="33" t="n">
        <f aca="false">TblMili[[#This Row],[Unit 1]]</f>
        <v>13</v>
      </c>
      <c r="N111" s="33" t="n">
        <f aca="false">TblMili[[#This Row],[Unit 2]]</f>
        <v>1261</v>
      </c>
      <c r="O111" s="33" t="n">
        <f aca="false">TblMili[[#This Row],[Unit 3]]</f>
        <v>700</v>
      </c>
      <c r="P111" s="33" t="n">
        <f aca="false">TblMili[[#This Row],[Unit 4]]</f>
        <v>1228</v>
      </c>
      <c r="Q111" s="33" t="n">
        <f aca="false">TblMili[[#This Row],[Spies]]</f>
        <v>25</v>
      </c>
      <c r="R111" s="33" t="n">
        <f aca="false">TblMili[[#This Row],[Wizards]]</f>
        <v>27</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12649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1" s="69" t="n">
        <f aca="false">MAX(-5%*TblPop[[#This Row],[Peasants]]-TblPop[[#This Row],[Draft Growth]],MIN(OFFSET(TblPop[[#This Row],[Net max]],1,0)-TblPop[[#This Row],[Peasants]]-TblPop[[#This Row],[Military]]-TblPop[[#This Row],[Draft Growth]],TblPop[[#This Row],[Modded Birth]]-TblPop[[#This Row],[Draft Growth]]))</f>
        <v>-68</v>
      </c>
      <c r="X111" s="69" t="n">
        <f aca="false">ROUND(TblPop[[#This Row],[Raw Birth]]*(1+TblPop[[#This Row],[Growth]]),0)</f>
        <v>292</v>
      </c>
      <c r="Y111" s="69" t="n">
        <f aca="false">(TblPop[[#This Row],[Peasants]]-TblPop[[#This Row],[Draft Growth]])*raw_pop_growth</f>
        <v>203.04</v>
      </c>
      <c r="Z111" s="69" t="n">
        <f aca="false">IF(TblPop[[#This Row],[Military%]]&lt;TblMili[[#This Row],[Draftrate]],ROUND(TblPop[[#This Row],[Peasants]]*Constants!$B$55,0), 0)</f>
        <v>68</v>
      </c>
      <c r="AA111" s="132"/>
      <c r="AB111" s="109" t="n">
        <f aca="false">Overview!$I$16 + IF(Magic!AE111&gt;0,Constants!$F$78) + ROUND(6*(Construction!BM112+Construction!CK111)/IF(Explore!S112&gt;0,Construction!F112-20,Construction!F112),4) + tech_6_5_2*Techs!BJ111 + tech_8_4*Techs!BT111</f>
        <v>0.4365</v>
      </c>
      <c r="AC111" s="130" t="n">
        <f aca="false">(Overview!$I$15 + Imps!Z111+ tech_2_5*Techs!AB111 + tech_3_6*Techs!AM111 + tech_6_1*Techs!BJ111 + tech_6_5*Techs!BF111 + tech_7_3_2*Techs!BN111) * (1 + Production!P111/100*prestige_pop_multiplier) + Production!P111/100*prestige_pop_multiplier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6768</v>
      </c>
      <c r="D112" s="69" t="n">
        <f aca="false">TblMili[[#This Row],[Military]]</f>
        <v>5881</v>
      </c>
      <c r="E112" s="69" t="n">
        <f aca="false">TblMili[[#This Row],[Draftees]]</f>
        <v>2627</v>
      </c>
      <c r="F112" s="69" t="n">
        <f aca="false">TblPop[[#This Row],[Peasants]]+TblPop[[#This Row],[Military]]</f>
        <v>12649</v>
      </c>
      <c r="G112" s="130" t="n">
        <f aca="false">TblPop[[#This Row],[Military]]/TblPop[[#This Row],[Total]]</f>
        <v>0.464937939758084</v>
      </c>
      <c r="H112" s="95" t="n">
        <f aca="false">MIN(TblPop[[#This Row],[Peasants]],TblPop[[#This Row],[Jobs]])</f>
        <v>6768</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2627</v>
      </c>
      <c r="M112" s="33" t="n">
        <f aca="false">TblMili[[#This Row],[Unit 1]]</f>
        <v>13</v>
      </c>
      <c r="N112" s="33" t="n">
        <f aca="false">TblMili[[#This Row],[Unit 2]]</f>
        <v>1261</v>
      </c>
      <c r="O112" s="33" t="n">
        <f aca="false">TblMili[[#This Row],[Unit 3]]</f>
        <v>700</v>
      </c>
      <c r="P112" s="33" t="n">
        <f aca="false">TblMili[[#This Row],[Unit 4]]</f>
        <v>1228</v>
      </c>
      <c r="Q112" s="33" t="n">
        <f aca="false">TblMili[[#This Row],[Spies]]</f>
        <v>25</v>
      </c>
      <c r="R112" s="33" t="n">
        <f aca="false">TblMili[[#This Row],[Wizards]]</f>
        <v>27</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12649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2" s="69" t="n">
        <f aca="false">MAX(-5%*TblPop[[#This Row],[Peasants]]-TblPop[[#This Row],[Draft Growth]],MIN(OFFSET(TblPop[[#This Row],[Net max]],1,0)-TblPop[[#This Row],[Peasants]]-TblPop[[#This Row],[Military]]-TblPop[[#This Row],[Draft Growth]],TblPop[[#This Row],[Modded Birth]]-TblPop[[#This Row],[Draft Growth]]))</f>
        <v>-68</v>
      </c>
      <c r="X112" s="69" t="n">
        <f aca="false">ROUND(TblPop[[#This Row],[Raw Birth]]*(1+TblPop[[#This Row],[Growth]]),0)</f>
        <v>289</v>
      </c>
      <c r="Y112" s="69" t="n">
        <f aca="false">(TblPop[[#This Row],[Peasants]]-TblPop[[#This Row],[Draft Growth]])*raw_pop_growth</f>
        <v>201</v>
      </c>
      <c r="Z112" s="69" t="n">
        <f aca="false">IF(TblPop[[#This Row],[Military%]]&lt;TblMili[[#This Row],[Draftrate]],ROUND(TblPop[[#This Row],[Peasants]]*Constants!$B$55,0), 0)</f>
        <v>68</v>
      </c>
      <c r="AA112" s="132"/>
      <c r="AB112" s="109" t="n">
        <f aca="false">Overview!$I$16 + IF(Magic!AE112&gt;0,Constants!$F$78) + ROUND(6*(Construction!BM113+Construction!CK112)/IF(Explore!S113&gt;0,Construction!F113-20,Construction!F113),4) + tech_6_5_2*Techs!BJ112 + tech_8_4*Techs!BT112</f>
        <v>0.4365</v>
      </c>
      <c r="AC112" s="130" t="n">
        <f aca="false">(Overview!$I$15 + Imps!Z112+ tech_2_5*Techs!AB112 + tech_3_6*Techs!AM112 + tech_6_1*Techs!BJ112 + tech_6_5*Techs!BF112 + tech_7_3_2*Techs!BN112) * (1 + Production!P112/100*prestige_pop_multiplier) + Production!P112/100*prestige_pop_multiplier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6700</v>
      </c>
      <c r="D113" s="69" t="n">
        <f aca="false">TblMili[[#This Row],[Military]]</f>
        <v>5949</v>
      </c>
      <c r="E113" s="69" t="n">
        <f aca="false">TblMili[[#This Row],[Draftees]]</f>
        <v>2695</v>
      </c>
      <c r="F113" s="69" t="n">
        <f aca="false">TblPop[[#This Row],[Peasants]]+TblPop[[#This Row],[Military]]</f>
        <v>12649</v>
      </c>
      <c r="G113" s="130" t="n">
        <f aca="false">TblPop[[#This Row],[Military]]/TblPop[[#This Row],[Total]]</f>
        <v>0.470313858803067</v>
      </c>
      <c r="H113" s="95" t="n">
        <f aca="false">MIN(TblPop[[#This Row],[Peasants]],TblPop[[#This Row],[Jobs]])</f>
        <v>6700</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2695</v>
      </c>
      <c r="M113" s="33" t="n">
        <f aca="false">TblMili[[#This Row],[Unit 1]]</f>
        <v>13</v>
      </c>
      <c r="N113" s="33" t="n">
        <f aca="false">TblMili[[#This Row],[Unit 2]]</f>
        <v>1261</v>
      </c>
      <c r="O113" s="33" t="n">
        <f aca="false">TblMili[[#This Row],[Unit 3]]</f>
        <v>700</v>
      </c>
      <c r="P113" s="33" t="n">
        <f aca="false">TblMili[[#This Row],[Unit 4]]</f>
        <v>1228</v>
      </c>
      <c r="Q113" s="33" t="n">
        <f aca="false">TblMili[[#This Row],[Spies]]</f>
        <v>25</v>
      </c>
      <c r="R113" s="33" t="n">
        <f aca="false">TblMili[[#This Row],[Wizards]]</f>
        <v>27</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12649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3" s="69" t="n">
        <f aca="false">MAX(-5%*TblPop[[#This Row],[Peasants]]-TblPop[[#This Row],[Draft Growth]],MIN(OFFSET(TblPop[[#This Row],[Net max]],1,0)-TblPop[[#This Row],[Peasants]]-TblPop[[#This Row],[Military]]-TblPop[[#This Row],[Draft Growth]],TblPop[[#This Row],[Modded Birth]]-TblPop[[#This Row],[Draft Growth]]))</f>
        <v>-67</v>
      </c>
      <c r="X113" s="69" t="n">
        <f aca="false">ROUND(TblPop[[#This Row],[Raw Birth]]*(1+TblPop[[#This Row],[Growth]]),0)</f>
        <v>286</v>
      </c>
      <c r="Y113" s="69" t="n">
        <f aca="false">(TblPop[[#This Row],[Peasants]]-TblPop[[#This Row],[Draft Growth]])*raw_pop_growth</f>
        <v>198.99</v>
      </c>
      <c r="Z113" s="69" t="n">
        <f aca="false">IF(TblPop[[#This Row],[Military%]]&lt;TblMili[[#This Row],[Draftrate]],ROUND(TblPop[[#This Row],[Peasants]]*Constants!$B$55,0), 0)</f>
        <v>67</v>
      </c>
      <c r="AA113" s="132"/>
      <c r="AB113" s="109" t="n">
        <f aca="false">Overview!$I$16 + IF(Magic!AE113&gt;0,Constants!$F$78) + ROUND(6*(Construction!BM114+Construction!CK113)/IF(Explore!S114&gt;0,Construction!F114-20,Construction!F114),4) + tech_6_5_2*Techs!BJ113 + tech_8_4*Techs!BT113</f>
        <v>0.4365</v>
      </c>
      <c r="AC113" s="130" t="n">
        <f aca="false">(Overview!$I$15 + Imps!Z113+ tech_2_5*Techs!AB113 + tech_3_6*Techs!AM113 + tech_6_1*Techs!BJ113 + tech_6_5*Techs!BF113 + tech_7_3_2*Techs!BN113) * (1 + Production!P113/100*prestige_pop_multiplier) + Production!P113/100*prestige_pop_multiplier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6633</v>
      </c>
      <c r="D114" s="69" t="n">
        <f aca="false">TblMili[[#This Row],[Military]]</f>
        <v>6016</v>
      </c>
      <c r="E114" s="69" t="n">
        <f aca="false">TblMili[[#This Row],[Draftees]]</f>
        <v>2762</v>
      </c>
      <c r="F114" s="69" t="n">
        <f aca="false">TblPop[[#This Row],[Peasants]]+TblPop[[#This Row],[Military]]</f>
        <v>12649</v>
      </c>
      <c r="G114" s="130" t="n">
        <f aca="false">TblPop[[#This Row],[Military]]/TblPop[[#This Row],[Total]]</f>
        <v>0.475610720215037</v>
      </c>
      <c r="H114" s="95" t="n">
        <f aca="false">MIN(TblPop[[#This Row],[Peasants]],TblPop[[#This Row],[Jobs]])</f>
        <v>6633</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2762</v>
      </c>
      <c r="M114" s="33" t="n">
        <f aca="false">TblMili[[#This Row],[Unit 1]]</f>
        <v>13</v>
      </c>
      <c r="N114" s="33" t="n">
        <f aca="false">TblMili[[#This Row],[Unit 2]]</f>
        <v>1261</v>
      </c>
      <c r="O114" s="33" t="n">
        <f aca="false">TblMili[[#This Row],[Unit 3]]</f>
        <v>700</v>
      </c>
      <c r="P114" s="33" t="n">
        <f aca="false">TblMili[[#This Row],[Unit 4]]</f>
        <v>1228</v>
      </c>
      <c r="Q114" s="33" t="n">
        <f aca="false">TblMili[[#This Row],[Spies]]</f>
        <v>25</v>
      </c>
      <c r="R114" s="33" t="n">
        <f aca="false">TblMili[[#This Row],[Wizards]]</f>
        <v>27</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12649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4" s="69" t="n">
        <f aca="false">MAX(-5%*TblPop[[#This Row],[Peasants]]-TblPop[[#This Row],[Draft Growth]],MIN(OFFSET(TblPop[[#This Row],[Net max]],1,0)-TblPop[[#This Row],[Peasants]]-TblPop[[#This Row],[Military]]-TblPop[[#This Row],[Draft Growth]],TblPop[[#This Row],[Modded Birth]]-TblPop[[#This Row],[Draft Growth]]))</f>
        <v>-66</v>
      </c>
      <c r="X114" s="69" t="n">
        <f aca="false">ROUND(TblPop[[#This Row],[Raw Birth]]*(1+TblPop[[#This Row],[Growth]]),0)</f>
        <v>283</v>
      </c>
      <c r="Y114" s="69" t="n">
        <f aca="false">(TblPop[[#This Row],[Peasants]]-TblPop[[#This Row],[Draft Growth]])*raw_pop_growth</f>
        <v>197.01</v>
      </c>
      <c r="Z114" s="69" t="n">
        <f aca="false">IF(TblPop[[#This Row],[Military%]]&lt;TblMili[[#This Row],[Draftrate]],ROUND(TblPop[[#This Row],[Peasants]]*Constants!$B$55,0), 0)</f>
        <v>66</v>
      </c>
      <c r="AA114" s="132"/>
      <c r="AB114" s="109" t="n">
        <f aca="false">Overview!$I$16 + IF(Magic!AE114&gt;0,Constants!$F$78) + ROUND(6*(Construction!BM115+Construction!CK114)/IF(Explore!S115&gt;0,Construction!F115-20,Construction!F115),4) + tech_6_5_2*Techs!BJ114 + tech_8_4*Techs!BT114</f>
        <v>0.4365</v>
      </c>
      <c r="AC114" s="130" t="n">
        <f aca="false">(Overview!$I$15 + Imps!Z114+ tech_2_5*Techs!AB114 + tech_3_6*Techs!AM114 + tech_6_1*Techs!BJ114 + tech_6_5*Techs!BF114 + tech_7_3_2*Techs!BN114) * (1 + Production!P114/100*prestige_pop_multiplier) + Production!P114/100*prestige_pop_multiplier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6567</v>
      </c>
      <c r="D115" s="69" t="n">
        <f aca="false">TblMili[[#This Row],[Military]]</f>
        <v>6082</v>
      </c>
      <c r="E115" s="69" t="n">
        <f aca="false">TblMili[[#This Row],[Draftees]]</f>
        <v>2828</v>
      </c>
      <c r="F115" s="69" t="n">
        <f aca="false">TblPop[[#This Row],[Peasants]]+TblPop[[#This Row],[Military]]</f>
        <v>12649</v>
      </c>
      <c r="G115" s="130" t="n">
        <f aca="false">TblPop[[#This Row],[Military]]/TblPop[[#This Row],[Total]]</f>
        <v>0.480828523993992</v>
      </c>
      <c r="H115" s="95" t="n">
        <f aca="false">MIN(TblPop[[#This Row],[Peasants]],TblPop[[#This Row],[Jobs]])</f>
        <v>6567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2828</v>
      </c>
      <c r="M115" s="33" t="n">
        <f aca="false">TblMili[[#This Row],[Unit 1]]</f>
        <v>13</v>
      </c>
      <c r="N115" s="33" t="n">
        <f aca="false">TblMili[[#This Row],[Unit 2]]</f>
        <v>1261</v>
      </c>
      <c r="O115" s="33" t="n">
        <f aca="false">TblMili[[#This Row],[Unit 3]]</f>
        <v>700</v>
      </c>
      <c r="P115" s="33" t="n">
        <f aca="false">TblMili[[#This Row],[Unit 4]]</f>
        <v>1228</v>
      </c>
      <c r="Q115" s="33" t="n">
        <f aca="false">TblMili[[#This Row],[Spies]]</f>
        <v>25</v>
      </c>
      <c r="R115" s="33" t="n">
        <f aca="false">TblMili[[#This Row],[Wizards]]</f>
        <v>27</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12649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5" s="69" t="n">
        <f aca="false">MAX(-5%*TblPop[[#This Row],[Peasants]]-TblPop[[#This Row],[Draft Growth]],MIN(OFFSET(TblPop[[#This Row],[Net max]],1,0)-TblPop[[#This Row],[Peasants]]-TblPop[[#This Row],[Military]]-TblPop[[#This Row],[Draft Growth]],TblPop[[#This Row],[Modded Birth]]-TblPop[[#This Row],[Draft Growth]]))</f>
        <v>-66</v>
      </c>
      <c r="X115" s="69" t="n">
        <f aca="false">ROUND(TblPop[[#This Row],[Raw Birth]]*(1+TblPop[[#This Row],[Growth]]),0)</f>
        <v>280</v>
      </c>
      <c r="Y115" s="69" t="n">
        <f aca="false">(TblPop[[#This Row],[Peasants]]-TblPop[[#This Row],[Draft Growth]])*raw_pop_growth</f>
        <v>195.03</v>
      </c>
      <c r="Z115" s="69" t="n">
        <f aca="false">IF(TblPop[[#This Row],[Military%]]&lt;TblMili[[#This Row],[Draftrate]],ROUND(TblPop[[#This Row],[Peasants]]*Constants!$B$55,0), 0)</f>
        <v>66</v>
      </c>
      <c r="AA115" s="132"/>
      <c r="AB115" s="109" t="n">
        <f aca="false">Overview!$I$16 + IF(Magic!AE115&gt;0,Constants!$F$78) + ROUND(6*(Construction!BM116+Construction!CK115)/IF(Explore!S116&gt;0,Construction!F116-20,Construction!F116),4) + tech_6_5_2*Techs!BJ115 + tech_8_4*Techs!BT115</f>
        <v>0.4365</v>
      </c>
      <c r="AC115" s="130" t="n">
        <f aca="false">(Overview!$I$15 + Imps!Z115+ tech_2_5*Techs!AB115 + tech_3_6*Techs!AM115 + tech_6_1*Techs!BJ115 + tech_6_5*Techs!BF115 + tech_7_3_2*Techs!BN115) * (1 + Production!P115/100*prestige_pop_multiplier) + Production!P115/100*prestige_pop_multiplier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6501</v>
      </c>
      <c r="D116" s="69" t="n">
        <f aca="false">TblMili[[#This Row],[Military]]</f>
        <v>6148</v>
      </c>
      <c r="E116" s="69" t="n">
        <f aca="false">TblMili[[#This Row],[Draftees]]</f>
        <v>2894</v>
      </c>
      <c r="F116" s="69" t="n">
        <f aca="false">TblPop[[#This Row],[Peasants]]+TblPop[[#This Row],[Military]]</f>
        <v>12649</v>
      </c>
      <c r="G116" s="130" t="n">
        <f aca="false">TblPop[[#This Row],[Military]]/TblPop[[#This Row],[Total]]</f>
        <v>0.486046327772947</v>
      </c>
      <c r="H116" s="95" t="n">
        <f aca="false">MIN(TblPop[[#This Row],[Peasants]],TblPop[[#This Row],[Jobs]])</f>
        <v>6501</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2894</v>
      </c>
      <c r="M116" s="33" t="n">
        <f aca="false">TblMili[[#This Row],[Unit 1]]</f>
        <v>13</v>
      </c>
      <c r="N116" s="33" t="n">
        <f aca="false">TblMili[[#This Row],[Unit 2]]</f>
        <v>1261</v>
      </c>
      <c r="O116" s="33" t="n">
        <f aca="false">TblMili[[#This Row],[Unit 3]]</f>
        <v>700</v>
      </c>
      <c r="P116" s="33" t="n">
        <f aca="false">TblMili[[#This Row],[Unit 4]]</f>
        <v>1228</v>
      </c>
      <c r="Q116" s="33" t="n">
        <f aca="false">TblMili[[#This Row],[Spies]]</f>
        <v>25</v>
      </c>
      <c r="R116" s="33" t="n">
        <f aca="false">TblMili[[#This Row],[Wizards]]</f>
        <v>27</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12649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6" s="69" t="n">
        <f aca="false">MAX(-5%*TblPop[[#This Row],[Peasants]]-TblPop[[#This Row],[Draft Growth]],MIN(OFFSET(TblPop[[#This Row],[Net max]],1,0)-TblPop[[#This Row],[Peasants]]-TblPop[[#This Row],[Military]]-TblPop[[#This Row],[Draft Growth]],TblPop[[#This Row],[Modded Birth]]-TblPop[[#This Row],[Draft Growth]]))</f>
        <v>-65</v>
      </c>
      <c r="X116" s="69" t="n">
        <f aca="false">ROUND(TblPop[[#This Row],[Raw Birth]]*(1+TblPop[[#This Row],[Growth]]),0)</f>
        <v>277</v>
      </c>
      <c r="Y116" s="69" t="n">
        <f aca="false">(TblPop[[#This Row],[Peasants]]-TblPop[[#This Row],[Draft Growth]])*raw_pop_growth</f>
        <v>193.08</v>
      </c>
      <c r="Z116" s="69" t="n">
        <f aca="false">IF(TblPop[[#This Row],[Military%]]&lt;TblMili[[#This Row],[Draftrate]],ROUND(TblPop[[#This Row],[Peasants]]*Constants!$B$55,0), 0)</f>
        <v>65</v>
      </c>
      <c r="AA116" s="132"/>
      <c r="AB116" s="109" t="n">
        <f aca="false">Overview!$I$16 + IF(Magic!AE116&gt;0,Constants!$F$78) + ROUND(6*(Construction!BM117+Construction!CK116)/IF(Explore!S117&gt;0,Construction!F117-20,Construction!F117),4) + tech_6_5_2*Techs!BJ116 + tech_8_4*Techs!BT116</f>
        <v>0.4365</v>
      </c>
      <c r="AC116" s="130" t="n">
        <f aca="false">(Overview!$I$15 + Imps!Z116+ tech_2_5*Techs!AB116 + tech_3_6*Techs!AM116 + tech_6_1*Techs!BJ116 + tech_6_5*Techs!BF116 + tech_7_3_2*Techs!BN116) * (1 + Production!P116/100*prestige_pop_multiplier) + Production!P116/100*prestige_pop_multiplier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6436</v>
      </c>
      <c r="D117" s="69" t="n">
        <f aca="false">TblMili[[#This Row],[Military]]</f>
        <v>6213</v>
      </c>
      <c r="E117" s="69" t="n">
        <f aca="false">TblMili[[#This Row],[Draftees]]</f>
        <v>2959</v>
      </c>
      <c r="F117" s="69" t="n">
        <f aca="false">TblPop[[#This Row],[Peasants]]+TblPop[[#This Row],[Military]]</f>
        <v>12649</v>
      </c>
      <c r="G117" s="130" t="n">
        <f aca="false">TblPop[[#This Row],[Military]]/TblPop[[#This Row],[Total]]</f>
        <v>0.491185073918887</v>
      </c>
      <c r="H117" s="95" t="n">
        <f aca="false">MIN(TblPop[[#This Row],[Peasants]],TblPop[[#This Row],[Jobs]])</f>
        <v>6436</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2959</v>
      </c>
      <c r="M117" s="33" t="n">
        <f aca="false">TblMili[[#This Row],[Unit 1]]</f>
        <v>13</v>
      </c>
      <c r="N117" s="33" t="n">
        <f aca="false">TblMili[[#This Row],[Unit 2]]</f>
        <v>1261</v>
      </c>
      <c r="O117" s="33" t="n">
        <f aca="false">TblMili[[#This Row],[Unit 3]]</f>
        <v>700</v>
      </c>
      <c r="P117" s="33" t="n">
        <f aca="false">TblMili[[#This Row],[Unit 4]]</f>
        <v>1228</v>
      </c>
      <c r="Q117" s="33" t="n">
        <f aca="false">TblMili[[#This Row],[Spies]]</f>
        <v>25</v>
      </c>
      <c r="R117" s="33" t="n">
        <f aca="false">TblMili[[#This Row],[Wizards]]</f>
        <v>27</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12649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7" s="69" t="n">
        <f aca="false">MAX(-5%*TblPop[[#This Row],[Peasants]]-TblPop[[#This Row],[Draft Growth]],MIN(OFFSET(TblPop[[#This Row],[Net max]],1,0)-TblPop[[#This Row],[Peasants]]-TblPop[[#This Row],[Military]]-TblPop[[#This Row],[Draft Growth]],TblPop[[#This Row],[Modded Birth]]-TblPop[[#This Row],[Draft Growth]]))</f>
        <v>-64</v>
      </c>
      <c r="X117" s="69" t="n">
        <f aca="false">ROUND(TblPop[[#This Row],[Raw Birth]]*(1+TblPop[[#This Row],[Growth]]),0)</f>
        <v>275</v>
      </c>
      <c r="Y117" s="69" t="n">
        <f aca="false">(TblPop[[#This Row],[Peasants]]-TblPop[[#This Row],[Draft Growth]])*raw_pop_growth</f>
        <v>191.16</v>
      </c>
      <c r="Z117" s="69" t="n">
        <f aca="false">IF(TblPop[[#This Row],[Military%]]&lt;TblMili[[#This Row],[Draftrate]],ROUND(TblPop[[#This Row],[Peasants]]*Constants!$B$55,0), 0)</f>
        <v>64</v>
      </c>
      <c r="AA117" s="132"/>
      <c r="AB117" s="109" t="n">
        <f aca="false">Overview!$I$16 + IF(Magic!AE117&gt;0,Constants!$F$78) + ROUND(6*(Construction!BM118+Construction!CK117)/IF(Explore!S118&gt;0,Construction!F118-20,Construction!F118),4) + tech_6_5_2*Techs!BJ117 + tech_8_4*Techs!BT117</f>
        <v>0.4365</v>
      </c>
      <c r="AC117" s="130" t="n">
        <f aca="false">(Overview!$I$15 + Imps!Z117+ tech_2_5*Techs!AB117 + tech_3_6*Techs!AM117 + tech_6_1*Techs!BJ117 + tech_6_5*Techs!BF117 + tech_7_3_2*Techs!BN117) * (1 + Production!P117/100*prestige_pop_multiplier) + Production!P117/100*prestige_pop_multiplier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6372</v>
      </c>
      <c r="D118" s="69" t="n">
        <f aca="false">TblMili[[#This Row],[Military]]</f>
        <v>6277</v>
      </c>
      <c r="E118" s="69" t="n">
        <f aca="false">TblMili[[#This Row],[Draftees]]</f>
        <v>3023</v>
      </c>
      <c r="F118" s="69" t="n">
        <f aca="false">TblPop[[#This Row],[Peasants]]+TblPop[[#This Row],[Military]]</f>
        <v>12649</v>
      </c>
      <c r="G118" s="130" t="n">
        <f aca="false">TblPop[[#This Row],[Military]]/TblPop[[#This Row],[Total]]</f>
        <v>0.496244762431813</v>
      </c>
      <c r="H118" s="95" t="n">
        <f aca="false">MIN(TblPop[[#This Row],[Peasants]],TblPop[[#This Row],[Jobs]])</f>
        <v>6372</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3023</v>
      </c>
      <c r="M118" s="33" t="n">
        <f aca="false">TblMili[[#This Row],[Unit 1]]</f>
        <v>13</v>
      </c>
      <c r="N118" s="33" t="n">
        <f aca="false">TblMili[[#This Row],[Unit 2]]</f>
        <v>1261</v>
      </c>
      <c r="O118" s="33" t="n">
        <f aca="false">TblMili[[#This Row],[Unit 3]]</f>
        <v>700</v>
      </c>
      <c r="P118" s="33" t="n">
        <f aca="false">TblMili[[#This Row],[Unit 4]]</f>
        <v>1228</v>
      </c>
      <c r="Q118" s="33" t="n">
        <f aca="false">TblMili[[#This Row],[Spies]]</f>
        <v>25</v>
      </c>
      <c r="R118" s="33" t="n">
        <f aca="false">TblMili[[#This Row],[Wizards]]</f>
        <v>27</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12649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8" s="69" t="n">
        <f aca="false">MAX(-5%*TblPop[[#This Row],[Peasants]]-TblPop[[#This Row],[Draft Growth]],MIN(OFFSET(TblPop[[#This Row],[Net max]],1,0)-TblPop[[#This Row],[Peasants]]-TblPop[[#This Row],[Military]]-TblPop[[#This Row],[Draft Growth]],TblPop[[#This Row],[Modded Birth]]-TblPop[[#This Row],[Draft Growth]]))</f>
        <v>-64</v>
      </c>
      <c r="X118" s="69" t="n">
        <f aca="false">ROUND(TblPop[[#This Row],[Raw Birth]]*(1+TblPop[[#This Row],[Growth]]),0)</f>
        <v>272</v>
      </c>
      <c r="Y118" s="69" t="n">
        <f aca="false">(TblPop[[#This Row],[Peasants]]-TblPop[[#This Row],[Draft Growth]])*raw_pop_growth</f>
        <v>189.24</v>
      </c>
      <c r="Z118" s="69" t="n">
        <f aca="false">IF(TblPop[[#This Row],[Military%]]&lt;TblMili[[#This Row],[Draftrate]],ROUND(TblPop[[#This Row],[Peasants]]*Constants!$B$55,0), 0)</f>
        <v>64</v>
      </c>
      <c r="AA118" s="132"/>
      <c r="AB118" s="109" t="n">
        <f aca="false">Overview!$I$16 + IF(Magic!AE118&gt;0,Constants!$F$78) + ROUND(6*(Construction!BM119+Construction!CK118)/IF(Explore!S119&gt;0,Construction!F119-20,Construction!F119),4) + tech_6_5_2*Techs!BJ118 + tech_8_4*Techs!BT118</f>
        <v>0.4365</v>
      </c>
      <c r="AC118" s="130" t="n">
        <f aca="false">(Overview!$I$15 + Imps!Z118+ tech_2_5*Techs!AB118 + tech_3_6*Techs!AM118 + tech_6_1*Techs!BJ118 + tech_6_5*Techs!BF118 + tech_7_3_2*Techs!BN118) * (1 + Production!P118/100*prestige_pop_multiplier) + Production!P118/100*prestige_pop_multiplier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6308</v>
      </c>
      <c r="D119" s="69" t="n">
        <f aca="false">TblMili[[#This Row],[Military]]</f>
        <v>6341</v>
      </c>
      <c r="E119" s="69" t="n">
        <f aca="false">TblMili[[#This Row],[Draftees]]</f>
        <v>3087</v>
      </c>
      <c r="F119" s="69" t="n">
        <f aca="false">TblPop[[#This Row],[Peasants]]+TblPop[[#This Row],[Military]]</f>
        <v>12649</v>
      </c>
      <c r="G119" s="130" t="n">
        <f aca="false">TblPop[[#This Row],[Military]]/TblPop[[#This Row],[Total]]</f>
        <v>0.501304450944739</v>
      </c>
      <c r="H119" s="95" t="n">
        <f aca="false">MIN(TblPop[[#This Row],[Peasants]],TblPop[[#This Row],[Jobs]])</f>
        <v>6308</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3087</v>
      </c>
      <c r="M119" s="33" t="n">
        <f aca="false">TblMili[[#This Row],[Unit 1]]</f>
        <v>13</v>
      </c>
      <c r="N119" s="33" t="n">
        <f aca="false">TblMili[[#This Row],[Unit 2]]</f>
        <v>1261</v>
      </c>
      <c r="O119" s="33" t="n">
        <f aca="false">TblMili[[#This Row],[Unit 3]]</f>
        <v>700</v>
      </c>
      <c r="P119" s="33" t="n">
        <f aca="false">TblMili[[#This Row],[Unit 4]]</f>
        <v>1228</v>
      </c>
      <c r="Q119" s="33" t="n">
        <f aca="false">TblMili[[#This Row],[Spies]]</f>
        <v>25</v>
      </c>
      <c r="R119" s="33" t="n">
        <f aca="false">TblMili[[#This Row],[Wizards]]</f>
        <v>27</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12649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19" s="69" t="n">
        <f aca="false">MAX(-5%*TblPop[[#This Row],[Peasants]]-TblPop[[#This Row],[Draft Growth]],MIN(OFFSET(TblPop[[#This Row],[Net max]],1,0)-TblPop[[#This Row],[Peasants]]-TblPop[[#This Row],[Military]]-TblPop[[#This Row],[Draft Growth]],TblPop[[#This Row],[Modded Birth]]-TblPop[[#This Row],[Draft Growth]]))</f>
        <v>-63</v>
      </c>
      <c r="X119" s="69" t="n">
        <f aca="false">ROUND(TblPop[[#This Row],[Raw Birth]]*(1+TblPop[[#This Row],[Growth]]),0)</f>
        <v>269</v>
      </c>
      <c r="Y119" s="69" t="n">
        <f aca="false">(TblPop[[#This Row],[Peasants]]-TblPop[[#This Row],[Draft Growth]])*raw_pop_growth</f>
        <v>187.35</v>
      </c>
      <c r="Z119" s="69" t="n">
        <f aca="false">IF(TblPop[[#This Row],[Military%]]&lt;TblMili[[#This Row],[Draftrate]],ROUND(TblPop[[#This Row],[Peasants]]*Constants!$B$55,0), 0)</f>
        <v>63</v>
      </c>
      <c r="AA119" s="132"/>
      <c r="AB119" s="109" t="n">
        <f aca="false">Overview!$I$16 + IF(Magic!AE119&gt;0,Constants!$F$78) + ROUND(6*(Construction!BM120+Construction!CK119)/IF(Explore!S120&gt;0,Construction!F120-20,Construction!F120),4) + tech_6_5_2*Techs!BJ119 + tech_8_4*Techs!BT119</f>
        <v>0.4365</v>
      </c>
      <c r="AC119" s="130" t="n">
        <f aca="false">(Overview!$I$15 + Imps!Z119+ tech_2_5*Techs!AB119 + tech_3_6*Techs!AM119 + tech_6_1*Techs!BJ119 + tech_6_5*Techs!BF119 + tech_7_3_2*Techs!BN119) * (1 + Production!P119/100*prestige_pop_multiplier) + Production!P119/100*prestige_pop_multiplier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6245</v>
      </c>
      <c r="D120" s="69" t="n">
        <f aca="false">TblMili[[#This Row],[Military]]</f>
        <v>6404</v>
      </c>
      <c r="E120" s="69" t="n">
        <f aca="false">TblMili[[#This Row],[Draftees]]</f>
        <v>3150</v>
      </c>
      <c r="F120" s="69" t="n">
        <f aca="false">TblPop[[#This Row],[Peasants]]+TblPop[[#This Row],[Military]]</f>
        <v>12649</v>
      </c>
      <c r="G120" s="130" t="n">
        <f aca="false">TblPop[[#This Row],[Military]]/TblPop[[#This Row],[Total]]</f>
        <v>0.50628508182465</v>
      </c>
      <c r="H120" s="95" t="n">
        <f aca="false">MIN(TblPop[[#This Row],[Peasants]],TblPop[[#This Row],[Jobs]])</f>
        <v>6245</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3150</v>
      </c>
      <c r="M120" s="33" t="n">
        <f aca="false">TblMili[[#This Row],[Unit 1]]</f>
        <v>13</v>
      </c>
      <c r="N120" s="33" t="n">
        <f aca="false">TblMili[[#This Row],[Unit 2]]</f>
        <v>1261</v>
      </c>
      <c r="O120" s="33" t="n">
        <f aca="false">TblMili[[#This Row],[Unit 3]]</f>
        <v>700</v>
      </c>
      <c r="P120" s="33" t="n">
        <f aca="false">TblMili[[#This Row],[Unit 4]]</f>
        <v>1228</v>
      </c>
      <c r="Q120" s="33" t="n">
        <f aca="false">TblMili[[#This Row],[Spies]]</f>
        <v>25</v>
      </c>
      <c r="R120" s="33" t="n">
        <f aca="false">TblMili[[#This Row],[Wizards]]</f>
        <v>27</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12649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0" s="69" t="n">
        <f aca="false">MAX(-5%*TblPop[[#This Row],[Peasants]]-TblPop[[#This Row],[Draft Growth]],MIN(OFFSET(TblPop[[#This Row],[Net max]],1,0)-TblPop[[#This Row],[Peasants]]-TblPop[[#This Row],[Military]]-TblPop[[#This Row],[Draft Growth]],TblPop[[#This Row],[Modded Birth]]-TblPop[[#This Row],[Draft Growth]]))</f>
        <v>-62</v>
      </c>
      <c r="X120" s="69" t="n">
        <f aca="false">ROUND(TblPop[[#This Row],[Raw Birth]]*(1+TblPop[[#This Row],[Growth]]),0)</f>
        <v>266</v>
      </c>
      <c r="Y120" s="69" t="n">
        <f aca="false">(TblPop[[#This Row],[Peasants]]-TblPop[[#This Row],[Draft Growth]])*raw_pop_growth</f>
        <v>185.49</v>
      </c>
      <c r="Z120" s="69" t="n">
        <f aca="false">IF(TblPop[[#This Row],[Military%]]&lt;TblMili[[#This Row],[Draftrate]],ROUND(TblPop[[#This Row],[Peasants]]*Constants!$B$55,0), 0)</f>
        <v>62</v>
      </c>
      <c r="AA120" s="132"/>
      <c r="AB120" s="109" t="n">
        <f aca="false">Overview!$I$16 + IF(Magic!AE120&gt;0,Constants!$F$78) + ROUND(6*(Construction!BM121+Construction!CK120)/IF(Explore!S121&gt;0,Construction!F121-20,Construction!F121),4) + tech_6_5_2*Techs!BJ120 + tech_8_4*Techs!BT120</f>
        <v>0.4365</v>
      </c>
      <c r="AC120" s="130" t="n">
        <f aca="false">(Overview!$I$15 + Imps!Z120+ tech_2_5*Techs!AB120 + tech_3_6*Techs!AM120 + tech_6_1*Techs!BJ120 + tech_6_5*Techs!BF120 + tech_7_3_2*Techs!BN120) * (1 + Production!P120/100*prestige_pop_multiplier) + Production!P120/100*prestige_pop_multiplier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6183</v>
      </c>
      <c r="D121" s="69" t="n">
        <f aca="false">TblMili[[#This Row],[Military]]</f>
        <v>6466</v>
      </c>
      <c r="E121" s="69" t="n">
        <f aca="false">TblMili[[#This Row],[Draftees]]</f>
        <v>3212</v>
      </c>
      <c r="F121" s="69" t="n">
        <f aca="false">TblPop[[#This Row],[Peasants]]+TblPop[[#This Row],[Military]]</f>
        <v>12649</v>
      </c>
      <c r="G121" s="130" t="n">
        <f aca="false">TblPop[[#This Row],[Military]]/TblPop[[#This Row],[Total]]</f>
        <v>0.511186655071547</v>
      </c>
      <c r="H121" s="95" t="n">
        <f aca="false">MIN(TblPop[[#This Row],[Peasants]],TblPop[[#This Row],[Jobs]])</f>
        <v>6183</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3212</v>
      </c>
      <c r="M121" s="33" t="n">
        <f aca="false">TblMili[[#This Row],[Unit 1]]</f>
        <v>13</v>
      </c>
      <c r="N121" s="33" t="n">
        <f aca="false">TblMili[[#This Row],[Unit 2]]</f>
        <v>1261</v>
      </c>
      <c r="O121" s="33" t="n">
        <f aca="false">TblMili[[#This Row],[Unit 3]]</f>
        <v>700</v>
      </c>
      <c r="P121" s="33" t="n">
        <f aca="false">TblMili[[#This Row],[Unit 4]]</f>
        <v>1228</v>
      </c>
      <c r="Q121" s="33" t="n">
        <f aca="false">TblMili[[#This Row],[Spies]]</f>
        <v>25</v>
      </c>
      <c r="R121" s="33" t="n">
        <f aca="false">TblMili[[#This Row],[Wizards]]</f>
        <v>27</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12649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1" s="69" t="n">
        <f aca="false">MAX(-5%*TblPop[[#This Row],[Peasants]]-TblPop[[#This Row],[Draft Growth]],MIN(OFFSET(TblPop[[#This Row],[Net max]],1,0)-TblPop[[#This Row],[Peasants]]-TblPop[[#This Row],[Military]]-TblPop[[#This Row],[Draft Growth]],TblPop[[#This Row],[Modded Birth]]-TblPop[[#This Row],[Draft Growth]]))</f>
        <v>-62</v>
      </c>
      <c r="X121" s="69" t="n">
        <f aca="false">ROUND(TblPop[[#This Row],[Raw Birth]]*(1+TblPop[[#This Row],[Growth]]),0)</f>
        <v>264</v>
      </c>
      <c r="Y121" s="69" t="n">
        <f aca="false">(TblPop[[#This Row],[Peasants]]-TblPop[[#This Row],[Draft Growth]])*raw_pop_growth</f>
        <v>183.63</v>
      </c>
      <c r="Z121" s="69" t="n">
        <f aca="false">IF(TblPop[[#This Row],[Military%]]&lt;TblMili[[#This Row],[Draftrate]],ROUND(TblPop[[#This Row],[Peasants]]*Constants!$B$55,0), 0)</f>
        <v>62</v>
      </c>
      <c r="AA121" s="132"/>
      <c r="AB121" s="109" t="n">
        <f aca="false">Overview!$I$16 + IF(Magic!AE121&gt;0,Constants!$F$78) + ROUND(6*(Construction!BM122+Construction!CK121)/IF(Explore!S122&gt;0,Construction!F122-20,Construction!F122),4) + tech_6_5_2*Techs!BJ121 + tech_8_4*Techs!BT121</f>
        <v>0.4365</v>
      </c>
      <c r="AC121" s="130" t="n">
        <f aca="false">(Overview!$I$15 + Imps!Z121+ tech_2_5*Techs!AB121 + tech_3_6*Techs!AM121 + tech_6_1*Techs!BJ121 + tech_6_5*Techs!BF121 + tech_7_3_2*Techs!BN121) * (1 + Production!P121/100*prestige_pop_multiplier) + Production!P121/100*prestige_pop_multiplier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6121</v>
      </c>
      <c r="D122" s="69" t="n">
        <f aca="false">TblMili[[#This Row],[Military]]</f>
        <v>6528</v>
      </c>
      <c r="E122" s="69" t="n">
        <f aca="false">TblMili[[#This Row],[Draftees]]</f>
        <v>3274</v>
      </c>
      <c r="F122" s="69" t="n">
        <f aca="false">TblPop[[#This Row],[Peasants]]+TblPop[[#This Row],[Military]]</f>
        <v>12649</v>
      </c>
      <c r="G122" s="130" t="n">
        <f aca="false">TblPop[[#This Row],[Military]]/TblPop[[#This Row],[Total]]</f>
        <v>0.516088228318444</v>
      </c>
      <c r="H122" s="95" t="n">
        <f aca="false">MIN(TblPop[[#This Row],[Peasants]],TblPop[[#This Row],[Jobs]])</f>
        <v>6121</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3274</v>
      </c>
      <c r="M122" s="33" t="n">
        <f aca="false">TblMili[[#This Row],[Unit 1]]</f>
        <v>13</v>
      </c>
      <c r="N122" s="33" t="n">
        <f aca="false">TblMili[[#This Row],[Unit 2]]</f>
        <v>1261</v>
      </c>
      <c r="O122" s="33" t="n">
        <f aca="false">TblMili[[#This Row],[Unit 3]]</f>
        <v>700</v>
      </c>
      <c r="P122" s="33" t="n">
        <f aca="false">TblMili[[#This Row],[Unit 4]]</f>
        <v>1228</v>
      </c>
      <c r="Q122" s="33" t="n">
        <f aca="false">TblMili[[#This Row],[Spies]]</f>
        <v>25</v>
      </c>
      <c r="R122" s="33" t="n">
        <f aca="false">TblMili[[#This Row],[Wizards]]</f>
        <v>27</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12649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2" s="69" t="n">
        <f aca="false">MAX(-5%*TblPop[[#This Row],[Peasants]]-TblPop[[#This Row],[Draft Growth]],MIN(OFFSET(TblPop[[#This Row],[Net max]],1,0)-TblPop[[#This Row],[Peasants]]-TblPop[[#This Row],[Military]]-TblPop[[#This Row],[Draft Growth]],TblPop[[#This Row],[Modded Birth]]-TblPop[[#This Row],[Draft Growth]]))</f>
        <v>-61</v>
      </c>
      <c r="X122" s="69" t="n">
        <f aca="false">ROUND(TblPop[[#This Row],[Raw Birth]]*(1+TblPop[[#This Row],[Growth]]),0)</f>
        <v>261</v>
      </c>
      <c r="Y122" s="69" t="n">
        <f aca="false">(TblPop[[#This Row],[Peasants]]-TblPop[[#This Row],[Draft Growth]])*raw_pop_growth</f>
        <v>181.8</v>
      </c>
      <c r="Z122" s="69" t="n">
        <f aca="false">IF(TblPop[[#This Row],[Military%]]&lt;TblMili[[#This Row],[Draftrate]],ROUND(TblPop[[#This Row],[Peasants]]*Constants!$B$55,0), 0)</f>
        <v>61</v>
      </c>
      <c r="AA122" s="132"/>
      <c r="AB122" s="109" t="n">
        <f aca="false">Overview!$I$16 + IF(Magic!AE122&gt;0,Constants!$F$78) + ROUND(6*(Construction!BM123+Construction!CK122)/IF(Explore!S123&gt;0,Construction!F123-20,Construction!F123),4) + tech_6_5_2*Techs!BJ122 + tech_8_4*Techs!BT122</f>
        <v>0.4365</v>
      </c>
      <c r="AC122" s="130" t="n">
        <f aca="false">(Overview!$I$15 + Imps!Z122+ tech_2_5*Techs!AB122 + tech_3_6*Techs!AM122 + tech_6_1*Techs!BJ122 + tech_6_5*Techs!BF122 + tech_7_3_2*Techs!BN122) * (1 + Production!P122/100*prestige_pop_multiplier) + Production!P122/100*prestige_pop_multiplier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6060</v>
      </c>
      <c r="D123" s="69" t="n">
        <f aca="false">TblMili[[#This Row],[Military]]</f>
        <v>6589</v>
      </c>
      <c r="E123" s="69" t="n">
        <f aca="false">TblMili[[#This Row],[Draftees]]</f>
        <v>3335</v>
      </c>
      <c r="F123" s="69" t="n">
        <f aca="false">TblPop[[#This Row],[Peasants]]+TblPop[[#This Row],[Military]]</f>
        <v>12649</v>
      </c>
      <c r="G123" s="130" t="n">
        <f aca="false">TblPop[[#This Row],[Military]]/TblPop[[#This Row],[Total]]</f>
        <v>0.520910743932327</v>
      </c>
      <c r="H123" s="95" t="n">
        <f aca="false">MIN(TblPop[[#This Row],[Peasants]],TblPop[[#This Row],[Jobs]])</f>
        <v>6060</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3335</v>
      </c>
      <c r="M123" s="33" t="n">
        <f aca="false">TblMili[[#This Row],[Unit 1]]</f>
        <v>13</v>
      </c>
      <c r="N123" s="33" t="n">
        <f aca="false">TblMili[[#This Row],[Unit 2]]</f>
        <v>1261</v>
      </c>
      <c r="O123" s="33" t="n">
        <f aca="false">TblMili[[#This Row],[Unit 3]]</f>
        <v>700</v>
      </c>
      <c r="P123" s="33" t="n">
        <f aca="false">TblMili[[#This Row],[Unit 4]]</f>
        <v>1228</v>
      </c>
      <c r="Q123" s="33" t="n">
        <f aca="false">TblMili[[#This Row],[Spies]]</f>
        <v>25</v>
      </c>
      <c r="R123" s="33" t="n">
        <f aca="false">TblMili[[#This Row],[Wizards]]</f>
        <v>27</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12649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3" s="69" t="n">
        <f aca="false">MAX(-5%*TblPop[[#This Row],[Peasants]]-TblPop[[#This Row],[Draft Growth]],MIN(OFFSET(TblPop[[#This Row],[Net max]],1,0)-TblPop[[#This Row],[Peasants]]-TblPop[[#This Row],[Military]]-TblPop[[#This Row],[Draft Growth]],TblPop[[#This Row],[Modded Birth]]-TblPop[[#This Row],[Draft Growth]]))</f>
        <v>-61</v>
      </c>
      <c r="X123" s="69" t="n">
        <f aca="false">ROUND(TblPop[[#This Row],[Raw Birth]]*(1+TblPop[[#This Row],[Growth]]),0)</f>
        <v>259</v>
      </c>
      <c r="Y123" s="69" t="n">
        <f aca="false">(TblPop[[#This Row],[Peasants]]-TblPop[[#This Row],[Draft Growth]])*raw_pop_growth</f>
        <v>179.97</v>
      </c>
      <c r="Z123" s="69" t="n">
        <f aca="false">IF(TblPop[[#This Row],[Military%]]&lt;TblMili[[#This Row],[Draftrate]],ROUND(TblPop[[#This Row],[Peasants]]*Constants!$B$55,0), 0)</f>
        <v>61</v>
      </c>
      <c r="AA123" s="132"/>
      <c r="AB123" s="109" t="n">
        <f aca="false">Overview!$I$16 + IF(Magic!AE123&gt;0,Constants!$F$78) + ROUND(6*(Construction!BM124+Construction!CK123)/IF(Explore!S124&gt;0,Construction!F124-20,Construction!F124),4) + tech_6_5_2*Techs!BJ123 + tech_8_4*Techs!BT123</f>
        <v>0.4365</v>
      </c>
      <c r="AC123" s="130" t="n">
        <f aca="false">(Overview!$I$15 + Imps!Z123+ tech_2_5*Techs!AB123 + tech_3_6*Techs!AM123 + tech_6_1*Techs!BJ123 + tech_6_5*Techs!BF123 + tech_7_3_2*Techs!BN123) * (1 + Production!P123/100*prestige_pop_multiplier) + Production!P123/100*prestige_pop_multiplier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5999</v>
      </c>
      <c r="D124" s="69" t="n">
        <f aca="false">TblMili[[#This Row],[Military]]</f>
        <v>6650</v>
      </c>
      <c r="E124" s="69" t="n">
        <f aca="false">TblMili[[#This Row],[Draftees]]</f>
        <v>3396</v>
      </c>
      <c r="F124" s="69" t="n">
        <f aca="false">TblPop[[#This Row],[Peasants]]+TblPop[[#This Row],[Military]]</f>
        <v>12649</v>
      </c>
      <c r="G124" s="130" t="n">
        <f aca="false">TblPop[[#This Row],[Military]]/TblPop[[#This Row],[Total]]</f>
        <v>0.525733259546209</v>
      </c>
      <c r="H124" s="95" t="n">
        <f aca="false">MIN(TblPop[[#This Row],[Peasants]],TblPop[[#This Row],[Jobs]])</f>
        <v>5999</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3396</v>
      </c>
      <c r="M124" s="33" t="n">
        <f aca="false">TblMili[[#This Row],[Unit 1]]</f>
        <v>13</v>
      </c>
      <c r="N124" s="33" t="n">
        <f aca="false">TblMili[[#This Row],[Unit 2]]</f>
        <v>1261</v>
      </c>
      <c r="O124" s="33" t="n">
        <f aca="false">TblMili[[#This Row],[Unit 3]]</f>
        <v>700</v>
      </c>
      <c r="P124" s="33" t="n">
        <f aca="false">TblMili[[#This Row],[Unit 4]]</f>
        <v>1228</v>
      </c>
      <c r="Q124" s="33" t="n">
        <f aca="false">TblMili[[#This Row],[Spies]]</f>
        <v>25</v>
      </c>
      <c r="R124" s="33" t="n">
        <f aca="false">TblMili[[#This Row],[Wizards]]</f>
        <v>27</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12649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4" s="69" t="n">
        <f aca="false">MAX(-5%*TblPop[[#This Row],[Peasants]]-TblPop[[#This Row],[Draft Growth]],MIN(OFFSET(TblPop[[#This Row],[Net max]],1,0)-TblPop[[#This Row],[Peasants]]-TblPop[[#This Row],[Military]]-TblPop[[#This Row],[Draft Growth]],TblPop[[#This Row],[Modded Birth]]-TblPop[[#This Row],[Draft Growth]]))</f>
        <v>-60</v>
      </c>
      <c r="X124" s="69" t="n">
        <f aca="false">ROUND(TblPop[[#This Row],[Raw Birth]]*(1+TblPop[[#This Row],[Growth]]),0)</f>
        <v>256</v>
      </c>
      <c r="Y124" s="69" t="n">
        <f aca="false">(TblPop[[#This Row],[Peasants]]-TblPop[[#This Row],[Draft Growth]])*raw_pop_growth</f>
        <v>178.17</v>
      </c>
      <c r="Z124" s="69" t="n">
        <f aca="false">IF(TblPop[[#This Row],[Military%]]&lt;TblMili[[#This Row],[Draftrate]],ROUND(TblPop[[#This Row],[Peasants]]*Constants!$B$55,0), 0)</f>
        <v>60</v>
      </c>
      <c r="AA124" s="132"/>
      <c r="AB124" s="109" t="n">
        <f aca="false">Overview!$I$16 + IF(Magic!AE124&gt;0,Constants!$F$78) + ROUND(6*(Construction!BM125+Construction!CK124)/IF(Explore!S125&gt;0,Construction!F125-20,Construction!F125),4) + tech_6_5_2*Techs!BJ124 + tech_8_4*Techs!BT124</f>
        <v>0.4365</v>
      </c>
      <c r="AC124" s="130" t="n">
        <f aca="false">(Overview!$I$15 + Imps!Z124+ tech_2_5*Techs!AB124 + tech_3_6*Techs!AM124 + tech_6_1*Techs!BJ124 + tech_6_5*Techs!BF124 + tech_7_3_2*Techs!BN124) * (1 + Production!P124/100*prestige_pop_multiplier) + Production!P124/100*prestige_pop_multiplier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5939</v>
      </c>
      <c r="D125" s="69" t="n">
        <f aca="false">TblMili[[#This Row],[Military]]</f>
        <v>6710</v>
      </c>
      <c r="E125" s="69" t="n">
        <f aca="false">TblMili[[#This Row],[Draftees]]</f>
        <v>3456</v>
      </c>
      <c r="F125" s="69" t="n">
        <f aca="false">TblPop[[#This Row],[Peasants]]+TblPop[[#This Row],[Military]]</f>
        <v>12649</v>
      </c>
      <c r="G125" s="130" t="n">
        <f aca="false">TblPop[[#This Row],[Military]]/TblPop[[#This Row],[Total]]</f>
        <v>0.530476717527077</v>
      </c>
      <c r="H125" s="95" t="n">
        <f aca="false">MIN(TblPop[[#This Row],[Peasants]],TblPop[[#This Row],[Jobs]])</f>
        <v>5939</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3456</v>
      </c>
      <c r="M125" s="33" t="n">
        <f aca="false">TblMili[[#This Row],[Unit 1]]</f>
        <v>13</v>
      </c>
      <c r="N125" s="33" t="n">
        <f aca="false">TblMili[[#This Row],[Unit 2]]</f>
        <v>1261</v>
      </c>
      <c r="O125" s="33" t="n">
        <f aca="false">TblMili[[#This Row],[Unit 3]]</f>
        <v>700</v>
      </c>
      <c r="P125" s="33" t="n">
        <f aca="false">TblMili[[#This Row],[Unit 4]]</f>
        <v>1228</v>
      </c>
      <c r="Q125" s="33" t="n">
        <f aca="false">TblMili[[#This Row],[Spies]]</f>
        <v>25</v>
      </c>
      <c r="R125" s="33" t="n">
        <f aca="false">TblMili[[#This Row],[Wizards]]</f>
        <v>27</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12649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5" s="69" t="n">
        <f aca="false">MAX(-5%*TblPop[[#This Row],[Peasants]]-TblPop[[#This Row],[Draft Growth]],MIN(OFFSET(TblPop[[#This Row],[Net max]],1,0)-TblPop[[#This Row],[Peasants]]-TblPop[[#This Row],[Military]]-TblPop[[#This Row],[Draft Growth]],TblPop[[#This Row],[Modded Birth]]-TblPop[[#This Row],[Draft Growth]]))</f>
        <v>-59</v>
      </c>
      <c r="X125" s="69" t="n">
        <f aca="false">ROUND(TblPop[[#This Row],[Raw Birth]]*(1+TblPop[[#This Row],[Growth]]),0)</f>
        <v>253</v>
      </c>
      <c r="Y125" s="69" t="n">
        <f aca="false">(TblPop[[#This Row],[Peasants]]-TblPop[[#This Row],[Draft Growth]])*raw_pop_growth</f>
        <v>176.4</v>
      </c>
      <c r="Z125" s="69" t="n">
        <f aca="false">IF(TblPop[[#This Row],[Military%]]&lt;TblMili[[#This Row],[Draftrate]],ROUND(TblPop[[#This Row],[Peasants]]*Constants!$B$55,0), 0)</f>
        <v>59</v>
      </c>
      <c r="AA125" s="132"/>
      <c r="AB125" s="109" t="n">
        <f aca="false">Overview!$I$16 + IF(Magic!AE125&gt;0,Constants!$F$78) + ROUND(6*(Construction!BM126+Construction!CK125)/IF(Explore!S126&gt;0,Construction!F126-20,Construction!F126),4) + tech_6_5_2*Techs!BJ125 + tech_8_4*Techs!BT125</f>
        <v>0.4365</v>
      </c>
      <c r="AC125" s="130" t="n">
        <f aca="false">(Overview!$I$15 + Imps!Z125+ tech_2_5*Techs!AB125 + tech_3_6*Techs!AM125 + tech_6_1*Techs!BJ125 + tech_6_5*Techs!BF125 + tech_7_3_2*Techs!BN125) * (1 + Production!P125/100*prestige_pop_multiplier) + Production!P125/100*prestige_pop_multiplier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5880</v>
      </c>
      <c r="D126" s="69" t="n">
        <f aca="false">TblMili[[#This Row],[Military]]</f>
        <v>6769</v>
      </c>
      <c r="E126" s="69" t="n">
        <f aca="false">TblMili[[#This Row],[Draftees]]</f>
        <v>3515</v>
      </c>
      <c r="F126" s="69" t="n">
        <f aca="false">TblPop[[#This Row],[Peasants]]+TblPop[[#This Row],[Military]]</f>
        <v>12649</v>
      </c>
      <c r="G126" s="130" t="n">
        <f aca="false">TblPop[[#This Row],[Military]]/TblPop[[#This Row],[Total]]</f>
        <v>0.535141117874931</v>
      </c>
      <c r="H126" s="95" t="n">
        <f aca="false">MIN(TblPop[[#This Row],[Peasants]],TblPop[[#This Row],[Jobs]])</f>
        <v>5880</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3515</v>
      </c>
      <c r="M126" s="33" t="n">
        <f aca="false">TblMili[[#This Row],[Unit 1]]</f>
        <v>13</v>
      </c>
      <c r="N126" s="33" t="n">
        <f aca="false">TblMili[[#This Row],[Unit 2]]</f>
        <v>1261</v>
      </c>
      <c r="O126" s="33" t="n">
        <f aca="false">TblMili[[#This Row],[Unit 3]]</f>
        <v>700</v>
      </c>
      <c r="P126" s="33" t="n">
        <f aca="false">TblMili[[#This Row],[Unit 4]]</f>
        <v>1228</v>
      </c>
      <c r="Q126" s="33" t="n">
        <f aca="false">TblMili[[#This Row],[Spies]]</f>
        <v>25</v>
      </c>
      <c r="R126" s="33" t="n">
        <f aca="false">TblMili[[#This Row],[Wizards]]</f>
        <v>27</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12649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6" s="69" t="n">
        <f aca="false">MAX(-5%*TblPop[[#This Row],[Peasants]]-TblPop[[#This Row],[Draft Growth]],MIN(OFFSET(TblPop[[#This Row],[Net max]],1,0)-TblPop[[#This Row],[Peasants]]-TblPop[[#This Row],[Military]]-TblPop[[#This Row],[Draft Growth]],TblPop[[#This Row],[Modded Birth]]-TblPop[[#This Row],[Draft Growth]]))</f>
        <v>-59</v>
      </c>
      <c r="X126" s="69" t="n">
        <f aca="false">ROUND(TblPop[[#This Row],[Raw Birth]]*(1+TblPop[[#This Row],[Growth]]),0)</f>
        <v>251</v>
      </c>
      <c r="Y126" s="69" t="n">
        <f aca="false">(TblPop[[#This Row],[Peasants]]-TblPop[[#This Row],[Draft Growth]])*raw_pop_growth</f>
        <v>174.63</v>
      </c>
      <c r="Z126" s="69" t="n">
        <f aca="false">IF(TblPop[[#This Row],[Military%]]&lt;TblMili[[#This Row],[Draftrate]],ROUND(TblPop[[#This Row],[Peasants]]*Constants!$B$55,0), 0)</f>
        <v>59</v>
      </c>
      <c r="AA126" s="132"/>
      <c r="AB126" s="109" t="n">
        <f aca="false">Overview!$I$16 + IF(Magic!AE126&gt;0,Constants!$F$78) + ROUND(6*(Construction!BM127+Construction!CK126)/IF(Explore!S127&gt;0,Construction!F127-20,Construction!F127),4) + tech_6_5_2*Techs!BJ126 + tech_8_4*Techs!BT126</f>
        <v>0.4365</v>
      </c>
      <c r="AC126" s="130" t="n">
        <f aca="false">(Overview!$I$15 + Imps!Z126+ tech_2_5*Techs!AB126 + tech_3_6*Techs!AM126 + tech_6_1*Techs!BJ126 + tech_6_5*Techs!BF126 + tech_7_3_2*Techs!BN126) * (1 + Production!P126/100*prestige_pop_multiplier) + Production!P126/100*prestige_pop_multiplier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5821</v>
      </c>
      <c r="D127" s="69" t="n">
        <f aca="false">TblMili[[#This Row],[Military]]</f>
        <v>6828</v>
      </c>
      <c r="E127" s="69" t="n">
        <f aca="false">TblMili[[#This Row],[Draftees]]</f>
        <v>3574</v>
      </c>
      <c r="F127" s="69" t="n">
        <f aca="false">TblPop[[#This Row],[Peasants]]+TblPop[[#This Row],[Military]]</f>
        <v>12649</v>
      </c>
      <c r="G127" s="130" t="n">
        <f aca="false">TblPop[[#This Row],[Military]]/TblPop[[#This Row],[Total]]</f>
        <v>0.539805518222784</v>
      </c>
      <c r="H127" s="95" t="n">
        <f aca="false">MIN(TblPop[[#This Row],[Peasants]],TblPop[[#This Row],[Jobs]])</f>
        <v>5821</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3574</v>
      </c>
      <c r="M127" s="33" t="n">
        <f aca="false">TblMili[[#This Row],[Unit 1]]</f>
        <v>13</v>
      </c>
      <c r="N127" s="33" t="n">
        <f aca="false">TblMili[[#This Row],[Unit 2]]</f>
        <v>1261</v>
      </c>
      <c r="O127" s="33" t="n">
        <f aca="false">TblMili[[#This Row],[Unit 3]]</f>
        <v>700</v>
      </c>
      <c r="P127" s="33" t="n">
        <f aca="false">TblMili[[#This Row],[Unit 4]]</f>
        <v>1228</v>
      </c>
      <c r="Q127" s="33" t="n">
        <f aca="false">TblMili[[#This Row],[Spies]]</f>
        <v>25</v>
      </c>
      <c r="R127" s="33" t="n">
        <f aca="false">TblMili[[#This Row],[Wizards]]</f>
        <v>27</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12649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7" s="69" t="n">
        <f aca="false">MAX(-5%*TblPop[[#This Row],[Peasants]]-TblPop[[#This Row],[Draft Growth]],MIN(OFFSET(TblPop[[#This Row],[Net max]],1,0)-TblPop[[#This Row],[Peasants]]-TblPop[[#This Row],[Military]]-TblPop[[#This Row],[Draft Growth]],TblPop[[#This Row],[Modded Birth]]-TblPop[[#This Row],[Draft Growth]]))</f>
        <v>-58</v>
      </c>
      <c r="X127" s="69" t="n">
        <f aca="false">ROUND(TblPop[[#This Row],[Raw Birth]]*(1+TblPop[[#This Row],[Growth]]),0)</f>
        <v>248</v>
      </c>
      <c r="Y127" s="69" t="n">
        <f aca="false">(TblPop[[#This Row],[Peasants]]-TblPop[[#This Row],[Draft Growth]])*raw_pop_growth</f>
        <v>172.89</v>
      </c>
      <c r="Z127" s="69" t="n">
        <f aca="false">IF(TblPop[[#This Row],[Military%]]&lt;TblMili[[#This Row],[Draftrate]],ROUND(TblPop[[#This Row],[Peasants]]*Constants!$B$55,0), 0)</f>
        <v>58</v>
      </c>
      <c r="AA127" s="132"/>
      <c r="AB127" s="109" t="n">
        <f aca="false">Overview!$I$16 + IF(Magic!AE127&gt;0,Constants!$F$78) + ROUND(6*(Construction!BM128+Construction!CK127)/IF(Explore!S128&gt;0,Construction!F128-20,Construction!F128),4) + tech_6_5_2*Techs!BJ127 + tech_8_4*Techs!BT127</f>
        <v>0.4365</v>
      </c>
      <c r="AC127" s="130" t="n">
        <f aca="false">(Overview!$I$15 + Imps!Z127+ tech_2_5*Techs!AB127 + tech_3_6*Techs!AM127 + tech_6_1*Techs!BJ127 + tech_6_5*Techs!BF127 + tech_7_3_2*Techs!BN127) * (1 + Production!P127/100*prestige_pop_multiplier) + Production!P127/100*prestige_pop_multiplier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5763</v>
      </c>
      <c r="D128" s="69" t="n">
        <f aca="false">TblMili[[#This Row],[Military]]</f>
        <v>6886</v>
      </c>
      <c r="E128" s="69" t="n">
        <f aca="false">TblMili[[#This Row],[Draftees]]</f>
        <v>3632</v>
      </c>
      <c r="F128" s="69" t="n">
        <f aca="false">TblPop[[#This Row],[Peasants]]+TblPop[[#This Row],[Military]]</f>
        <v>12649</v>
      </c>
      <c r="G128" s="130" t="n">
        <f aca="false">TblPop[[#This Row],[Military]]/TblPop[[#This Row],[Total]]</f>
        <v>0.544390860937624</v>
      </c>
      <c r="H128" s="95" t="n">
        <f aca="false">MIN(TblPop[[#This Row],[Peasants]],TblPop[[#This Row],[Jobs]])</f>
        <v>5763</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3632</v>
      </c>
      <c r="M128" s="33" t="n">
        <f aca="false">TblMili[[#This Row],[Unit 1]]</f>
        <v>13</v>
      </c>
      <c r="N128" s="33" t="n">
        <f aca="false">TblMili[[#This Row],[Unit 2]]</f>
        <v>1261</v>
      </c>
      <c r="O128" s="33" t="n">
        <f aca="false">TblMili[[#This Row],[Unit 3]]</f>
        <v>700</v>
      </c>
      <c r="P128" s="33" t="n">
        <f aca="false">TblMili[[#This Row],[Unit 4]]</f>
        <v>1228</v>
      </c>
      <c r="Q128" s="33" t="n">
        <f aca="false">TblMili[[#This Row],[Spies]]</f>
        <v>25</v>
      </c>
      <c r="R128" s="33" t="n">
        <f aca="false">TblMili[[#This Row],[Wizards]]</f>
        <v>27</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12649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8" s="69" t="n">
        <f aca="false">MAX(-5%*TblPop[[#This Row],[Peasants]]-TblPop[[#This Row],[Draft Growth]],MIN(OFFSET(TblPop[[#This Row],[Net max]],1,0)-TblPop[[#This Row],[Peasants]]-TblPop[[#This Row],[Military]]-TblPop[[#This Row],[Draft Growth]],TblPop[[#This Row],[Modded Birth]]-TblPop[[#This Row],[Draft Growth]]))</f>
        <v>-58</v>
      </c>
      <c r="X128" s="69" t="n">
        <f aca="false">ROUND(TblPop[[#This Row],[Raw Birth]]*(1+TblPop[[#This Row],[Growth]]),0)</f>
        <v>246</v>
      </c>
      <c r="Y128" s="69" t="n">
        <f aca="false">(TblPop[[#This Row],[Peasants]]-TblPop[[#This Row],[Draft Growth]])*raw_pop_growth</f>
        <v>171.15</v>
      </c>
      <c r="Z128" s="69" t="n">
        <f aca="false">IF(TblPop[[#This Row],[Military%]]&lt;TblMili[[#This Row],[Draftrate]],ROUND(TblPop[[#This Row],[Peasants]]*Constants!$B$55,0), 0)</f>
        <v>58</v>
      </c>
      <c r="AA128" s="132"/>
      <c r="AB128" s="109" t="n">
        <f aca="false">Overview!$I$16 + IF(Magic!AE128&gt;0,Constants!$F$78) + ROUND(6*(Construction!BM129+Construction!CK128)/IF(Explore!S129&gt;0,Construction!F129-20,Construction!F129),4) + tech_6_5_2*Techs!BJ128 + tech_8_4*Techs!BT128</f>
        <v>0.4365</v>
      </c>
      <c r="AC128" s="130" t="n">
        <f aca="false">(Overview!$I$15 + Imps!Z128+ tech_2_5*Techs!AB128 + tech_3_6*Techs!AM128 + tech_6_1*Techs!BJ128 + tech_6_5*Techs!BF128 + tech_7_3_2*Techs!BN128) * (1 + Production!P128/100*prestige_pop_multiplier) + Production!P128/100*prestige_pop_multiplier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5705</v>
      </c>
      <c r="D129" s="69" t="n">
        <f aca="false">TblMili[[#This Row],[Military]]</f>
        <v>6944</v>
      </c>
      <c r="E129" s="69" t="n">
        <f aca="false">TblMili[[#This Row],[Draftees]]</f>
        <v>3690</v>
      </c>
      <c r="F129" s="69" t="n">
        <f aca="false">TblPop[[#This Row],[Peasants]]+TblPop[[#This Row],[Military]]</f>
        <v>12649</v>
      </c>
      <c r="G129" s="130" t="n">
        <f aca="false">TblPop[[#This Row],[Military]]/TblPop[[#This Row],[Total]]</f>
        <v>0.548976203652463</v>
      </c>
      <c r="H129" s="95" t="n">
        <f aca="false">MIN(TblPop[[#This Row],[Peasants]],TblPop[[#This Row],[Jobs]])</f>
        <v>5705</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3690</v>
      </c>
      <c r="M129" s="33" t="n">
        <f aca="false">TblMili[[#This Row],[Unit 1]]</f>
        <v>13</v>
      </c>
      <c r="N129" s="33" t="n">
        <f aca="false">TblMili[[#This Row],[Unit 2]]</f>
        <v>1261</v>
      </c>
      <c r="O129" s="33" t="n">
        <f aca="false">TblMili[[#This Row],[Unit 3]]</f>
        <v>700</v>
      </c>
      <c r="P129" s="33" t="n">
        <f aca="false">TblMili[[#This Row],[Unit 4]]</f>
        <v>1228</v>
      </c>
      <c r="Q129" s="33" t="n">
        <f aca="false">TblMili[[#This Row],[Spies]]</f>
        <v>25</v>
      </c>
      <c r="R129" s="33" t="n">
        <f aca="false">TblMili[[#This Row],[Wizards]]</f>
        <v>27</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12649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29" s="69" t="n">
        <f aca="false">MAX(-5%*TblPop[[#This Row],[Peasants]]-TblPop[[#This Row],[Draft Growth]],MIN(OFFSET(TblPop[[#This Row],[Net max]],1,0)-TblPop[[#This Row],[Peasants]]-TblPop[[#This Row],[Military]]-TblPop[[#This Row],[Draft Growth]],TblPop[[#This Row],[Modded Birth]]-TblPop[[#This Row],[Draft Growth]]))</f>
        <v>-57</v>
      </c>
      <c r="X129" s="69" t="n">
        <f aca="false">ROUND(TblPop[[#This Row],[Raw Birth]]*(1+TblPop[[#This Row],[Growth]]),0)</f>
        <v>243</v>
      </c>
      <c r="Y129" s="69" t="n">
        <f aca="false">(TblPop[[#This Row],[Peasants]]-TblPop[[#This Row],[Draft Growth]])*raw_pop_growth</f>
        <v>169.44</v>
      </c>
      <c r="Z129" s="69" t="n">
        <f aca="false">IF(TblPop[[#This Row],[Military%]]&lt;TblMili[[#This Row],[Draftrate]],ROUND(TblPop[[#This Row],[Peasants]]*Constants!$B$55,0), 0)</f>
        <v>57</v>
      </c>
      <c r="AA129" s="132"/>
      <c r="AB129" s="109" t="n">
        <f aca="false">Overview!$I$16 + IF(Magic!AE129&gt;0,Constants!$F$78) + ROUND(6*(Construction!BM130+Construction!CK129)/IF(Explore!S130&gt;0,Construction!F130-20,Construction!F130),4) + tech_6_5_2*Techs!BJ129 + tech_8_4*Techs!BT129</f>
        <v>0.4365</v>
      </c>
      <c r="AC129" s="130" t="n">
        <f aca="false">(Overview!$I$15 + Imps!Z129+ tech_2_5*Techs!AB129 + tech_3_6*Techs!AM129 + tech_6_1*Techs!BJ129 + tech_6_5*Techs!BF129 + tech_7_3_2*Techs!BN129) * (1 + Production!P129/100*prestige_pop_multiplier) + Production!P129/100*prestige_pop_multiplier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5648</v>
      </c>
      <c r="D130" s="69" t="n">
        <f aca="false">TblMili[[#This Row],[Military]]</f>
        <v>7001</v>
      </c>
      <c r="E130" s="69" t="n">
        <f aca="false">TblMili[[#This Row],[Draftees]]</f>
        <v>3747</v>
      </c>
      <c r="F130" s="69" t="n">
        <f aca="false">TblPop[[#This Row],[Peasants]]+TblPop[[#This Row],[Military]]</f>
        <v>12649</v>
      </c>
      <c r="G130" s="130" t="n">
        <f aca="false">TblPop[[#This Row],[Military]]/TblPop[[#This Row],[Total]]</f>
        <v>0.553482488734287</v>
      </c>
      <c r="H130" s="95" t="n">
        <f aca="false">MIN(TblPop[[#This Row],[Peasants]],TblPop[[#This Row],[Jobs]])</f>
        <v>5648</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3747</v>
      </c>
      <c r="M130" s="33" t="n">
        <f aca="false">TblMili[[#This Row],[Unit 1]]</f>
        <v>13</v>
      </c>
      <c r="N130" s="33" t="n">
        <f aca="false">TblMili[[#This Row],[Unit 2]]</f>
        <v>1261</v>
      </c>
      <c r="O130" s="33" t="n">
        <f aca="false">TblMili[[#This Row],[Unit 3]]</f>
        <v>700</v>
      </c>
      <c r="P130" s="33" t="n">
        <f aca="false">TblMili[[#This Row],[Unit 4]]</f>
        <v>1228</v>
      </c>
      <c r="Q130" s="33" t="n">
        <f aca="false">TblMili[[#This Row],[Spies]]</f>
        <v>25</v>
      </c>
      <c r="R130" s="33" t="n">
        <f aca="false">TblMili[[#This Row],[Wizards]]</f>
        <v>27</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12649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0" s="69" t="n">
        <f aca="false">MAX(-5%*TblPop[[#This Row],[Peasants]]-TblPop[[#This Row],[Draft Growth]],MIN(OFFSET(TblPop[[#This Row],[Net max]],1,0)-TblPop[[#This Row],[Peasants]]-TblPop[[#This Row],[Military]]-TblPop[[#This Row],[Draft Growth]],TblPop[[#This Row],[Modded Birth]]-TblPop[[#This Row],[Draft Growth]]))</f>
        <v>-56</v>
      </c>
      <c r="X130" s="69" t="n">
        <f aca="false">ROUND(TblPop[[#This Row],[Raw Birth]]*(1+TblPop[[#This Row],[Growth]]),0)</f>
        <v>241</v>
      </c>
      <c r="Y130" s="69" t="n">
        <f aca="false">(TblPop[[#This Row],[Peasants]]-TblPop[[#This Row],[Draft Growth]])*raw_pop_growth</f>
        <v>167.76</v>
      </c>
      <c r="Z130" s="69" t="n">
        <f aca="false">IF(TblPop[[#This Row],[Military%]]&lt;TblMili[[#This Row],[Draftrate]],ROUND(TblPop[[#This Row],[Peasants]]*Constants!$B$55,0), 0)</f>
        <v>56</v>
      </c>
      <c r="AA130" s="132"/>
      <c r="AB130" s="109" t="n">
        <f aca="false">Overview!$I$16 + IF(Magic!AE130&gt;0,Constants!$F$78) + ROUND(6*(Construction!BM131+Construction!CK130)/IF(Explore!S131&gt;0,Construction!F131-20,Construction!F131),4) + tech_6_5_2*Techs!BJ130 + tech_8_4*Techs!BT130</f>
        <v>0.4365</v>
      </c>
      <c r="AC130" s="130" t="n">
        <f aca="false">(Overview!$I$15 + Imps!Z130+ tech_2_5*Techs!AB130 + tech_3_6*Techs!AM130 + tech_6_1*Techs!BJ130 + tech_6_5*Techs!BF130 + tech_7_3_2*Techs!BN130) * (1 + Production!P130/100*prestige_pop_multiplier) + Production!P130/100*prestige_pop_multiplier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5592</v>
      </c>
      <c r="D131" s="69" t="n">
        <f aca="false">TblMili[[#This Row],[Military]]</f>
        <v>7057</v>
      </c>
      <c r="E131" s="69" t="n">
        <f aca="false">TblMili[[#This Row],[Draftees]]</f>
        <v>3803</v>
      </c>
      <c r="F131" s="69" t="n">
        <f aca="false">TblPop[[#This Row],[Peasants]]+TblPop[[#This Row],[Military]]</f>
        <v>12649</v>
      </c>
      <c r="G131" s="130" t="n">
        <f aca="false">TblPop[[#This Row],[Military]]/TblPop[[#This Row],[Total]]</f>
        <v>0.557909716183098</v>
      </c>
      <c r="H131" s="95" t="n">
        <f aca="false">MIN(TblPop[[#This Row],[Peasants]],TblPop[[#This Row],[Jobs]])</f>
        <v>5592</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3803</v>
      </c>
      <c r="M131" s="33" t="n">
        <f aca="false">TblMili[[#This Row],[Unit 1]]</f>
        <v>13</v>
      </c>
      <c r="N131" s="33" t="n">
        <f aca="false">TblMili[[#This Row],[Unit 2]]</f>
        <v>1261</v>
      </c>
      <c r="O131" s="33" t="n">
        <f aca="false">TblMili[[#This Row],[Unit 3]]</f>
        <v>700</v>
      </c>
      <c r="P131" s="33" t="n">
        <f aca="false">TblMili[[#This Row],[Unit 4]]</f>
        <v>1228</v>
      </c>
      <c r="Q131" s="33" t="n">
        <f aca="false">TblMili[[#This Row],[Spies]]</f>
        <v>25</v>
      </c>
      <c r="R131" s="33" t="n">
        <f aca="false">TblMili[[#This Row],[Wizards]]</f>
        <v>27</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12649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1" s="69" t="n">
        <f aca="false">MAX(-5%*TblPop[[#This Row],[Peasants]]-TblPop[[#This Row],[Draft Growth]],MIN(OFFSET(TblPop[[#This Row],[Net max]],1,0)-TblPop[[#This Row],[Peasants]]-TblPop[[#This Row],[Military]]-TblPop[[#This Row],[Draft Growth]],TblPop[[#This Row],[Modded Birth]]-TblPop[[#This Row],[Draft Growth]]))</f>
        <v>-56</v>
      </c>
      <c r="X131" s="69" t="n">
        <f aca="false">ROUND(TblPop[[#This Row],[Raw Birth]]*(1+TblPop[[#This Row],[Growth]]),0)</f>
        <v>239</v>
      </c>
      <c r="Y131" s="69" t="n">
        <f aca="false">(TblPop[[#This Row],[Peasants]]-TblPop[[#This Row],[Draft Growth]])*raw_pop_growth</f>
        <v>166.08</v>
      </c>
      <c r="Z131" s="69" t="n">
        <f aca="false">IF(TblPop[[#This Row],[Military%]]&lt;TblMili[[#This Row],[Draftrate]],ROUND(TblPop[[#This Row],[Peasants]]*Constants!$B$55,0), 0)</f>
        <v>56</v>
      </c>
      <c r="AA131" s="132"/>
      <c r="AB131" s="109" t="n">
        <f aca="false">Overview!$I$16 + IF(Magic!AE131&gt;0,Constants!$F$78) + ROUND(6*(Construction!BM132+Construction!CK131)/IF(Explore!S132&gt;0,Construction!F132-20,Construction!F132),4) + tech_6_5_2*Techs!BJ131 + tech_8_4*Techs!BT131</f>
        <v>0.4365</v>
      </c>
      <c r="AC131" s="130" t="n">
        <f aca="false">(Overview!$I$15 + Imps!Z131+ tech_2_5*Techs!AB131 + tech_3_6*Techs!AM131 + tech_6_1*Techs!BJ131 + tech_6_5*Techs!BF131 + tech_7_3_2*Techs!BN131) * (1 + Production!P131/100*prestige_pop_multiplier) + Production!P131/100*prestige_pop_multiplier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5536</v>
      </c>
      <c r="D132" s="69" t="n">
        <f aca="false">TblMili[[#This Row],[Military]]</f>
        <v>7113</v>
      </c>
      <c r="E132" s="69" t="n">
        <f aca="false">TblMili[[#This Row],[Draftees]]</f>
        <v>3859</v>
      </c>
      <c r="F132" s="69" t="n">
        <f aca="false">TblPop[[#This Row],[Peasants]]+TblPop[[#This Row],[Military]]</f>
        <v>12649</v>
      </c>
      <c r="G132" s="130" t="n">
        <f aca="false">TblPop[[#This Row],[Military]]/TblPop[[#This Row],[Total]]</f>
        <v>0.562336943631908</v>
      </c>
      <c r="H132" s="95" t="n">
        <f aca="false">MIN(TblPop[[#This Row],[Peasants]],TblPop[[#This Row],[Jobs]])</f>
        <v>5536</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3859</v>
      </c>
      <c r="M132" s="33" t="n">
        <f aca="false">TblMili[[#This Row],[Unit 1]]</f>
        <v>13</v>
      </c>
      <c r="N132" s="33" t="n">
        <f aca="false">TblMili[[#This Row],[Unit 2]]</f>
        <v>1261</v>
      </c>
      <c r="O132" s="33" t="n">
        <f aca="false">TblMili[[#This Row],[Unit 3]]</f>
        <v>700</v>
      </c>
      <c r="P132" s="33" t="n">
        <f aca="false">TblMili[[#This Row],[Unit 4]]</f>
        <v>1228</v>
      </c>
      <c r="Q132" s="33" t="n">
        <f aca="false">TblMili[[#This Row],[Spies]]</f>
        <v>25</v>
      </c>
      <c r="R132" s="33" t="n">
        <f aca="false">TblMili[[#This Row],[Wizards]]</f>
        <v>27</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12649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2" s="69" t="n">
        <f aca="false">MAX(-5%*TblPop[[#This Row],[Peasants]]-TblPop[[#This Row],[Draft Growth]],MIN(OFFSET(TblPop[[#This Row],[Net max]],1,0)-TblPop[[#This Row],[Peasants]]-TblPop[[#This Row],[Military]]-TblPop[[#This Row],[Draft Growth]],TblPop[[#This Row],[Modded Birth]]-TblPop[[#This Row],[Draft Growth]]))</f>
        <v>-55</v>
      </c>
      <c r="X132" s="69" t="n">
        <f aca="false">ROUND(TblPop[[#This Row],[Raw Birth]]*(1+TblPop[[#This Row],[Growth]]),0)</f>
        <v>236</v>
      </c>
      <c r="Y132" s="69" t="n">
        <f aca="false">(TblPop[[#This Row],[Peasants]]-TblPop[[#This Row],[Draft Growth]])*raw_pop_growth</f>
        <v>164.43</v>
      </c>
      <c r="Z132" s="69" t="n">
        <f aca="false">IF(TblPop[[#This Row],[Military%]]&lt;TblMili[[#This Row],[Draftrate]],ROUND(TblPop[[#This Row],[Peasants]]*Constants!$B$55,0), 0)</f>
        <v>55</v>
      </c>
      <c r="AA132" s="132"/>
      <c r="AB132" s="109" t="n">
        <f aca="false">Overview!$I$16 + IF(Magic!AE132&gt;0,Constants!$F$78) + ROUND(6*(Construction!BM133+Construction!CK132)/IF(Explore!S133&gt;0,Construction!F133-20,Construction!F133),4) + tech_6_5_2*Techs!BJ132 + tech_8_4*Techs!BT132</f>
        <v>0.4365</v>
      </c>
      <c r="AC132" s="130" t="n">
        <f aca="false">(Overview!$I$15 + Imps!Z132+ tech_2_5*Techs!AB132 + tech_3_6*Techs!AM132 + tech_6_1*Techs!BJ132 + tech_6_5*Techs!BF132 + tech_7_3_2*Techs!BN132) * (1 + Production!P132/100*prestige_pop_multiplier) + Production!P132/100*prestige_pop_multiplier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5481</v>
      </c>
      <c r="D133" s="69" t="n">
        <f aca="false">TblMili[[#This Row],[Military]]</f>
        <v>7168</v>
      </c>
      <c r="E133" s="69" t="n">
        <f aca="false">TblMili[[#This Row],[Draftees]]</f>
        <v>3914</v>
      </c>
      <c r="F133" s="69" t="n">
        <f aca="false">TblPop[[#This Row],[Peasants]]+TblPop[[#This Row],[Military]]</f>
        <v>12649</v>
      </c>
      <c r="G133" s="130" t="n">
        <f aca="false">TblPop[[#This Row],[Military]]/TblPop[[#This Row],[Total]]</f>
        <v>0.566685113447703</v>
      </c>
      <c r="H133" s="95" t="n">
        <f aca="false">MIN(TblPop[[#This Row],[Peasants]],TblPop[[#This Row],[Jobs]])</f>
        <v>5481</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3914</v>
      </c>
      <c r="M133" s="33" t="n">
        <f aca="false">TblMili[[#This Row],[Unit 1]]</f>
        <v>13</v>
      </c>
      <c r="N133" s="33" t="n">
        <f aca="false">TblMili[[#This Row],[Unit 2]]</f>
        <v>1261</v>
      </c>
      <c r="O133" s="33" t="n">
        <f aca="false">TblMili[[#This Row],[Unit 3]]</f>
        <v>700</v>
      </c>
      <c r="P133" s="33" t="n">
        <f aca="false">TblMili[[#This Row],[Unit 4]]</f>
        <v>1228</v>
      </c>
      <c r="Q133" s="33" t="n">
        <f aca="false">TblMili[[#This Row],[Spies]]</f>
        <v>25</v>
      </c>
      <c r="R133" s="33" t="n">
        <f aca="false">TblMili[[#This Row],[Wizards]]</f>
        <v>27</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12649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3" s="69" t="n">
        <f aca="false">MAX(-5%*TblPop[[#This Row],[Peasants]]-TblPop[[#This Row],[Draft Growth]],MIN(OFFSET(TblPop[[#This Row],[Net max]],1,0)-TblPop[[#This Row],[Peasants]]-TblPop[[#This Row],[Military]]-TblPop[[#This Row],[Draft Growth]],TblPop[[#This Row],[Modded Birth]]-TblPop[[#This Row],[Draft Growth]]))</f>
        <v>-55</v>
      </c>
      <c r="X133" s="69" t="n">
        <f aca="false">ROUND(TblPop[[#This Row],[Raw Birth]]*(1+TblPop[[#This Row],[Growth]]),0)</f>
        <v>234</v>
      </c>
      <c r="Y133" s="69" t="n">
        <f aca="false">(TblPop[[#This Row],[Peasants]]-TblPop[[#This Row],[Draft Growth]])*raw_pop_growth</f>
        <v>162.78</v>
      </c>
      <c r="Z133" s="69" t="n">
        <f aca="false">IF(TblPop[[#This Row],[Military%]]&lt;TblMili[[#This Row],[Draftrate]],ROUND(TblPop[[#This Row],[Peasants]]*Constants!$B$55,0), 0)</f>
        <v>55</v>
      </c>
      <c r="AA133" s="132"/>
      <c r="AB133" s="109" t="n">
        <f aca="false">Overview!$I$16 + IF(Magic!AE133&gt;0,Constants!$F$78) + ROUND(6*(Construction!BM134+Construction!CK133)/IF(Explore!S134&gt;0,Construction!F134-20,Construction!F134),4) + tech_6_5_2*Techs!BJ133 + tech_8_4*Techs!BT133</f>
        <v>0.4365</v>
      </c>
      <c r="AC133" s="130" t="n">
        <f aca="false">(Overview!$I$15 + Imps!Z133+ tech_2_5*Techs!AB133 + tech_3_6*Techs!AM133 + tech_6_1*Techs!BJ133 + tech_6_5*Techs!BF133 + tech_7_3_2*Techs!BN133) * (1 + Production!P133/100*prestige_pop_multiplier) + Production!P133/100*prestige_pop_multiplier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5426</v>
      </c>
      <c r="D134" s="69" t="n">
        <f aca="false">TblMili[[#This Row],[Military]]</f>
        <v>7223</v>
      </c>
      <c r="E134" s="69" t="n">
        <f aca="false">TblMili[[#This Row],[Draftees]]</f>
        <v>3969</v>
      </c>
      <c r="F134" s="69" t="n">
        <f aca="false">TblPop[[#This Row],[Peasants]]+TblPop[[#This Row],[Military]]</f>
        <v>12649</v>
      </c>
      <c r="G134" s="130" t="n">
        <f aca="false">TblPop[[#This Row],[Military]]/TblPop[[#This Row],[Total]]</f>
        <v>0.571033283263499</v>
      </c>
      <c r="H134" s="95" t="n">
        <f aca="false">MIN(TblPop[[#This Row],[Peasants]],TblPop[[#This Row],[Jobs]])</f>
        <v>5426</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3969</v>
      </c>
      <c r="M134" s="33" t="n">
        <f aca="false">TblMili[[#This Row],[Unit 1]]</f>
        <v>13</v>
      </c>
      <c r="N134" s="33" t="n">
        <f aca="false">TblMili[[#This Row],[Unit 2]]</f>
        <v>1261</v>
      </c>
      <c r="O134" s="33" t="n">
        <f aca="false">TblMili[[#This Row],[Unit 3]]</f>
        <v>700</v>
      </c>
      <c r="P134" s="33" t="n">
        <f aca="false">TblMili[[#This Row],[Unit 4]]</f>
        <v>1228</v>
      </c>
      <c r="Q134" s="33" t="n">
        <f aca="false">TblMili[[#This Row],[Spies]]</f>
        <v>25</v>
      </c>
      <c r="R134" s="33" t="n">
        <f aca="false">TblMili[[#This Row],[Wizards]]</f>
        <v>27</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12649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4" s="69" t="n">
        <f aca="false">MAX(-5%*TblPop[[#This Row],[Peasants]]-TblPop[[#This Row],[Draft Growth]],MIN(OFFSET(TblPop[[#This Row],[Net max]],1,0)-TblPop[[#This Row],[Peasants]]-TblPop[[#This Row],[Military]]-TblPop[[#This Row],[Draft Growth]],TblPop[[#This Row],[Modded Birth]]-TblPop[[#This Row],[Draft Growth]]))</f>
        <v>-54</v>
      </c>
      <c r="X134" s="69" t="n">
        <f aca="false">ROUND(TblPop[[#This Row],[Raw Birth]]*(1+TblPop[[#This Row],[Growth]]),0)</f>
        <v>232</v>
      </c>
      <c r="Y134" s="69" t="n">
        <f aca="false">(TblPop[[#This Row],[Peasants]]-TblPop[[#This Row],[Draft Growth]])*raw_pop_growth</f>
        <v>161.16</v>
      </c>
      <c r="Z134" s="69" t="n">
        <f aca="false">IF(TblPop[[#This Row],[Military%]]&lt;TblMili[[#This Row],[Draftrate]],ROUND(TblPop[[#This Row],[Peasants]]*Constants!$B$55,0), 0)</f>
        <v>54</v>
      </c>
      <c r="AA134" s="132"/>
      <c r="AB134" s="109" t="n">
        <f aca="false">Overview!$I$16 + IF(Magic!AE134&gt;0,Constants!$F$78) + ROUND(6*(Construction!BM135+Construction!CK134)/IF(Explore!S135&gt;0,Construction!F135-20,Construction!F135),4) + tech_6_5_2*Techs!BJ134 + tech_8_4*Techs!BT134</f>
        <v>0.4365</v>
      </c>
      <c r="AC134" s="130" t="n">
        <f aca="false">(Overview!$I$15 + Imps!Z134+ tech_2_5*Techs!AB134 + tech_3_6*Techs!AM134 + tech_6_1*Techs!BJ134 + tech_6_5*Techs!BF134 + tech_7_3_2*Techs!BN134) * (1 + Production!P134/100*prestige_pop_multiplier) + Production!P134/100*prestige_pop_multiplier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5372</v>
      </c>
      <c r="D135" s="69" t="n">
        <f aca="false">TblMili[[#This Row],[Military]]</f>
        <v>7277</v>
      </c>
      <c r="E135" s="69" t="n">
        <f aca="false">TblMili[[#This Row],[Draftees]]</f>
        <v>4023</v>
      </c>
      <c r="F135" s="69" t="n">
        <f aca="false">TblPop[[#This Row],[Peasants]]+TblPop[[#This Row],[Military]]</f>
        <v>12649</v>
      </c>
      <c r="G135" s="130" t="n">
        <f aca="false">TblPop[[#This Row],[Military]]/TblPop[[#This Row],[Total]]</f>
        <v>0.57530239544628</v>
      </c>
      <c r="H135" s="95" t="n">
        <f aca="false">MIN(TblPop[[#This Row],[Peasants]],TblPop[[#This Row],[Jobs]])</f>
        <v>5372</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4023</v>
      </c>
      <c r="M135" s="33" t="n">
        <f aca="false">TblMili[[#This Row],[Unit 1]]</f>
        <v>13</v>
      </c>
      <c r="N135" s="33" t="n">
        <f aca="false">TblMili[[#This Row],[Unit 2]]</f>
        <v>1261</v>
      </c>
      <c r="O135" s="33" t="n">
        <f aca="false">TblMili[[#This Row],[Unit 3]]</f>
        <v>700</v>
      </c>
      <c r="P135" s="33" t="n">
        <f aca="false">TblMili[[#This Row],[Unit 4]]</f>
        <v>1228</v>
      </c>
      <c r="Q135" s="33" t="n">
        <f aca="false">TblMili[[#This Row],[Spies]]</f>
        <v>25</v>
      </c>
      <c r="R135" s="33" t="n">
        <f aca="false">TblMili[[#This Row],[Wizards]]</f>
        <v>27</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12649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5" s="69" t="n">
        <f aca="false">MAX(-5%*TblPop[[#This Row],[Peasants]]-TblPop[[#This Row],[Draft Growth]],MIN(OFFSET(TblPop[[#This Row],[Net max]],1,0)-TblPop[[#This Row],[Peasants]]-TblPop[[#This Row],[Military]]-TblPop[[#This Row],[Draft Growth]],TblPop[[#This Row],[Modded Birth]]-TblPop[[#This Row],[Draft Growth]]))</f>
        <v>-54</v>
      </c>
      <c r="X135" s="69" t="n">
        <f aca="false">ROUND(TblPop[[#This Row],[Raw Birth]]*(1+TblPop[[#This Row],[Growth]]),0)</f>
        <v>229</v>
      </c>
      <c r="Y135" s="69" t="n">
        <f aca="false">(TblPop[[#This Row],[Peasants]]-TblPop[[#This Row],[Draft Growth]])*raw_pop_growth</f>
        <v>159.54</v>
      </c>
      <c r="Z135" s="69" t="n">
        <f aca="false">IF(TblPop[[#This Row],[Military%]]&lt;TblMili[[#This Row],[Draftrate]],ROUND(TblPop[[#This Row],[Peasants]]*Constants!$B$55,0), 0)</f>
        <v>54</v>
      </c>
      <c r="AA135" s="132"/>
      <c r="AB135" s="109" t="n">
        <f aca="false">Overview!$I$16 + IF(Magic!AE135&gt;0,Constants!$F$78) + ROUND(6*(Construction!BM136+Construction!CK135)/IF(Explore!S136&gt;0,Construction!F136-20,Construction!F136),4) + tech_6_5_2*Techs!BJ135 + tech_8_4*Techs!BT135</f>
        <v>0.4365</v>
      </c>
      <c r="AC135" s="130" t="n">
        <f aca="false">(Overview!$I$15 + Imps!Z135+ tech_2_5*Techs!AB135 + tech_3_6*Techs!AM135 + tech_6_1*Techs!BJ135 + tech_6_5*Techs!BF135 + tech_7_3_2*Techs!BN135) * (1 + Production!P135/100*prestige_pop_multiplier) + Production!P135/100*prestige_pop_multiplier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5318</v>
      </c>
      <c r="D136" s="69" t="n">
        <f aca="false">TblMili[[#This Row],[Military]]</f>
        <v>7331</v>
      </c>
      <c r="E136" s="69" t="n">
        <f aca="false">TblMili[[#This Row],[Draftees]]</f>
        <v>4077</v>
      </c>
      <c r="F136" s="69" t="n">
        <f aca="false">TblPop[[#This Row],[Peasants]]+TblPop[[#This Row],[Military]]</f>
        <v>12649</v>
      </c>
      <c r="G136" s="130" t="n">
        <f aca="false">TblPop[[#This Row],[Military]]/TblPop[[#This Row],[Total]]</f>
        <v>0.579571507629062</v>
      </c>
      <c r="H136" s="95" t="n">
        <f aca="false">MIN(TblPop[[#This Row],[Peasants]],TblPop[[#This Row],[Jobs]])</f>
        <v>5318</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4077</v>
      </c>
      <c r="M136" s="33" t="n">
        <f aca="false">TblMili[[#This Row],[Unit 1]]</f>
        <v>13</v>
      </c>
      <c r="N136" s="33" t="n">
        <f aca="false">TblMili[[#This Row],[Unit 2]]</f>
        <v>1261</v>
      </c>
      <c r="O136" s="33" t="n">
        <f aca="false">TblMili[[#This Row],[Unit 3]]</f>
        <v>700</v>
      </c>
      <c r="P136" s="33" t="n">
        <f aca="false">TblMili[[#This Row],[Unit 4]]</f>
        <v>1228</v>
      </c>
      <c r="Q136" s="33" t="n">
        <f aca="false">TblMili[[#This Row],[Spies]]</f>
        <v>25</v>
      </c>
      <c r="R136" s="33" t="n">
        <f aca="false">TblMili[[#This Row],[Wizards]]</f>
        <v>27</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12649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10080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157.95</v>
      </c>
      <c r="Z136" s="69" t="n">
        <f aca="false">IF(TblPop[[#This Row],[Military%]]&lt;TblMili[[#This Row],[Draftrate]],ROUND(TblPop[[#This Row],[Peasants]]*Constants!$B$55,0), 0)</f>
        <v>53</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Production!P136/100*prestige_pop_multiplier) + Production!P136/100*prestige_pop_multiplier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N1270"/>
  <sheetViews>
    <sheetView showFormulas="false" showGridLines="true" showRowColHeaders="true" showZeros="true" rightToLeft="false" tabSelected="false" showOutlineSymbols="true" defaultGridColor="true" view="normal" topLeftCell="AU1" colorId="64" zoomScale="85" zoomScaleNormal="85" zoomScalePageLayoutView="100" workbookViewId="0">
      <pane xSplit="0" ySplit="3" topLeftCell="A4" activePane="bottomLeft" state="frozen"/>
      <selection pane="topLeft" activeCell="AU1" activeCellId="0" sqref="AU1"/>
      <selection pane="bottomLeft" activeCell="BG15" activeCellId="0" sqref="BG15"/>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8" min="5" style="1" width="13"/>
    <col collapsed="false" customWidth="true" hidden="false" outlineLevel="0" max="19" min="19" style="1" width="3.71"/>
    <col collapsed="false" customWidth="false" hidden="false" outlineLevel="0" max="20" min="20" style="1" width="9.14"/>
    <col collapsed="false" customWidth="true" hidden="false" outlineLevel="0" max="21" min="21" style="1" width="10.29"/>
    <col collapsed="false" customWidth="true" hidden="false" outlineLevel="0" max="22" min="22" style="1" width="13.15"/>
    <col collapsed="false" customWidth="true" hidden="false" outlineLevel="0" max="23" min="23" style="1" width="10.57"/>
    <col collapsed="false" customWidth="false" hidden="false" outlineLevel="0" max="24" min="24" style="1" width="9.14"/>
    <col collapsed="false" customWidth="true" hidden="false" outlineLevel="0" max="25" min="25" style="1" width="11.29"/>
    <col collapsed="false" customWidth="true" hidden="false" outlineLevel="0" max="26" min="26" style="1" width="10.85"/>
    <col collapsed="false" customWidth="true" hidden="false" outlineLevel="0" max="27" min="27" style="1" width="3.42"/>
    <col collapsed="false" customWidth="true" hidden="false" outlineLevel="0" max="28" min="28" style="1" width="10.14"/>
    <col collapsed="false" customWidth="true" hidden="false" outlineLevel="0" max="29" min="29" style="1" width="11.29"/>
    <col collapsed="false" customWidth="true" hidden="false" outlineLevel="0" max="30" min="30" style="1" width="14.14"/>
    <col collapsed="false" customWidth="true" hidden="false" outlineLevel="0" max="31" min="31" style="1" width="11.57"/>
    <col collapsed="false" customWidth="true" hidden="false" outlineLevel="0" max="32" min="32" style="1" width="10.14"/>
    <col collapsed="false" customWidth="true" hidden="false" outlineLevel="0" max="33" min="33" style="1" width="12.29"/>
    <col collapsed="false" customWidth="true" hidden="false" outlineLevel="0" max="34" min="34" style="1" width="3.29"/>
    <col collapsed="false" customWidth="true" hidden="false" outlineLevel="0" max="35" min="35" style="1" width="11.14"/>
    <col collapsed="false" customWidth="true" hidden="false" outlineLevel="0" max="36" min="36" style="1" width="12.29"/>
    <col collapsed="false" customWidth="true" hidden="false" outlineLevel="0" max="37" min="37" style="1" width="15.14"/>
    <col collapsed="false" customWidth="true" hidden="false" outlineLevel="0" max="38" min="38" style="1" width="12.57"/>
    <col collapsed="false" customWidth="true" hidden="false" outlineLevel="0" max="39" min="39" style="1" width="11.14"/>
    <col collapsed="false" customWidth="true" hidden="false" outlineLevel="0" max="40" min="40" style="1" width="13.29"/>
    <col collapsed="false" customWidth="true" hidden="false" outlineLevel="0" max="41" min="41" style="1" width="3.57"/>
    <col collapsed="false" customWidth="true" hidden="false" outlineLevel="0" max="42" min="42" style="1" width="13.57"/>
    <col collapsed="false" customWidth="true" hidden="false" outlineLevel="0" max="43" min="43" style="1" width="13.42"/>
    <col collapsed="false" customWidth="true" hidden="false" outlineLevel="0" max="44" min="44" style="1" width="13.71"/>
    <col collapsed="false" customWidth="true" hidden="false" outlineLevel="0" max="45" min="45" style="1" width="13.29"/>
    <col collapsed="false" customWidth="true" hidden="false" outlineLevel="0" max="46" min="46" style="1" width="3.86"/>
    <col collapsed="false" customWidth="true" hidden="false" outlineLevel="0" max="51" min="47" style="1" width="12.71"/>
    <col collapsed="false" customWidth="true" hidden="false" outlineLevel="0" max="52" min="52" style="1" width="4.14"/>
    <col collapsed="false" customWidth="true" hidden="false" outlineLevel="0" max="53" min="53" style="1" width="9.42"/>
    <col collapsed="false" customWidth="true" hidden="false" outlineLevel="0" max="54" min="54" style="1" width="8.71"/>
    <col collapsed="false" customWidth="true" hidden="false" outlineLevel="0" max="55" min="55" style="1" width="9.57"/>
    <col collapsed="false" customWidth="true" hidden="false" outlineLevel="0" max="59" min="56" style="1" width="12.71"/>
    <col collapsed="false" customWidth="true" hidden="false" outlineLevel="0" max="60" min="60" style="1" width="9.86"/>
    <col collapsed="false" customWidth="true" hidden="false" outlineLevel="0" max="61" min="61" style="1" width="6.85"/>
    <col collapsed="false" customWidth="true" hidden="false" outlineLevel="0" max="66" min="62" style="1" width="14.42"/>
    <col collapsed="false" customWidth="false" hidden="false" outlineLevel="0" max="16384" min="67" style="1" width="9.14"/>
  </cols>
  <sheetData>
    <row r="1" s="31" customFormat="true" ht="12.75" hidden="false" customHeight="false" outlineLevel="0" collapsed="false">
      <c r="A1" s="124"/>
      <c r="C1" s="31" t="s">
        <v>163</v>
      </c>
      <c r="E1" s="31" t="s">
        <v>164</v>
      </c>
      <c r="T1" s="142" t="s">
        <v>165</v>
      </c>
      <c r="U1" s="142"/>
      <c r="V1" s="142"/>
      <c r="AB1" s="142" t="s">
        <v>166</v>
      </c>
      <c r="AC1" s="142"/>
      <c r="AI1" s="142" t="s">
        <v>167</v>
      </c>
      <c r="AJ1" s="142"/>
      <c r="AK1" s="142"/>
      <c r="AL1" s="142"/>
      <c r="AM1" s="142"/>
      <c r="AN1" s="142"/>
      <c r="AP1" s="31" t="s">
        <v>168</v>
      </c>
      <c r="AU1" s="142" t="s">
        <v>169</v>
      </c>
      <c r="AV1" s="142"/>
      <c r="BD1" s="31" t="s">
        <v>170</v>
      </c>
      <c r="BJ1" s="31" t="s">
        <v>164</v>
      </c>
    </row>
    <row r="2" s="31" customFormat="true" ht="12.75" hidden="false" customHeight="false" outlineLevel="0" collapsed="false">
      <c r="A2" s="124"/>
    </row>
    <row r="3" s="143" customFormat="true" ht="35.3" hidden="false" customHeight="false" outlineLevel="0" collapsed="false">
      <c r="A3" s="127" t="s">
        <v>82</v>
      </c>
      <c r="B3" s="127" t="s">
        <v>144</v>
      </c>
      <c r="C3" s="127" t="s">
        <v>171</v>
      </c>
      <c r="D3" s="127" t="s">
        <v>11</v>
      </c>
      <c r="E3" s="127" t="s">
        <v>73</v>
      </c>
      <c r="F3" s="127" t="s">
        <v>81</v>
      </c>
      <c r="G3" s="127"/>
      <c r="H3" s="127" t="s">
        <v>36</v>
      </c>
      <c r="I3" s="127" t="s">
        <v>34</v>
      </c>
      <c r="J3" s="127" t="s">
        <v>91</v>
      </c>
      <c r="K3" s="127" t="s">
        <v>93</v>
      </c>
      <c r="L3" s="127" t="s">
        <v>95</v>
      </c>
      <c r="M3" s="127" t="s">
        <v>35</v>
      </c>
      <c r="N3" s="127" t="s">
        <v>97</v>
      </c>
      <c r="O3" s="127" t="s">
        <v>99</v>
      </c>
      <c r="P3" s="127" t="s">
        <v>172</v>
      </c>
      <c r="Q3" s="127" t="s">
        <v>173</v>
      </c>
      <c r="R3" s="127" t="s">
        <v>174</v>
      </c>
      <c r="S3" s="127" t="s">
        <v>154</v>
      </c>
      <c r="T3" s="127" t="s">
        <v>87</v>
      </c>
      <c r="U3" s="127" t="s">
        <v>175</v>
      </c>
      <c r="V3" s="127" t="s">
        <v>176</v>
      </c>
      <c r="W3" s="127" t="s">
        <v>177</v>
      </c>
      <c r="X3" s="127" t="s">
        <v>178</v>
      </c>
      <c r="Y3" s="127" t="s">
        <v>179</v>
      </c>
      <c r="Z3" s="127" t="s">
        <v>180</v>
      </c>
      <c r="AA3" s="127" t="s">
        <v>181</v>
      </c>
      <c r="AB3" s="127" t="s">
        <v>182</v>
      </c>
      <c r="AC3" s="127" t="s">
        <v>183</v>
      </c>
      <c r="AD3" s="127" t="s">
        <v>184</v>
      </c>
      <c r="AE3" s="127" t="s">
        <v>185</v>
      </c>
      <c r="AF3" s="127" t="s">
        <v>186</v>
      </c>
      <c r="AG3" s="127" t="s">
        <v>187</v>
      </c>
      <c r="AH3" s="127" t="s">
        <v>161</v>
      </c>
      <c r="AI3" s="127" t="s">
        <v>188</v>
      </c>
      <c r="AJ3" s="127" t="s">
        <v>189</v>
      </c>
      <c r="AK3" s="127" t="s">
        <v>190</v>
      </c>
      <c r="AL3" s="127" t="s">
        <v>191</v>
      </c>
      <c r="AM3" s="127" t="s">
        <v>192</v>
      </c>
      <c r="AN3" s="127" t="s">
        <v>193</v>
      </c>
      <c r="AO3" s="127" t="s">
        <v>194</v>
      </c>
      <c r="AP3" s="127" t="s">
        <v>195</v>
      </c>
      <c r="AQ3" s="127" t="s">
        <v>196</v>
      </c>
      <c r="AR3" s="127" t="s">
        <v>197</v>
      </c>
      <c r="AS3" s="127" t="s">
        <v>198</v>
      </c>
      <c r="AT3" s="127" t="s">
        <v>199</v>
      </c>
      <c r="AU3" s="127" t="s">
        <v>200</v>
      </c>
      <c r="AV3" s="127" t="s">
        <v>201</v>
      </c>
      <c r="AW3" s="127" t="s">
        <v>202</v>
      </c>
      <c r="AX3" s="127" t="s">
        <v>203</v>
      </c>
      <c r="AY3" s="127" t="s">
        <v>204</v>
      </c>
      <c r="AZ3" s="127" t="s">
        <v>205</v>
      </c>
      <c r="BA3" s="127" t="s">
        <v>206</v>
      </c>
      <c r="BB3" s="127" t="s">
        <v>207</v>
      </c>
      <c r="BC3" s="127" t="s">
        <v>208</v>
      </c>
      <c r="BD3" s="127" t="s">
        <v>209</v>
      </c>
      <c r="BE3" s="127" t="s">
        <v>210</v>
      </c>
      <c r="BF3" s="127" t="s">
        <v>211</v>
      </c>
      <c r="BG3" s="127" t="s">
        <v>212</v>
      </c>
      <c r="BH3" s="127" t="s">
        <v>213</v>
      </c>
      <c r="BI3" s="127" t="s">
        <v>214</v>
      </c>
      <c r="BJ3" s="127" t="s">
        <v>215</v>
      </c>
      <c r="BK3" s="127" t="s">
        <v>216</v>
      </c>
      <c r="BL3" s="127" t="s">
        <v>217</v>
      </c>
      <c r="BM3" s="127" t="s">
        <v>218</v>
      </c>
      <c r="BN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c r="H4" s="69" t="e">
        <f aca="false">TblMili[[#This Row],[Networth (2)]]</f>
        <v>#VALUE!</v>
      </c>
      <c r="I4" s="103" t="n">
        <f aca="false">start_plat - TblProd[[#This Row],[Expenses Platinum]] + IF(TblProd[[#This Row],[Plat Bonus]],TblPop[[#This Row],[Peasants]]*4)+days_late*days_late_plat + SUM(TblConstr[[#This Row],[Dest Hom]:[Dest Doc]])*Construction!AM4*tech_3_3_2*TblTech[[#This Row],[3-3]]</f>
        <v>9830</v>
      </c>
      <c r="J4" s="103" t="n">
        <f aca="false">start_food+days_late*days_late_food</f>
        <v>15000</v>
      </c>
      <c r="K4" s="103" t="n">
        <f aca="false">start_lumber - TblProd[[#This Row],[Expenses Lumber]]+days_late*days_late_lumber + SUM(TblConstr[[#This Row],[Dest Hom]:[Dest Doc]])*TblConstr[[#This Row],[CPA Lumber -DB]]*tech_3_3_2*TblTech[[#This Row],[3-3]]</f>
        <v>0</v>
      </c>
      <c r="L4" s="103" t="n">
        <f aca="false">start_mana - TblProd[[#This Row],[Expenses Mana]]+days_late*days_late_mana</f>
        <v>0</v>
      </c>
      <c r="M4" s="103" t="n">
        <f aca="false">start_ore - TblProd[[#This Row],[Expenses Ore]]+days_late*days_late_ore</f>
        <v>0</v>
      </c>
      <c r="N4" s="103" t="n">
        <f aca="false">start_gems - TblProd[[#This Row],[Expenses Gems]]</f>
        <v>0</v>
      </c>
      <c r="O4" s="103" t="n">
        <f aca="false">start_boats</f>
        <v>0</v>
      </c>
      <c r="P4" s="103" t="n">
        <f aca="false">start_prestige</f>
        <v>250</v>
      </c>
      <c r="Q4" s="147" t="n">
        <f aca="false">ROUNDDOWN(-TblProd[[#This Row],[Required]]*TblTech[[#This Row],[…]],0) + IF(TblProd[[#This Row],[Plat Bonus]]&lt;&gt;"",350,0)</f>
        <v>0</v>
      </c>
      <c r="R4" s="95" t="n">
        <f aca="false">MAX(_xlfn.CEILING.MATH(TblProd[[#This Row],[Land]]*2.5+IFERROR(OFFSET(TblTech[[#This Row],[Sum of tech]],-1,0)*150,0)),3750)</f>
        <v>3750</v>
      </c>
      <c r="S4" s="132"/>
      <c r="T4" s="69" t="n">
        <f aca="false">ROUNDDOWN(TblProd[[#This Row],[Raw Plat/hr]]*(1+TblProd[[#This Row],[Bonus Plat/hr]]),0)</f>
        <v>4860</v>
      </c>
      <c r="U4" s="69" t="n">
        <f aca="false">ROUND(TblProd[[#This Row],[Raw Food/hr]]*(1+TblProd[[#This Row],[Bonus Food/hr]])-TblProd[[#This Row],[Food decay]]-TblProd[[#This Row],[Food eaten]],0)</f>
        <v>1910</v>
      </c>
      <c r="V4" s="69" t="n">
        <f aca="false">ROUND(TblProd[[#This Row],[Raw Lumber/hr]]*(1+TblProd[[#This Row],[Bonus Lumber/hr]])-TblProd[[#This Row],[Lumber rot]],0)</f>
        <v>900</v>
      </c>
      <c r="W4" s="69" t="n">
        <f aca="false">ROUND(TblProd[[#This Row],[Raw Mana/hr]]*(1+TblProd[[#This Row],[Bonus Mana/hr]])-TblProd[[#This Row],[Mana drain]],0)</f>
        <v>0</v>
      </c>
      <c r="X4" s="69" t="n">
        <f aca="false">ROUNDDOWN(TblProd[[#This Row],[Raw Ore/hr]]*(1+TblProd[[#This Row],[Bonux Ore/hr]]),0)</f>
        <v>0</v>
      </c>
      <c r="Y4" s="69" t="n">
        <f aca="false">ROUNDDOWN(TblProd[[#This Row],[Raw Gems/hr]]*(1+TblProd[[#This Row],[Bonus Gems/hr]]),0)</f>
        <v>0</v>
      </c>
      <c r="Z4" s="148" t="n">
        <f aca="false">OFFSET(TblConstr[[#This Row],[Tot Doc]],1,0)*dock_boats_hr * (1 + tech_4_1*TblTech[[#This Row],[4-1]])</f>
        <v>0</v>
      </c>
      <c r="AA4" s="146"/>
      <c r="AB4" s="69" t="n">
        <f aca="false">TblPop[[#This Row],[Peasants]]*tax*TblPop[[#This Row],[Employment]] + (Construction!AZ5+Construction!BX5)*(alch_plat+(Magic!AM4&gt;0)*alchemist_flame_bonus)</f>
        <v>4860</v>
      </c>
      <c r="AC4" s="69" t="n">
        <f aca="false">TblConstr[[#This Row],[Tot Farm]]*farm_food + TblConstr[[#This Row],[Tot Doc]]*dock_food</f>
        <v>2400</v>
      </c>
      <c r="AD4" s="69" t="n">
        <f aca="false">TblConstr[[#This Row],[Tot Ly]]*ly_lumber + TblConstr[[#This Row],[Tot Hav]]*fh_lumber</f>
        <v>1000</v>
      </c>
      <c r="AE4" s="69" t="n">
        <f aca="false">OFFSET(TblConstr[[#This Row],[Tot Tow]],1,0)*(tower_mana + tech_4_5*TblTech[[#This Row],[4-5]]) + OFFSET(TblConstr[[#This Row],[Tot WG]],1,0)*wg_mana_prod</f>
        <v>0</v>
      </c>
      <c r="AF4" s="69" t="n">
        <f aca="false">OFFSET(TblConstr[[#This Row],[Tot OM]],1,0)*om_ore+IF(race="Dwarf",ROUNDDOWN(TblMili[[#This Row],[Unit 2]]*0.4,0),)</f>
        <v>0</v>
      </c>
      <c r="AG4" s="69" t="n">
        <f aca="false">OFFSET(TblConstr[[#This Row],[Tot DM]],1,0)*dm_gems</f>
        <v>0</v>
      </c>
      <c r="AH4" s="132"/>
      <c r="AI4" s="149" t="n">
        <f aca="false">MIN(race_platinum_bonus + IF(TblMagic[[#This Row],[Active Alch Frost]]&gt;0,alch_frost_bonus,IF(Magic!AD4&gt;0,midas_bonus)) + TblImps[[#This Row],[Science]] - TblProd[[#This Row],[Guard]]*(0.02 + tech_5_7*TblTech[[#This Row],[5-7]]) + tech_1_5*TblTech[[#This Row],[1-5]] + tech_4_4*TblTech[[#This Row],[4-4]], 0.5)</f>
        <v>0</v>
      </c>
      <c r="AJ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 s="149" t="n">
        <f aca="false">race_lumber_bonus+ IF(TblMagic[[#This Row],[Active Gaia''s Blessing]]&gt;0,gaias_blessing_lumber)+ tech_1_3*TblTech[[#This Row],[1-3]] + tech_1_6*TblTech[[#This Row],[1-6]] + tech_3_3*TblTech[[#This Row],[3-3]]</f>
        <v>-0.1</v>
      </c>
      <c r="AL4" s="149" t="n">
        <f aca="false">race_mana_bonus+ 0 + TblImps[[#This Row],[Towers]] + tech_1_2*TblTech[[#This Row],[1-2]] + tech_3_4*TblTech[[#This Row],[3-4]]</f>
        <v>0</v>
      </c>
      <c r="AM4" s="149" t="n">
        <f aca="false">race_ore_bonus + IF(TblMagic[[#This Row],[Active Miner''s Sight]]&gt;0,miners_sight_bonus,IF(TblMagic[[#This Row],[Active Mining Strength]]&gt;0,mining_strength_bonus)) +  tech_1_6*TblTech[[#This Row],[1-6]]</f>
        <v>0</v>
      </c>
      <c r="AN4" s="149" t="n">
        <f aca="false">race_gem_bonus+ tech_3_2*TblTech[[#This Row],[3-2]] + tech_4_3*TblTech[[#This Row],[4-3]] + tech_6_2*TblTech[[#This Row],[6-2]]</f>
        <v>0.15</v>
      </c>
      <c r="AO4" s="132"/>
      <c r="AP4" s="69" t="n">
        <f aca="false">TblProd[[#This Row],[Food]]*food_decay * (1 + tech_2_1*TblTech[[#This Row],[2-1]] + tech_2_8*TblTech[[#This Row],[2-8]])</f>
        <v>150</v>
      </c>
      <c r="AQ4" s="69" t="n">
        <f aca="false">(1+race_food_consumption)*TblPop[[#This Row],[Total]]*food_per_person*(1+tech_1_10*TblTech[[#This Row],[1-10]]+tech_7_5*TblTech[[#This Row],[7-5]])</f>
        <v>400</v>
      </c>
      <c r="AR4" s="69" t="n">
        <f aca="false">TblProd[[#This Row],[Lumber]]*lumber_rot * (1 + tech_2_1*TblTech[[#This Row],[2-1]] + tech_2_8*TblTech[[#This Row],[2-8]] + tech_5_2*TblTech[[#This Row],[5-2]])</f>
        <v>0</v>
      </c>
      <c r="AS4" s="69" t="n">
        <f aca="false">TblProd[[#This Row],[Mana]]*mana_drain * (1 + tech_2_1*TblTech[[#This Row],[2-1]] + tech_2_8*TblTech[[#This Row],[2-8]])</f>
        <v>0</v>
      </c>
      <c r="AT4" s="146"/>
      <c r="AU4" s="69" t="n">
        <f aca="false">TblExplore[[#This Row],[Platinum (2)]]+TblConstr[[#This Row],[Total Plat Cost]]+TblMili[[#This Row],[Plat Cost]]+TblRezone[[#This Row],[Platinum cost]]+TblImps[[#This Row],[P1]]-TblProd[[#This Row],[Bank Plat]]</f>
        <v>90170</v>
      </c>
      <c r="AV4" s="69" t="n">
        <f aca="false">TblConstr[[#This Row],[Total Lum Cost]]+TblImps[[#This Row],[L1]]-TblProd[[#This Row],[Bank Lumber]] + Military!$CL$25*TblMili[[#This Row],[Sec. rec. Cost]]</f>
        <v>15000</v>
      </c>
      <c r="AW4" s="69" t="n">
        <f aca="false">TblMagic[[#This Row],[Mana cost]] + Military!$CL$26*TblMili[[#This Row],[Sec. rec. Cost]]</f>
        <v>0</v>
      </c>
      <c r="AX4" s="69" t="n">
        <f aca="false">Military!$CL$24*TblMili[[#This Row],[Sec. rec. Cost]]+TblImps[[#This Row],[O1]]-TblProd[[#This Row],[Bank Ore]]</f>
        <v>0</v>
      </c>
      <c r="AY4" s="69" t="n">
        <f aca="false">TblImps[[#This Row],[G1]]-TblProd[[#This Row],[Bank Gems]]</f>
        <v>10000</v>
      </c>
      <c r="AZ4" s="132"/>
      <c r="BA4" s="33" t="n">
        <f aca="false">IF(TblProd[[#This Row],[Set Guard]]&lt;&gt;"",TblProd[[#This Row],[Set Guard]],FALSE())</f>
        <v>0</v>
      </c>
      <c r="BB4" s="145"/>
      <c r="BC4" s="151" t="n">
        <f aca="false">TblProd[[#This Row],[Hour]]</f>
        <v>1</v>
      </c>
      <c r="BD4" s="152" t="n">
        <f aca="false">-TblProd[[#This Row],[Bank Lumber]] / 2 + -TblProd[[#This Row],[Bank Gems]] * 2 + -TblProd[[#This Row],[Bank Ore]] / 2</f>
        <v>21780</v>
      </c>
      <c r="BE4" s="152" t="n">
        <v>-3560</v>
      </c>
      <c r="BF4" s="152"/>
      <c r="BG4" s="152" t="n">
        <v>-10000</v>
      </c>
      <c r="BH4" s="153" t="n">
        <f aca="false">TblProd[[#This Row],[Time]]</f>
        <v>45429.75</v>
      </c>
      <c r="BI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J4" s="69" t="n">
        <f aca="false">TblProd[[#This Row],[Platinum]]</f>
        <v>9830</v>
      </c>
      <c r="BK4" s="69" t="n">
        <f aca="false">TblProd[[#This Row],[Food]]</f>
        <v>15000</v>
      </c>
      <c r="BL4" s="69" t="n">
        <f aca="false">TblProd[[#This Row],[Lumber]]</f>
        <v>0</v>
      </c>
      <c r="BM4" s="69" t="n">
        <f aca="false">TblProd[[#This Row],[Mana]]</f>
        <v>0</v>
      </c>
      <c r="BN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c r="H5" s="69" t="e">
        <f aca="false">TblMili[[#This Row],[Networth (2)]]</f>
        <v>#VALUE!</v>
      </c>
      <c r="I5" s="69" t="n">
        <f aca="false">OFFSET(TblProd[[#This Row],[Platinum]],-1,0)+OFFSET(TblProd[[#This Row],[Plat/hr]],-1,0) - TblProd[[#This Row],[Expenses Platinum]] + IF(TblProd[[#This Row],[Plat Bonus]],TblPop[[#This Row],[Peasants]]*4) + SUM(TblConstr[[#This Row],[Dest Hom]:[Dest Doc]])*TblConstr[[#This Row],[CPA Platinum -DB]]*tech_3_3_2*TblTech[[#This Row],[3-3]]</f>
        <v>15140</v>
      </c>
      <c r="J5" s="69" t="n">
        <f aca="false">OFFSET(TblProd[[#This Row],[Food]],-1,0)+OFFSET(TblProd[[#This Row],[Food/hr]],-1,0)+ROUNDUP((TblConstr[[#This Row],[Farms]]*80+TblConstr[[#This Row],[Docks]]*35)*(1+OFFSET(TblProd[[#This Row],[Bonus Food/hr]],-1,0)),0)</f>
        <v>16910</v>
      </c>
      <c r="K5" s="69" t="n">
        <f aca="false">OFFSET(TblProd[[#This Row],[Lumber]],-1,0)+OFFSET(TblProd[[#This Row],[Lumber/hr]],-1,0) - TblProd[[#This Row],[Expenses Lumber]] + SUM(TblConstr[[#This Row],[Dest Hom]:[Dest Doc]])*TblConstr[[#This Row],[CPA Lumber -DB]]*tech_3_3_2*TblTech[[#This Row],[3-3]]</f>
        <v>0</v>
      </c>
      <c r="L5" s="69" t="n">
        <f aca="false">OFFSET(TblProd[[#This Row],[Mana]],-1,0)+OFFSET(TblProd[[#This Row],[Mana/hr]],-1,0)- TblProd[[#This Row],[Expenses Mana]]</f>
        <v>-1250</v>
      </c>
      <c r="M5" s="69" t="n">
        <f aca="false">OFFSET(TblProd[[#This Row],[Ore]],-1,0)+OFFSET(TblProd[[#This Row],[Ore/hr]],-1,0) -TblProd[[#This Row],[Expenses Ore]]</f>
        <v>0</v>
      </c>
      <c r="N5" s="69" t="n">
        <f aca="false">OFFSET(TblProd[[#This Row],[Gems]],-1,0)+OFFSET(TblProd[[#This Row],[Gems/hr]],-1,0) - TblProd[[#This Row],[Expenses Gems]]</f>
        <v>0</v>
      </c>
      <c r="O5" s="69" t="n">
        <f aca="false">OFFSET(TblProd[[#This Row],[Boats]],-1,0)+OFFSET(TblProd[[#This Row],[Boats/hr]],-1,0)</f>
        <v>0</v>
      </c>
      <c r="P5" s="69" t="n">
        <f aca="false">OFFSET(TblProd[[#This Row],[Prestige]],-1,0)</f>
        <v>250</v>
      </c>
      <c r="Q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5" s="69" t="n">
        <f aca="false">MAX(3750,_xlfn.CEILING.MATH(TblProd[[#This Row],[Land]]*2.5+OFFSET(TblTech[[#This Row],[Sum of tech]],-1,0)*150))</f>
        <v>3750</v>
      </c>
      <c r="S5" s="132"/>
      <c r="T5" s="69" t="n">
        <f aca="false">ROUNDDOWN(TblProd[[#This Row],[Raw Plat/hr]]*(1+TblProd[[#This Row],[Bonus Plat/hr]]),0)</f>
        <v>4930</v>
      </c>
      <c r="U5" s="69" t="n">
        <f aca="false">ROUND(TblProd[[#This Row],[Raw Food/hr]]*(1+TblProd[[#This Row],[Bonus Food/hr]])-TblProd[[#This Row],[Food decay]]-TblProd[[#This Row],[Food eaten]],0)</f>
        <v>1881</v>
      </c>
      <c r="V5" s="69" t="n">
        <f aca="false">ROUND(TblProd[[#This Row],[Raw Lumber/hr]]*(1+TblProd[[#This Row],[Bonus Lumber/hr]])-TblProd[[#This Row],[Lumber rot]],0)</f>
        <v>900</v>
      </c>
      <c r="W5" s="69" t="n">
        <f aca="false">ROUND(TblProd[[#This Row],[Raw Mana/hr]]*(1+TblProd[[#This Row],[Bonus Mana/hr]])-TblProd[[#This Row],[Mana drain]],0)</f>
        <v>25</v>
      </c>
      <c r="X5" s="69" t="n">
        <f aca="false">ROUNDDOWN(TblProd[[#This Row],[Raw Ore/hr]]*(1+TblProd[[#This Row],[Bonux Ore/hr]]),0)</f>
        <v>0</v>
      </c>
      <c r="Y5" s="69" t="n">
        <f aca="false">ROUNDDOWN(TblProd[[#This Row],[Raw Gems/hr]]*(1+TblProd[[#This Row],[Bonus Gems/hr]]),0)</f>
        <v>0</v>
      </c>
      <c r="Z5" s="148" t="n">
        <f aca="false">OFFSET(TblConstr[[#This Row],[Tot Doc]],1,0)*dock_boats_hr * (1 + tech_4_1*TblTech[[#This Row],[4-1]])</f>
        <v>0</v>
      </c>
      <c r="AA5" s="146"/>
      <c r="AB5" s="69" t="n">
        <f aca="false">TblPop[[#This Row],[Peasants]]*tax*TblPop[[#This Row],[Employment]] + (Construction!AZ6+Construction!BX6)*(alch_plat+(Magic!AM5&gt;0)*alchemist_flame_bonus)</f>
        <v>4930.2</v>
      </c>
      <c r="AC5" s="69" t="n">
        <f aca="false">TblConstr[[#This Row],[Tot Farm]]*farm_food + TblConstr[[#This Row],[Tot Doc]]*dock_food</f>
        <v>2400</v>
      </c>
      <c r="AD5" s="69" t="n">
        <f aca="false">TblConstr[[#This Row],[Tot Ly]]*ly_lumber + TblConstr[[#This Row],[Tot Hav]]*fh_lumber</f>
        <v>1000</v>
      </c>
      <c r="AE5" s="69" t="n">
        <f aca="false">OFFSET(TblConstr[[#This Row],[Tot Tow]],1,0)*(tower_mana + tech_4_5*TblTech[[#This Row],[4-5]]) + OFFSET(TblConstr[[#This Row],[Tot WG]],1,0)*wg_mana_prod</f>
        <v>0</v>
      </c>
      <c r="AF5" s="69" t="n">
        <f aca="false">OFFSET(TblConstr[[#This Row],[Tot OM]],1,0)*om_ore+IF(race="Dwarf",ROUNDDOWN(TblMili[[#This Row],[Unit 2]]*0.4,0),)</f>
        <v>0</v>
      </c>
      <c r="AG5" s="69" t="n">
        <f aca="false">OFFSET(TblConstr[[#This Row],[Tot DM]],1,0)*dm_gems</f>
        <v>0</v>
      </c>
      <c r="AH5" s="132"/>
      <c r="AI5" s="149" t="n">
        <f aca="false">MIN(race_platinum_bonus + IF(TblMagic[[#This Row],[Active Alch Frost]]&gt;0,alch_frost_bonus,IF(Magic!AD5&gt;0,midas_bonus)) + TblImps[[#This Row],[Science]] - TblProd[[#This Row],[Guard]]*(0.02 + tech_5_7*TblTech[[#This Row],[5-7]]) + tech_1_5*TblTech[[#This Row],[1-5]] + tech_4_4*TblTech[[#This Row],[4-4]], 0.5)</f>
        <v>0</v>
      </c>
      <c r="AJ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 s="149" t="n">
        <f aca="false">race_lumber_bonus+ IF(TblMagic[[#This Row],[Active Gaia''s Blessing]]&gt;0,gaias_blessing_lumber)+ tech_1_3*TblTech[[#This Row],[1-3]] + tech_1_6*TblTech[[#This Row],[1-6]] + tech_3_3*TblTech[[#This Row],[3-3]]</f>
        <v>-0.1</v>
      </c>
      <c r="AL5" s="149" t="n">
        <f aca="false">race_mana_bonus+ 0 + TblImps[[#This Row],[Towers]] + tech_1_2*TblTech[[#This Row],[1-2]] + tech_3_4*TblTech[[#This Row],[3-4]]</f>
        <v>0</v>
      </c>
      <c r="AM5" s="149" t="n">
        <f aca="false">race_ore_bonus + IF(TblMagic[[#This Row],[Active Miner''s Sight]]&gt;0,miners_sight_bonus,IF(TblMagic[[#This Row],[Active Mining Strength]]&gt;0,mining_strength_bonus)) +  tech_1_6*TblTech[[#This Row],[1-6]]</f>
        <v>0.2</v>
      </c>
      <c r="AN5" s="149" t="n">
        <f aca="false">race_gem_bonus+ tech_3_2*TblTech[[#This Row],[3-2]] + tech_4_3*TblTech[[#This Row],[4-3]] + tech_6_2*TblTech[[#This Row],[6-2]]</f>
        <v>0.15</v>
      </c>
      <c r="AO5" s="132"/>
      <c r="AP5" s="69" t="n">
        <f aca="false">TblProd[[#This Row],[Food]]*food_decay * (1 + tech_2_1*TblTech[[#This Row],[2-1]] + tech_2_8*TblTech[[#This Row],[2-8]])</f>
        <v>169.1</v>
      </c>
      <c r="AQ5" s="69" t="n">
        <f aca="false">(1+race_food_consumption)*TblPop[[#This Row],[Total]]*food_per_person*(1+tech_1_10*TblTech[[#This Row],[1-10]]+tech_7_5*TblTech[[#This Row],[7-5]])</f>
        <v>409.75</v>
      </c>
      <c r="AR5" s="69" t="n">
        <f aca="false">TblProd[[#This Row],[Lumber]]*lumber_rot * (1 + tech_2_1*TblTech[[#This Row],[2-1]] + tech_2_8*TblTech[[#This Row],[2-8]] + tech_5_2*TblTech[[#This Row],[5-2]])</f>
        <v>0</v>
      </c>
      <c r="AS5" s="69" t="n">
        <f aca="false">TblProd[[#This Row],[Mana]]*mana_drain * (1 + tech_2_1*TblTech[[#This Row],[2-1]] + tech_2_8*TblTech[[#This Row],[2-8]])</f>
        <v>-25</v>
      </c>
      <c r="AT5" s="146"/>
      <c r="AU5" s="69" t="n">
        <f aca="false">TblExplore[[#This Row],[Platinum (2)]]+TblConstr[[#This Row],[Total Plat Cost]]+TblMili[[#This Row],[Plat Cost]]+TblRezone[[#This Row],[Platinum cost]]+TblImps[[#This Row],[P1]]-TblProd[[#This Row],[Bank Plat]]</f>
        <v>-450</v>
      </c>
      <c r="AV5" s="69" t="n">
        <f aca="false">TblConstr[[#This Row],[Total Lum Cost]]+TblImps[[#This Row],[L1]]-TblProd[[#This Row],[Bank Lumber]] + Military!$CL$25*TblMili[[#This Row],[Sec. rec. Cost]]</f>
        <v>900</v>
      </c>
      <c r="AW5" s="69" t="n">
        <f aca="false">TblMagic[[#This Row],[Mana cost]] + Military!$CL$26*TblMili[[#This Row],[Sec. rec. Cost]]</f>
        <v>1250</v>
      </c>
      <c r="AX5" s="69" t="n">
        <f aca="false">Military!$CL$24*TblMili[[#This Row],[Sec. rec. Cost]]+TblImps[[#This Row],[O1]]-TblProd[[#This Row],[Bank Ore]]</f>
        <v>0</v>
      </c>
      <c r="AY5" s="69" t="n">
        <f aca="false">TblImps[[#This Row],[G1]]-TblProd[[#This Row],[Bank Gems]]</f>
        <v>0</v>
      </c>
      <c r="AZ5" s="132"/>
      <c r="BA5" s="33" t="n">
        <f aca="false">IF(TblProd[[#This Row],[Set Guard]]&lt;&gt;"",TblProd[[#This Row],[Set Guard]],OFFSET(TblProd[[#This Row],[Guard]],-1,0))</f>
        <v>0</v>
      </c>
      <c r="BB5" s="145"/>
      <c r="BC5" s="151" t="n">
        <f aca="false">TblProd[[#This Row],[Hour]]</f>
        <v>2</v>
      </c>
      <c r="BD5" s="152" t="n">
        <f aca="false">-TblProd[[#This Row],[Bank Lumber]] / 2 + -TblProd[[#This Row],[Bank Gems]] * 2 + -TblProd[[#This Row],[Bank Ore]] / 2</f>
        <v>450</v>
      </c>
      <c r="BE5" s="152" t="n">
        <v>-900</v>
      </c>
      <c r="BF5" s="152"/>
      <c r="BG5" s="152"/>
      <c r="BH5" s="153" t="n">
        <f aca="false">TblProd[[#This Row],[Time]]</f>
        <v>45429.7916666667</v>
      </c>
      <c r="BI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J5" s="69" t="n">
        <f aca="false">TblProd[[#This Row],[Platinum]]</f>
        <v>15140</v>
      </c>
      <c r="BK5" s="69" t="n">
        <f aca="false">TblProd[[#This Row],[Food]]</f>
        <v>16910</v>
      </c>
      <c r="BL5" s="69" t="n">
        <f aca="false">TblProd[[#This Row],[Lumber]]</f>
        <v>0</v>
      </c>
      <c r="BM5" s="69" t="n">
        <f aca="false">TblProd[[#This Row],[Mana]]</f>
        <v>-1250</v>
      </c>
      <c r="BN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c r="H6" s="69" t="e">
        <f aca="false">TblMili[[#This Row],[Networth (2)]]</f>
        <v>#VALUE!</v>
      </c>
      <c r="I6" s="69" t="n">
        <f aca="false">OFFSET(TblProd[[#This Row],[Platinum]],-1,0)+OFFSET(TblProd[[#This Row],[Plat/hr]],-1,0) - TblProd[[#This Row],[Expenses Platinum]] + IF(TblProd[[#This Row],[Plat Bonus]],TblPop[[#This Row],[Peasants]]*4) + SUM(TblConstr[[#This Row],[Dest Hom]:[Dest Doc]])*TblConstr[[#This Row],[CPA Platinum -DB]]*tech_3_3_2*TblTech[[#This Row],[3-3]]</f>
        <v>20520</v>
      </c>
      <c r="J6" s="69" t="n">
        <f aca="false">OFFSET(TblProd[[#This Row],[Food]],-1,0)+OFFSET(TblProd[[#This Row],[Food/hr]],-1,0)+ROUNDUP((TblConstr[[#This Row],[Farms]]*80+TblConstr[[#This Row],[Docks]]*35)*(1+OFFSET(TblProd[[#This Row],[Bonus Food/hr]],-1,0)),0)</f>
        <v>18791</v>
      </c>
      <c r="K6" s="69" t="n">
        <f aca="false">OFFSET(TblProd[[#This Row],[Lumber]],-1,0)+OFFSET(TblProd[[#This Row],[Lumber/hr]],-1,0) - TblProd[[#This Row],[Expenses Lumber]] + SUM(TblConstr[[#This Row],[Dest Hom]:[Dest Doc]])*TblConstr[[#This Row],[CPA Lumber -DB]]*tech_3_3_2*TblTech[[#This Row],[3-3]]</f>
        <v>0</v>
      </c>
      <c r="L6" s="69" t="n">
        <f aca="false">OFFSET(TblProd[[#This Row],[Mana]],-1,0)+OFFSET(TblProd[[#This Row],[Mana/hr]],-1,0)- TblProd[[#This Row],[Expenses Mana]]</f>
        <v>-2475</v>
      </c>
      <c r="M6" s="69" t="n">
        <f aca="false">OFFSET(TblProd[[#This Row],[Ore]],-1,0)+OFFSET(TblProd[[#This Row],[Ore/hr]],-1,0) -TblProd[[#This Row],[Expenses Ore]]</f>
        <v>0</v>
      </c>
      <c r="N6" s="69" t="n">
        <f aca="false">OFFSET(TblProd[[#This Row],[Gems]],-1,0)+OFFSET(TblProd[[#This Row],[Gems/hr]],-1,0) - TblProd[[#This Row],[Expenses Gems]]</f>
        <v>0</v>
      </c>
      <c r="O6" s="69" t="n">
        <f aca="false">OFFSET(TblProd[[#This Row],[Boats]],-1,0)+OFFSET(TblProd[[#This Row],[Boats/hr]],-1,0)</f>
        <v>0</v>
      </c>
      <c r="P6" s="69" t="n">
        <f aca="false">OFFSET(TblProd[[#This Row],[Prestige]],-1,0)</f>
        <v>250</v>
      </c>
      <c r="Q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6" s="69" t="n">
        <f aca="false">MAX(3750,_xlfn.CEILING.MATH(TblProd[[#This Row],[Land]]*2.5+OFFSET(TblTech[[#This Row],[Sum of tech]],-1,0)*150))</f>
        <v>3750</v>
      </c>
      <c r="S6" s="132"/>
      <c r="T6" s="69" t="n">
        <f aca="false">ROUNDDOWN(TblProd[[#This Row],[Raw Plat/hr]]*(1+TblProd[[#This Row],[Bonus Plat/hr]]),0)</f>
        <v>5000</v>
      </c>
      <c r="U6" s="69" t="n">
        <f aca="false">ROUND(TblProd[[#This Row],[Raw Food/hr]]*(1+TblProd[[#This Row],[Bonus Food/hr]])-TblProd[[#This Row],[Food decay]]-TblProd[[#This Row],[Food eaten]],0)</f>
        <v>1853</v>
      </c>
      <c r="V6" s="69" t="n">
        <f aca="false">ROUND(TblProd[[#This Row],[Raw Lumber/hr]]*(1+TblProd[[#This Row],[Bonus Lumber/hr]])-TblProd[[#This Row],[Lumber rot]],0)</f>
        <v>900</v>
      </c>
      <c r="W6" s="69" t="n">
        <f aca="false">ROUND(TblProd[[#This Row],[Raw Mana/hr]]*(1+TblProd[[#This Row],[Bonus Mana/hr]])-TblProd[[#This Row],[Mana drain]],0)</f>
        <v>50</v>
      </c>
      <c r="X6" s="69" t="n">
        <f aca="false">ROUNDDOWN(TblProd[[#This Row],[Raw Ore/hr]]*(1+TblProd[[#This Row],[Bonux Ore/hr]]),0)</f>
        <v>0</v>
      </c>
      <c r="Y6" s="69" t="n">
        <f aca="false">ROUNDDOWN(TblProd[[#This Row],[Raw Gems/hr]]*(1+TblProd[[#This Row],[Bonus Gems/hr]]),0)</f>
        <v>0</v>
      </c>
      <c r="Z6" s="148" t="n">
        <f aca="false">OFFSET(TblConstr[[#This Row],[Tot Doc]],1,0)*dock_boats_hr * (1 + tech_4_1*TblTech[[#This Row],[4-1]])</f>
        <v>0</v>
      </c>
      <c r="AA6" s="146"/>
      <c r="AB6" s="69" t="n">
        <f aca="false">TblPop[[#This Row],[Peasants]]*tax*TblPop[[#This Row],[Employment]] + (Construction!AZ7+Construction!BX7)*(alch_plat+(Magic!AM6&gt;0)*alchemist_flame_bonus)</f>
        <v>5000.4</v>
      </c>
      <c r="AC6" s="69" t="n">
        <f aca="false">TblConstr[[#This Row],[Tot Farm]]*farm_food + TblConstr[[#This Row],[Tot Doc]]*dock_food</f>
        <v>2400</v>
      </c>
      <c r="AD6" s="69" t="n">
        <f aca="false">TblConstr[[#This Row],[Tot Ly]]*ly_lumber + TblConstr[[#This Row],[Tot Hav]]*fh_lumber</f>
        <v>1000</v>
      </c>
      <c r="AE6" s="69" t="n">
        <f aca="false">OFFSET(TblConstr[[#This Row],[Tot Tow]],1,0)*(tower_mana + tech_4_5*TblTech[[#This Row],[4-5]]) + OFFSET(TblConstr[[#This Row],[Tot WG]],1,0)*wg_mana_prod</f>
        <v>0</v>
      </c>
      <c r="AF6" s="69" t="n">
        <f aca="false">OFFSET(TblConstr[[#This Row],[Tot OM]],1,0)*om_ore+IF(race="Dwarf",ROUNDDOWN(TblMili[[#This Row],[Unit 2]]*0.4,0),)</f>
        <v>0</v>
      </c>
      <c r="AG6" s="69" t="n">
        <f aca="false">OFFSET(TblConstr[[#This Row],[Tot DM]],1,0)*dm_gems</f>
        <v>0</v>
      </c>
      <c r="AH6" s="132"/>
      <c r="AI6" s="149" t="n">
        <f aca="false">MIN(race_platinum_bonus + IF(TblMagic[[#This Row],[Active Alch Frost]]&gt;0,alch_frost_bonus,IF(Magic!AD6&gt;0,midas_bonus)) + TblImps[[#This Row],[Science]] - TblProd[[#This Row],[Guard]]*(0.02 + tech_5_7*TblTech[[#This Row],[5-7]]) + tech_1_5*TblTech[[#This Row],[1-5]] + tech_4_4*TblTech[[#This Row],[4-4]], 0.5)</f>
        <v>0</v>
      </c>
      <c r="AJ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 s="149" t="n">
        <f aca="false">race_lumber_bonus+ IF(TblMagic[[#This Row],[Active Gaia''s Blessing]]&gt;0,gaias_blessing_lumber)+ tech_1_3*TblTech[[#This Row],[1-3]] + tech_1_6*TblTech[[#This Row],[1-6]] + tech_3_3*TblTech[[#This Row],[3-3]]</f>
        <v>-0.1</v>
      </c>
      <c r="AL6" s="149" t="n">
        <f aca="false">race_mana_bonus+ 0 + TblImps[[#This Row],[Towers]] + tech_1_2*TblTech[[#This Row],[1-2]] + tech_3_4*TblTech[[#This Row],[3-4]]</f>
        <v>0</v>
      </c>
      <c r="AM6" s="149" t="n">
        <f aca="false">race_ore_bonus + IF(TblMagic[[#This Row],[Active Miner''s Sight]]&gt;0,miners_sight_bonus,IF(TblMagic[[#This Row],[Active Mining Strength]]&gt;0,mining_strength_bonus)) +  tech_1_6*TblTech[[#This Row],[1-6]]</f>
        <v>0.2</v>
      </c>
      <c r="AN6" s="149" t="n">
        <f aca="false">race_gem_bonus+ tech_3_2*TblTech[[#This Row],[3-2]] + tech_4_3*TblTech[[#This Row],[4-3]] + tech_6_2*TblTech[[#This Row],[6-2]]</f>
        <v>0.15</v>
      </c>
      <c r="AO6" s="132"/>
      <c r="AP6" s="69" t="n">
        <f aca="false">TblProd[[#This Row],[Food]]*food_decay * (1 + tech_2_1*TblTech[[#This Row],[2-1]] + tech_2_8*TblTech[[#This Row],[2-8]])</f>
        <v>187.91</v>
      </c>
      <c r="AQ6" s="69" t="n">
        <f aca="false">(1+race_food_consumption)*TblPop[[#This Row],[Total]]*food_per_person*(1+tech_1_10*TblTech[[#This Row],[1-10]]+tech_7_5*TblTech[[#This Row],[7-5]])</f>
        <v>419.5</v>
      </c>
      <c r="AR6" s="69" t="n">
        <f aca="false">TblProd[[#This Row],[Lumber]]*lumber_rot * (1 + tech_2_1*TblTech[[#This Row],[2-1]] + tech_2_8*TblTech[[#This Row],[2-8]] + tech_5_2*TblTech[[#This Row],[5-2]])</f>
        <v>0</v>
      </c>
      <c r="AS6" s="69" t="n">
        <f aca="false">TblProd[[#This Row],[Mana]]*mana_drain * (1 + tech_2_1*TblTech[[#This Row],[2-1]] + tech_2_8*TblTech[[#This Row],[2-8]])</f>
        <v>-49.5</v>
      </c>
      <c r="AT6" s="146"/>
      <c r="AU6" s="69" t="n">
        <f aca="false">TblExplore[[#This Row],[Platinum (2)]]+TblConstr[[#This Row],[Total Plat Cost]]+TblMili[[#This Row],[Plat Cost]]+TblRezone[[#This Row],[Platinum cost]]+TblImps[[#This Row],[P1]]-TblProd[[#This Row],[Bank Plat]]</f>
        <v>-450</v>
      </c>
      <c r="AV6" s="69" t="n">
        <f aca="false">TblConstr[[#This Row],[Total Lum Cost]]+TblImps[[#This Row],[L1]]-TblProd[[#This Row],[Bank Lumber]] + Military!$CL$25*TblMili[[#This Row],[Sec. rec. Cost]]</f>
        <v>900</v>
      </c>
      <c r="AW6" s="69" t="n">
        <f aca="false">TblMagic[[#This Row],[Mana cost]] + Military!$CL$26*TblMili[[#This Row],[Sec. rec. Cost]]</f>
        <v>1250</v>
      </c>
      <c r="AX6" s="69" t="n">
        <f aca="false">Military!$CL$24*TblMili[[#This Row],[Sec. rec. Cost]]+TblImps[[#This Row],[O1]]-TblProd[[#This Row],[Bank Ore]]</f>
        <v>0</v>
      </c>
      <c r="AY6" s="69" t="n">
        <f aca="false">TblImps[[#This Row],[G1]]-TblProd[[#This Row],[Bank Gems]]</f>
        <v>0</v>
      </c>
      <c r="AZ6" s="132"/>
      <c r="BA6" s="33" t="n">
        <f aca="false">IF(TblProd[[#This Row],[Set Guard]]&lt;&gt;"",TblProd[[#This Row],[Set Guard]],OFFSET(TblProd[[#This Row],[Guard]],-1,0))</f>
        <v>0</v>
      </c>
      <c r="BB6" s="145"/>
      <c r="BC6" s="151" t="n">
        <f aca="false">TblProd[[#This Row],[Hour]]</f>
        <v>3</v>
      </c>
      <c r="BD6" s="152" t="n">
        <f aca="false">-TblProd[[#This Row],[Bank Lumber]] / 2 + -TblProd[[#This Row],[Bank Gems]] * 2 + -TblProd[[#This Row],[Bank Ore]] / 2</f>
        <v>450</v>
      </c>
      <c r="BE6" s="152" t="n">
        <v>-900</v>
      </c>
      <c r="BF6" s="152"/>
      <c r="BG6" s="152"/>
      <c r="BH6" s="153" t="n">
        <f aca="false">TblProd[[#This Row],[Time]]</f>
        <v>45429.8333333333</v>
      </c>
      <c r="BI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J6" s="69" t="n">
        <f aca="false">TblProd[[#This Row],[Platinum]]</f>
        <v>20520</v>
      </c>
      <c r="BK6" s="69" t="n">
        <f aca="false">TblProd[[#This Row],[Food]]</f>
        <v>18791</v>
      </c>
      <c r="BL6" s="69" t="n">
        <f aca="false">TblProd[[#This Row],[Lumber]]</f>
        <v>0</v>
      </c>
      <c r="BM6" s="69" t="n">
        <f aca="false">TblProd[[#This Row],[Mana]]</f>
        <v>-2475</v>
      </c>
      <c r="BN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c r="H7" s="69" t="e">
        <f aca="false">TblMili[[#This Row],[Networth (2)]]</f>
        <v>#VALUE!</v>
      </c>
      <c r="I7" s="69" t="n">
        <f aca="false">OFFSET(TblProd[[#This Row],[Platinum]],-1,0)+OFFSET(TblProd[[#This Row],[Plat/hr]],-1,0) - TblProd[[#This Row],[Expenses Platinum]] + IF(TblProd[[#This Row],[Plat Bonus]],TblPop[[#This Row],[Peasants]]*4) + SUM(TblConstr[[#This Row],[Dest Hom]:[Dest Doc]])*TblConstr[[#This Row],[CPA Platinum -DB]]*tech_3_3_2*TblTech[[#This Row],[3-3]]</f>
        <v>25970</v>
      </c>
      <c r="J7" s="69" t="n">
        <f aca="false">OFFSET(TblProd[[#This Row],[Food]],-1,0)+OFFSET(TblProd[[#This Row],[Food/hr]],-1,0)+ROUNDUP((TblConstr[[#This Row],[Farms]]*80+TblConstr[[#This Row],[Docks]]*35)*(1+OFFSET(TblProd[[#This Row],[Bonus Food/hr]],-1,0)),0)</f>
        <v>20644</v>
      </c>
      <c r="K7" s="69" t="n">
        <f aca="false">OFFSET(TblProd[[#This Row],[Lumber]],-1,0)+OFFSET(TblProd[[#This Row],[Lumber/hr]],-1,0) - TblProd[[#This Row],[Expenses Lumber]] + SUM(TblConstr[[#This Row],[Dest Hom]:[Dest Doc]])*TblConstr[[#This Row],[CPA Lumber -DB]]*tech_3_3_2*TblTech[[#This Row],[3-3]]</f>
        <v>0</v>
      </c>
      <c r="L7" s="69" t="n">
        <f aca="false">OFFSET(TblProd[[#This Row],[Mana]],-1,0)+OFFSET(TblProd[[#This Row],[Mana/hr]],-1,0)- TblProd[[#This Row],[Expenses Mana]]</f>
        <v>-3675</v>
      </c>
      <c r="M7" s="69" t="n">
        <f aca="false">OFFSET(TblProd[[#This Row],[Ore]],-1,0)+OFFSET(TblProd[[#This Row],[Ore/hr]],-1,0) -TblProd[[#This Row],[Expenses Ore]]</f>
        <v>0</v>
      </c>
      <c r="N7" s="69" t="n">
        <f aca="false">OFFSET(TblProd[[#This Row],[Gems]],-1,0)+OFFSET(TblProd[[#This Row],[Gems/hr]],-1,0) - TblProd[[#This Row],[Expenses Gems]]</f>
        <v>0</v>
      </c>
      <c r="O7" s="69" t="n">
        <f aca="false">OFFSET(TblProd[[#This Row],[Boats]],-1,0)+OFFSET(TblProd[[#This Row],[Boats/hr]],-1,0)</f>
        <v>0</v>
      </c>
      <c r="P7" s="69" t="n">
        <f aca="false">OFFSET(TblProd[[#This Row],[Prestige]],-1,0)</f>
        <v>250</v>
      </c>
      <c r="Q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7" s="69" t="n">
        <f aca="false">MAX(3750,_xlfn.CEILING.MATH(TblProd[[#This Row],[Land]]*2.5+OFFSET(TblTech[[#This Row],[Sum of tech]],-1,0)*150))</f>
        <v>3750</v>
      </c>
      <c r="S7" s="132"/>
      <c r="T7" s="69" t="n">
        <f aca="false">ROUNDDOWN(TblProd[[#This Row],[Raw Plat/hr]]*(1+TblProd[[#This Row],[Bonus Plat/hr]]),0)</f>
        <v>5070</v>
      </c>
      <c r="U7" s="69" t="n">
        <f aca="false">ROUND(TblProd[[#This Row],[Raw Food/hr]]*(1+TblProd[[#This Row],[Bonus Food/hr]])-TblProd[[#This Row],[Food decay]]-TblProd[[#This Row],[Food eaten]],0)</f>
        <v>1824</v>
      </c>
      <c r="V7" s="69" t="n">
        <f aca="false">ROUND(TblProd[[#This Row],[Raw Lumber/hr]]*(1+TblProd[[#This Row],[Bonus Lumber/hr]])-TblProd[[#This Row],[Lumber rot]],0)</f>
        <v>900</v>
      </c>
      <c r="W7" s="69" t="n">
        <f aca="false">ROUND(TblProd[[#This Row],[Raw Mana/hr]]*(1+TblProd[[#This Row],[Bonus Mana/hr]])-TblProd[[#This Row],[Mana drain]],0)</f>
        <v>74</v>
      </c>
      <c r="X7" s="69" t="n">
        <f aca="false">ROUNDDOWN(TblProd[[#This Row],[Raw Ore/hr]]*(1+TblProd[[#This Row],[Bonux Ore/hr]]),0)</f>
        <v>0</v>
      </c>
      <c r="Y7" s="69" t="n">
        <f aca="false">ROUNDDOWN(TblProd[[#This Row],[Raw Gems/hr]]*(1+TblProd[[#This Row],[Bonus Gems/hr]]),0)</f>
        <v>0</v>
      </c>
      <c r="Z7" s="148" t="n">
        <f aca="false">OFFSET(TblConstr[[#This Row],[Tot Doc]],1,0)*dock_boats_hr * (1 + tech_4_1*TblTech[[#This Row],[4-1]])</f>
        <v>0</v>
      </c>
      <c r="AA7" s="146"/>
      <c r="AB7" s="69" t="n">
        <f aca="false">TblPop[[#This Row],[Peasants]]*tax*TblPop[[#This Row],[Employment]] + (Construction!AZ8+Construction!BX8)*(alch_plat+(Magic!AM7&gt;0)*alchemist_flame_bonus)</f>
        <v>5070.6</v>
      </c>
      <c r="AC7" s="69" t="n">
        <f aca="false">TblConstr[[#This Row],[Tot Farm]]*farm_food + TblConstr[[#This Row],[Tot Doc]]*dock_food</f>
        <v>2400</v>
      </c>
      <c r="AD7" s="69" t="n">
        <f aca="false">TblConstr[[#This Row],[Tot Ly]]*ly_lumber + TblConstr[[#This Row],[Tot Hav]]*fh_lumber</f>
        <v>1000</v>
      </c>
      <c r="AE7" s="69" t="n">
        <f aca="false">OFFSET(TblConstr[[#This Row],[Tot Tow]],1,0)*(tower_mana + tech_4_5*TblTech[[#This Row],[4-5]]) + OFFSET(TblConstr[[#This Row],[Tot WG]],1,0)*wg_mana_prod</f>
        <v>0</v>
      </c>
      <c r="AF7" s="69" t="n">
        <f aca="false">OFFSET(TblConstr[[#This Row],[Tot OM]],1,0)*om_ore+IF(race="Dwarf",ROUNDDOWN(TblMili[[#This Row],[Unit 2]]*0.4,0),)</f>
        <v>0</v>
      </c>
      <c r="AG7" s="69" t="n">
        <f aca="false">OFFSET(TblConstr[[#This Row],[Tot DM]],1,0)*dm_gems</f>
        <v>0</v>
      </c>
      <c r="AH7" s="132"/>
      <c r="AI7" s="149" t="n">
        <f aca="false">MIN(race_platinum_bonus + IF(TblMagic[[#This Row],[Active Alch Frost]]&gt;0,alch_frost_bonus,IF(Magic!AD7&gt;0,midas_bonus)) + TblImps[[#This Row],[Science]] - TblProd[[#This Row],[Guard]]*(0.02 + tech_5_7*TblTech[[#This Row],[5-7]]) + tech_1_5*TblTech[[#This Row],[1-5]] + tech_4_4*TblTech[[#This Row],[4-4]], 0.5)</f>
        <v>0</v>
      </c>
      <c r="AJ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 s="149" t="n">
        <f aca="false">race_lumber_bonus+ IF(TblMagic[[#This Row],[Active Gaia''s Blessing]]&gt;0,gaias_blessing_lumber)+ tech_1_3*TblTech[[#This Row],[1-3]] + tech_1_6*TblTech[[#This Row],[1-6]] + tech_3_3*TblTech[[#This Row],[3-3]]</f>
        <v>-0.1</v>
      </c>
      <c r="AL7" s="149" t="n">
        <f aca="false">race_mana_bonus+ 0 + TblImps[[#This Row],[Towers]] + tech_1_2*TblTech[[#This Row],[1-2]] + tech_3_4*TblTech[[#This Row],[3-4]]</f>
        <v>0</v>
      </c>
      <c r="AM7" s="149" t="n">
        <f aca="false">race_ore_bonus + IF(TblMagic[[#This Row],[Active Miner''s Sight]]&gt;0,miners_sight_bonus,IF(TblMagic[[#This Row],[Active Mining Strength]]&gt;0,mining_strength_bonus)) +  tech_1_6*TblTech[[#This Row],[1-6]]</f>
        <v>0.2</v>
      </c>
      <c r="AN7" s="149" t="n">
        <f aca="false">race_gem_bonus+ tech_3_2*TblTech[[#This Row],[3-2]] + tech_4_3*TblTech[[#This Row],[4-3]] + tech_6_2*TblTech[[#This Row],[6-2]]</f>
        <v>0.15</v>
      </c>
      <c r="AO7" s="132"/>
      <c r="AP7" s="69" t="n">
        <f aca="false">TblProd[[#This Row],[Food]]*food_decay * (1 + tech_2_1*TblTech[[#This Row],[2-1]] + tech_2_8*TblTech[[#This Row],[2-8]])</f>
        <v>206.44</v>
      </c>
      <c r="AQ7" s="69" t="n">
        <f aca="false">(1+race_food_consumption)*TblPop[[#This Row],[Total]]*food_per_person*(1+tech_1_10*TblTech[[#This Row],[1-10]]+tech_7_5*TblTech[[#This Row],[7-5]])</f>
        <v>429.5</v>
      </c>
      <c r="AR7" s="69" t="n">
        <f aca="false">TblProd[[#This Row],[Lumber]]*lumber_rot * (1 + tech_2_1*TblTech[[#This Row],[2-1]] + tech_2_8*TblTech[[#This Row],[2-8]] + tech_5_2*TblTech[[#This Row],[5-2]])</f>
        <v>0</v>
      </c>
      <c r="AS7" s="69" t="n">
        <f aca="false">TblProd[[#This Row],[Mana]]*mana_drain * (1 + tech_2_1*TblTech[[#This Row],[2-1]] + tech_2_8*TblTech[[#This Row],[2-8]])</f>
        <v>-73.5</v>
      </c>
      <c r="AT7" s="146"/>
      <c r="AU7" s="69" t="n">
        <f aca="false">TblExplore[[#This Row],[Platinum (2)]]+TblConstr[[#This Row],[Total Plat Cost]]+TblMili[[#This Row],[Plat Cost]]+TblRezone[[#This Row],[Platinum cost]]+TblImps[[#This Row],[P1]]-TblProd[[#This Row],[Bank Plat]]</f>
        <v>-450</v>
      </c>
      <c r="AV7" s="69" t="n">
        <f aca="false">TblConstr[[#This Row],[Total Lum Cost]]+TblImps[[#This Row],[L1]]-TblProd[[#This Row],[Bank Lumber]] + Military!$CL$25*TblMili[[#This Row],[Sec. rec. Cost]]</f>
        <v>900</v>
      </c>
      <c r="AW7" s="69" t="n">
        <f aca="false">TblMagic[[#This Row],[Mana cost]] + Military!$CL$26*TblMili[[#This Row],[Sec. rec. Cost]]</f>
        <v>1250</v>
      </c>
      <c r="AX7" s="69" t="n">
        <f aca="false">Military!$CL$24*TblMili[[#This Row],[Sec. rec. Cost]]+TblImps[[#This Row],[O1]]-TblProd[[#This Row],[Bank Ore]]</f>
        <v>0</v>
      </c>
      <c r="AY7" s="69" t="n">
        <f aca="false">TblImps[[#This Row],[G1]]-TblProd[[#This Row],[Bank Gems]]</f>
        <v>0</v>
      </c>
      <c r="AZ7" s="132"/>
      <c r="BA7" s="33" t="n">
        <f aca="false">IF(TblProd[[#This Row],[Set Guard]]&lt;&gt;"",TblProd[[#This Row],[Set Guard]],OFFSET(TblProd[[#This Row],[Guard]],-1,0))</f>
        <v>0</v>
      </c>
      <c r="BB7" s="145"/>
      <c r="BC7" s="151" t="n">
        <f aca="false">TblProd[[#This Row],[Hour]]</f>
        <v>4</v>
      </c>
      <c r="BD7" s="152" t="n">
        <f aca="false">-TblProd[[#This Row],[Bank Lumber]] / 2 + -TblProd[[#This Row],[Bank Gems]] * 2 + -TblProd[[#This Row],[Bank Ore]] / 2</f>
        <v>450</v>
      </c>
      <c r="BE7" s="152" t="n">
        <v>-900</v>
      </c>
      <c r="BF7" s="152"/>
      <c r="BG7" s="152"/>
      <c r="BH7" s="153" t="n">
        <f aca="false">TblProd[[#This Row],[Time]]</f>
        <v>45429.875</v>
      </c>
      <c r="BI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J7" s="69" t="n">
        <f aca="false">TblProd[[#This Row],[Platinum]]</f>
        <v>25970</v>
      </c>
      <c r="BK7" s="69" t="n">
        <f aca="false">TblProd[[#This Row],[Food]]</f>
        <v>20644</v>
      </c>
      <c r="BL7" s="69" t="n">
        <f aca="false">TblProd[[#This Row],[Lumber]]</f>
        <v>0</v>
      </c>
      <c r="BM7" s="69" t="n">
        <f aca="false">TblProd[[#This Row],[Mana]]</f>
        <v>-3675</v>
      </c>
      <c r="BN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c r="H8" s="69" t="e">
        <f aca="false">TblMili[[#This Row],[Networth (2)]]</f>
        <v>#VALUE!</v>
      </c>
      <c r="I8" s="69" t="n">
        <f aca="false">OFFSET(TblProd[[#This Row],[Platinum]],-1,0)+OFFSET(TblProd[[#This Row],[Plat/hr]],-1,0) - TblProd[[#This Row],[Expenses Platinum]] + IF(TblProd[[#This Row],[Plat Bonus]],TblPop[[#This Row],[Peasants]]*4) + SUM(TblConstr[[#This Row],[Dest Hom]:[Dest Doc]])*TblConstr[[#This Row],[CPA Platinum -DB]]*tech_3_3_2*TblTech[[#This Row],[3-3]]</f>
        <v>31490</v>
      </c>
      <c r="J8" s="69" t="n">
        <f aca="false">OFFSET(TblProd[[#This Row],[Food]],-1,0)+OFFSET(TblProd[[#This Row],[Food/hr]],-1,0)+ROUNDUP((TblConstr[[#This Row],[Farms]]*80+TblConstr[[#This Row],[Docks]]*35)*(1+OFFSET(TblProd[[#This Row],[Bonus Food/hr]],-1,0)),0)</f>
        <v>22468</v>
      </c>
      <c r="K8" s="69" t="n">
        <f aca="false">OFFSET(TblProd[[#This Row],[Lumber]],-1,0)+OFFSET(TblProd[[#This Row],[Lumber/hr]],-1,0) - TblProd[[#This Row],[Expenses Lumber]] + SUM(TblConstr[[#This Row],[Dest Hom]:[Dest Doc]])*TblConstr[[#This Row],[CPA Lumber -DB]]*tech_3_3_2*TblTech[[#This Row],[3-3]]</f>
        <v>0</v>
      </c>
      <c r="L8" s="69" t="n">
        <f aca="false">OFFSET(TblProd[[#This Row],[Mana]],-1,0)+OFFSET(TblProd[[#This Row],[Mana/hr]],-1,0)- TblProd[[#This Row],[Expenses Mana]]</f>
        <v>-4851</v>
      </c>
      <c r="M8" s="69" t="n">
        <f aca="false">OFFSET(TblProd[[#This Row],[Ore]],-1,0)+OFFSET(TblProd[[#This Row],[Ore/hr]],-1,0) -TblProd[[#This Row],[Expenses Ore]]</f>
        <v>0</v>
      </c>
      <c r="N8" s="69" t="n">
        <f aca="false">OFFSET(TblProd[[#This Row],[Gems]],-1,0)+OFFSET(TblProd[[#This Row],[Gems/hr]],-1,0) - TblProd[[#This Row],[Expenses Gems]]</f>
        <v>0</v>
      </c>
      <c r="O8" s="69" t="n">
        <f aca="false">OFFSET(TblProd[[#This Row],[Boats]],-1,0)+OFFSET(TblProd[[#This Row],[Boats/hr]],-1,0)</f>
        <v>0</v>
      </c>
      <c r="P8" s="69" t="n">
        <f aca="false">OFFSET(TblProd[[#This Row],[Prestige]],-1,0)</f>
        <v>250</v>
      </c>
      <c r="Q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8" s="69" t="n">
        <f aca="false">MAX(3750,_xlfn.CEILING.MATH(TblProd[[#This Row],[Land]]*2.5+OFFSET(TblTech[[#This Row],[Sum of tech]],-1,0)*150))</f>
        <v>3750</v>
      </c>
      <c r="S8" s="132"/>
      <c r="T8" s="69" t="n">
        <f aca="false">ROUNDDOWN(TblProd[[#This Row],[Raw Plat/hr]]*(1+TblProd[[#This Row],[Bonus Plat/hr]]),0)</f>
        <v>5143</v>
      </c>
      <c r="U8" s="69" t="n">
        <f aca="false">ROUND(TblProd[[#This Row],[Raw Food/hr]]*(1+TblProd[[#This Row],[Bonus Food/hr]])-TblProd[[#This Row],[Food decay]]-TblProd[[#This Row],[Food eaten]],0)</f>
        <v>1796</v>
      </c>
      <c r="V8" s="69" t="n">
        <f aca="false">ROUND(TblProd[[#This Row],[Raw Lumber/hr]]*(1+TblProd[[#This Row],[Bonus Lumber/hr]])-TblProd[[#This Row],[Lumber rot]],0)</f>
        <v>900</v>
      </c>
      <c r="W8" s="69" t="n">
        <f aca="false">ROUND(TblProd[[#This Row],[Raw Mana/hr]]*(1+TblProd[[#This Row],[Bonus Mana/hr]])-TblProd[[#This Row],[Mana drain]],0)</f>
        <v>97</v>
      </c>
      <c r="X8" s="69" t="n">
        <f aca="false">ROUNDDOWN(TblProd[[#This Row],[Raw Ore/hr]]*(1+TblProd[[#This Row],[Bonux Ore/hr]]),0)</f>
        <v>0</v>
      </c>
      <c r="Y8" s="69" t="n">
        <f aca="false">ROUNDDOWN(TblProd[[#This Row],[Raw Gems/hr]]*(1+TblProd[[#This Row],[Bonus Gems/hr]]),0)</f>
        <v>0</v>
      </c>
      <c r="Z8" s="148" t="n">
        <f aca="false">OFFSET(TblConstr[[#This Row],[Tot Doc]],1,0)*dock_boats_hr * (1 + tech_4_1*TblTech[[#This Row],[4-1]])</f>
        <v>0</v>
      </c>
      <c r="AA8" s="146"/>
      <c r="AB8" s="69" t="n">
        <f aca="false">TblPop[[#This Row],[Peasants]]*tax*TblPop[[#This Row],[Employment]] + (Construction!AZ9+Construction!BX9)*(alch_plat+(Magic!AM8&gt;0)*alchemist_flame_bonus)</f>
        <v>5143.5</v>
      </c>
      <c r="AC8" s="69" t="n">
        <f aca="false">TblConstr[[#This Row],[Tot Farm]]*farm_food + TblConstr[[#This Row],[Tot Doc]]*dock_food</f>
        <v>2400</v>
      </c>
      <c r="AD8" s="69" t="n">
        <f aca="false">TblConstr[[#This Row],[Tot Ly]]*ly_lumber + TblConstr[[#This Row],[Tot Hav]]*fh_lumber</f>
        <v>1000</v>
      </c>
      <c r="AE8" s="69" t="n">
        <f aca="false">OFFSET(TblConstr[[#This Row],[Tot Tow]],1,0)*(tower_mana + tech_4_5*TblTech[[#This Row],[4-5]]) + OFFSET(TblConstr[[#This Row],[Tot WG]],1,0)*wg_mana_prod</f>
        <v>0</v>
      </c>
      <c r="AF8" s="69" t="n">
        <f aca="false">OFFSET(TblConstr[[#This Row],[Tot OM]],1,0)*om_ore+IF(race="Dwarf",ROUNDDOWN(TblMili[[#This Row],[Unit 2]]*0.4,0),)</f>
        <v>0</v>
      </c>
      <c r="AG8" s="69" t="n">
        <f aca="false">OFFSET(TblConstr[[#This Row],[Tot DM]],1,0)*dm_gems</f>
        <v>0</v>
      </c>
      <c r="AH8" s="132"/>
      <c r="AI8" s="149" t="n">
        <f aca="false">MIN(race_platinum_bonus + IF(TblMagic[[#This Row],[Active Alch Frost]]&gt;0,alch_frost_bonus,IF(Magic!AD8&gt;0,midas_bonus)) + TblImps[[#This Row],[Science]] - TblProd[[#This Row],[Guard]]*(0.02 + tech_5_7*TblTech[[#This Row],[5-7]]) + tech_1_5*TblTech[[#This Row],[1-5]] + tech_4_4*TblTech[[#This Row],[4-4]], 0.5)</f>
        <v>0</v>
      </c>
      <c r="AJ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 s="149" t="n">
        <f aca="false">race_lumber_bonus+ IF(TblMagic[[#This Row],[Active Gaia''s Blessing]]&gt;0,gaias_blessing_lumber)+ tech_1_3*TblTech[[#This Row],[1-3]] + tech_1_6*TblTech[[#This Row],[1-6]] + tech_3_3*TblTech[[#This Row],[3-3]]</f>
        <v>-0.1</v>
      </c>
      <c r="AL8" s="149" t="n">
        <f aca="false">race_mana_bonus+ 0 + TblImps[[#This Row],[Towers]] + tech_1_2*TblTech[[#This Row],[1-2]] + tech_3_4*TblTech[[#This Row],[3-4]]</f>
        <v>0</v>
      </c>
      <c r="AM8" s="149" t="n">
        <f aca="false">race_ore_bonus + IF(TblMagic[[#This Row],[Active Miner''s Sight]]&gt;0,miners_sight_bonus,IF(TblMagic[[#This Row],[Active Mining Strength]]&gt;0,mining_strength_bonus)) +  tech_1_6*TblTech[[#This Row],[1-6]]</f>
        <v>0.2</v>
      </c>
      <c r="AN8" s="149" t="n">
        <f aca="false">race_gem_bonus+ tech_3_2*TblTech[[#This Row],[3-2]] + tech_4_3*TblTech[[#This Row],[4-3]] + tech_6_2*TblTech[[#This Row],[6-2]]</f>
        <v>0.15</v>
      </c>
      <c r="AO8" s="132"/>
      <c r="AP8" s="69" t="n">
        <f aca="false">TblProd[[#This Row],[Food]]*food_decay * (1 + tech_2_1*TblTech[[#This Row],[2-1]] + tech_2_8*TblTech[[#This Row],[2-8]])</f>
        <v>224.68</v>
      </c>
      <c r="AQ8" s="69" t="n">
        <f aca="false">(1+race_food_consumption)*TblPop[[#This Row],[Total]]*food_per_person*(1+tech_1_10*TblTech[[#This Row],[1-10]]+tech_7_5*TblTech[[#This Row],[7-5]])</f>
        <v>439.75</v>
      </c>
      <c r="AR8" s="69" t="n">
        <f aca="false">TblProd[[#This Row],[Lumber]]*lumber_rot * (1 + tech_2_1*TblTech[[#This Row],[2-1]] + tech_2_8*TblTech[[#This Row],[2-8]] + tech_5_2*TblTech[[#This Row],[5-2]])</f>
        <v>0</v>
      </c>
      <c r="AS8" s="69" t="n">
        <f aca="false">TblProd[[#This Row],[Mana]]*mana_drain * (1 + tech_2_1*TblTech[[#This Row],[2-1]] + tech_2_8*TblTech[[#This Row],[2-8]])</f>
        <v>-97.02</v>
      </c>
      <c r="AT8" s="146"/>
      <c r="AU8" s="69" t="n">
        <f aca="false">TblExplore[[#This Row],[Platinum (2)]]+TblConstr[[#This Row],[Total Plat Cost]]+TblMili[[#This Row],[Plat Cost]]+TblRezone[[#This Row],[Platinum cost]]+TblImps[[#This Row],[P1]]-TblProd[[#This Row],[Bank Plat]]</f>
        <v>-450</v>
      </c>
      <c r="AV8" s="69" t="n">
        <f aca="false">TblConstr[[#This Row],[Total Lum Cost]]+TblImps[[#This Row],[L1]]-TblProd[[#This Row],[Bank Lumber]] + Military!$CL$25*TblMili[[#This Row],[Sec. rec. Cost]]</f>
        <v>900</v>
      </c>
      <c r="AW8" s="69" t="n">
        <f aca="false">TblMagic[[#This Row],[Mana cost]] + Military!$CL$26*TblMili[[#This Row],[Sec. rec. Cost]]</f>
        <v>1250</v>
      </c>
      <c r="AX8" s="69" t="n">
        <f aca="false">Military!$CL$24*TblMili[[#This Row],[Sec. rec. Cost]]+TblImps[[#This Row],[O1]]-TblProd[[#This Row],[Bank Ore]]</f>
        <v>0</v>
      </c>
      <c r="AY8" s="69" t="n">
        <f aca="false">TblImps[[#This Row],[G1]]-TblProd[[#This Row],[Bank Gems]]</f>
        <v>0</v>
      </c>
      <c r="AZ8" s="132"/>
      <c r="BA8" s="33" t="n">
        <f aca="false">IF(TblProd[[#This Row],[Set Guard]]&lt;&gt;"",TblProd[[#This Row],[Set Guard]],OFFSET(TblProd[[#This Row],[Guard]],-1,0))</f>
        <v>0</v>
      </c>
      <c r="BB8" s="145"/>
      <c r="BC8" s="151" t="n">
        <f aca="false">TblProd[[#This Row],[Hour]]</f>
        <v>5</v>
      </c>
      <c r="BD8" s="152" t="n">
        <f aca="false">-TblProd[[#This Row],[Bank Lumber]] / 2 + -TblProd[[#This Row],[Bank Gems]] * 2 + -TblProd[[#This Row],[Bank Ore]] / 2</f>
        <v>450</v>
      </c>
      <c r="BE8" s="152" t="n">
        <v>-900</v>
      </c>
      <c r="BF8" s="152"/>
      <c r="BG8" s="152"/>
      <c r="BH8" s="153" t="n">
        <f aca="false">TblProd[[#This Row],[Time]]</f>
        <v>45429.9166666667</v>
      </c>
      <c r="BI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J8" s="69" t="n">
        <f aca="false">TblProd[[#This Row],[Platinum]]</f>
        <v>31490</v>
      </c>
      <c r="BK8" s="69" t="n">
        <f aca="false">TblProd[[#This Row],[Food]]</f>
        <v>22468</v>
      </c>
      <c r="BL8" s="69" t="n">
        <f aca="false">TblProd[[#This Row],[Lumber]]</f>
        <v>0</v>
      </c>
      <c r="BM8" s="69" t="n">
        <f aca="false">TblProd[[#This Row],[Mana]]</f>
        <v>-4851</v>
      </c>
      <c r="BN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c r="H9" s="69" t="e">
        <f aca="false">TblMili[[#This Row],[Networth (2)]]</f>
        <v>#VALUE!</v>
      </c>
      <c r="I9" s="69" t="n">
        <f aca="false">OFFSET(TblProd[[#This Row],[Platinum]],-1,0)+OFFSET(TblProd[[#This Row],[Plat/hr]],-1,0) - TblProd[[#This Row],[Expenses Platinum]] + IF(TblProd[[#This Row],[Plat Bonus]],TblPop[[#This Row],[Peasants]]*4) + SUM(TblConstr[[#This Row],[Dest Hom]:[Dest Doc]])*TblConstr[[#This Row],[CPA Platinum -DB]]*tech_3_3_2*TblTech[[#This Row],[3-3]]</f>
        <v>16683</v>
      </c>
      <c r="J9" s="69" t="n">
        <f aca="false">OFFSET(TblProd[[#This Row],[Food]],-1,0)+OFFSET(TblProd[[#This Row],[Food/hr]],-1,0)+ROUNDUP((TblConstr[[#This Row],[Farms]]*80+TblConstr[[#This Row],[Docks]]*35)*(1+OFFSET(TblProd[[#This Row],[Bonus Food/hr]],-1,0)),0)</f>
        <v>24264</v>
      </c>
      <c r="K9" s="69" t="n">
        <f aca="false">OFFSET(TblProd[[#This Row],[Lumber]],-1,0)+OFFSET(TblProd[[#This Row],[Lumber/hr]],-1,0) - TblProd[[#This Row],[Expenses Lumber]] + SUM(TblConstr[[#This Row],[Dest Hom]:[Dest Doc]])*TblConstr[[#This Row],[CPA Lumber -DB]]*tech_3_3_2*TblTech[[#This Row],[3-3]]</f>
        <v>0</v>
      </c>
      <c r="L9" s="69" t="n">
        <f aca="false">OFFSET(TblProd[[#This Row],[Mana]],-1,0)+OFFSET(TblProd[[#This Row],[Mana/hr]],-1,0)- TblProd[[#This Row],[Expenses Mana]]</f>
        <v>-6004</v>
      </c>
      <c r="M9" s="69" t="n">
        <f aca="false">OFFSET(TblProd[[#This Row],[Ore]],-1,0)+OFFSET(TblProd[[#This Row],[Ore/hr]],-1,0) -TblProd[[#This Row],[Expenses Ore]]</f>
        <v>0</v>
      </c>
      <c r="N9" s="69" t="n">
        <f aca="false">OFFSET(TblProd[[#This Row],[Gems]],-1,0)+OFFSET(TblProd[[#This Row],[Gems/hr]],-1,0) - TblProd[[#This Row],[Expenses Gems]]</f>
        <v>0</v>
      </c>
      <c r="O9" s="69" t="n">
        <f aca="false">OFFSET(TblProd[[#This Row],[Boats]],-1,0)+OFFSET(TblProd[[#This Row],[Boats/hr]],-1,0)</f>
        <v>0</v>
      </c>
      <c r="P9" s="69" t="n">
        <f aca="false">OFFSET(TblProd[[#This Row],[Prestige]],-1,0)</f>
        <v>250</v>
      </c>
      <c r="Q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9" s="69" t="n">
        <f aca="false">MAX(3750,_xlfn.CEILING.MATH(TblProd[[#This Row],[Land]]*2.5+OFFSET(TblTech[[#This Row],[Sum of tech]],-1,0)*150))</f>
        <v>3750</v>
      </c>
      <c r="S9" s="132"/>
      <c r="T9" s="69" t="n">
        <f aca="false">ROUNDDOWN(TblProd[[#This Row],[Raw Plat/hr]]*(1+TblProd[[#This Row],[Bonus Plat/hr]]),0)</f>
        <v>5219</v>
      </c>
      <c r="U9" s="69" t="n">
        <f aca="false">ROUND(TblProd[[#This Row],[Raw Food/hr]]*(1+TblProd[[#This Row],[Bonus Food/hr]])-TblProd[[#This Row],[Food decay]]-TblProd[[#This Row],[Food eaten]],0)</f>
        <v>2271</v>
      </c>
      <c r="V9" s="69" t="n">
        <f aca="false">ROUND(TblProd[[#This Row],[Raw Lumber/hr]]*(1+TblProd[[#This Row],[Bonus Lumber/hr]])-TblProd[[#This Row],[Lumber rot]],0)</f>
        <v>1000</v>
      </c>
      <c r="W9" s="69" t="n">
        <f aca="false">ROUND(TblProd[[#This Row],[Raw Mana/hr]]*(1+TblProd[[#This Row],[Bonus Mana/hr]])-TblProd[[#This Row],[Mana drain]],0)</f>
        <v>120</v>
      </c>
      <c r="X9" s="69" t="n">
        <f aca="false">ROUNDDOWN(TblProd[[#This Row],[Raw Ore/hr]]*(1+TblProd[[#This Row],[Bonux Ore/hr]]),0)</f>
        <v>0</v>
      </c>
      <c r="Y9" s="69" t="n">
        <f aca="false">ROUNDDOWN(TblProd[[#This Row],[Raw Gems/hr]]*(1+TblProd[[#This Row],[Bonus Gems/hr]]),0)</f>
        <v>0</v>
      </c>
      <c r="Z9" s="148" t="n">
        <f aca="false">OFFSET(TblConstr[[#This Row],[Tot Doc]],1,0)*dock_boats_hr * (1 + tech_4_1*TblTech[[#This Row],[4-1]])</f>
        <v>0</v>
      </c>
      <c r="AA9" s="146"/>
      <c r="AB9" s="69" t="n">
        <f aca="false">TblPop[[#This Row],[Peasants]]*tax*TblPop[[#This Row],[Employment]] + (Construction!AZ10+Construction!BX10)*(alch_plat+(Magic!AM9&gt;0)*alchemist_flame_bonus)</f>
        <v>5219.1</v>
      </c>
      <c r="AC9" s="69" t="n">
        <f aca="false">TblConstr[[#This Row],[Tot Farm]]*farm_food + TblConstr[[#This Row],[Tot Doc]]*dock_food</f>
        <v>2400</v>
      </c>
      <c r="AD9" s="69" t="n">
        <f aca="false">TblConstr[[#This Row],[Tot Ly]]*ly_lumber + TblConstr[[#This Row],[Tot Hav]]*fh_lumber</f>
        <v>1000</v>
      </c>
      <c r="AE9" s="69" t="n">
        <f aca="false">OFFSET(TblConstr[[#This Row],[Tot Tow]],1,0)*(tower_mana + tech_4_5*TblTech[[#This Row],[4-5]]) + OFFSET(TblConstr[[#This Row],[Tot WG]],1,0)*wg_mana_prod</f>
        <v>0</v>
      </c>
      <c r="AF9" s="69" t="n">
        <f aca="false">OFFSET(TblConstr[[#This Row],[Tot OM]],1,0)*om_ore+IF(race="Dwarf",ROUNDDOWN(TblMili[[#This Row],[Unit 2]]*0.4,0),)</f>
        <v>0</v>
      </c>
      <c r="AG9" s="69" t="n">
        <f aca="false">OFFSET(TblConstr[[#This Row],[Tot DM]],1,0)*dm_gems</f>
        <v>0</v>
      </c>
      <c r="AH9" s="132"/>
      <c r="AI9" s="149" t="n">
        <f aca="false">MIN(race_platinum_bonus + IF(TblMagic[[#This Row],[Active Alch Frost]]&gt;0,alch_frost_bonus,IF(Magic!AD9&gt;0,midas_bonus)) + TblImps[[#This Row],[Science]] - TblProd[[#This Row],[Guard]]*(0.02 + tech_5_7*TblTech[[#This Row],[5-7]]) + tech_1_5*TblTech[[#This Row],[1-5]] + tech_4_4*TblTech[[#This Row],[4-4]], 0.5)</f>
        <v>0</v>
      </c>
      <c r="AJ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9" s="149" t="n">
        <f aca="false">race_lumber_bonus+ IF(TblMagic[[#This Row],[Active Gaia''s Blessing]]&gt;0,gaias_blessing_lumber)+ tech_1_3*TblTech[[#This Row],[1-3]] + tech_1_6*TblTech[[#This Row],[1-6]] + tech_3_3*TblTech[[#This Row],[3-3]]</f>
        <v>0</v>
      </c>
      <c r="AL9" s="149" t="n">
        <f aca="false">race_mana_bonus+ 0 + TblImps[[#This Row],[Towers]] + tech_1_2*TblTech[[#This Row],[1-2]] + tech_3_4*TblTech[[#This Row],[3-4]]</f>
        <v>0</v>
      </c>
      <c r="AM9" s="149" t="n">
        <f aca="false">race_ore_bonus + IF(TblMagic[[#This Row],[Active Miner''s Sight]]&gt;0,miners_sight_bonus,IF(TblMagic[[#This Row],[Active Mining Strength]]&gt;0,mining_strength_bonus)) +  tech_1_6*TblTech[[#This Row],[1-6]]</f>
        <v>0.2</v>
      </c>
      <c r="AN9" s="149" t="n">
        <f aca="false">race_gem_bonus+ tech_3_2*TblTech[[#This Row],[3-2]] + tech_4_3*TblTech[[#This Row],[4-3]] + tech_6_2*TblTech[[#This Row],[6-2]]</f>
        <v>0.15</v>
      </c>
      <c r="AO9" s="132"/>
      <c r="AP9" s="69" t="n">
        <f aca="false">TblProd[[#This Row],[Food]]*food_decay * (1 + tech_2_1*TblTech[[#This Row],[2-1]] + tech_2_8*TblTech[[#This Row],[2-8]])</f>
        <v>242.64</v>
      </c>
      <c r="AQ9" s="69" t="n">
        <f aca="false">(1+race_food_consumption)*TblPop[[#This Row],[Total]]*food_per_person*(1+tech_1_10*TblTech[[#This Row],[1-10]]+tech_7_5*TblTech[[#This Row],[7-5]])</f>
        <v>426.25</v>
      </c>
      <c r="AR9" s="69" t="n">
        <f aca="false">TblProd[[#This Row],[Lumber]]*lumber_rot * (1 + tech_2_1*TblTech[[#This Row],[2-1]] + tech_2_8*TblTech[[#This Row],[2-8]] + tech_5_2*TblTech[[#This Row],[5-2]])</f>
        <v>0</v>
      </c>
      <c r="AS9" s="69" t="n">
        <f aca="false">TblProd[[#This Row],[Mana]]*mana_drain * (1 + tech_2_1*TblTech[[#This Row],[2-1]] + tech_2_8*TblTech[[#This Row],[2-8]])</f>
        <v>-120.08</v>
      </c>
      <c r="AT9" s="146"/>
      <c r="AU9" s="69" t="n">
        <f aca="false">TblExplore[[#This Row],[Platinum (2)]]+TblConstr[[#This Row],[Total Plat Cost]]+TblMili[[#This Row],[Plat Cost]]+TblRezone[[#This Row],[Platinum cost]]+TblImps[[#This Row],[P1]]-TblProd[[#This Row],[Bank Plat]]</f>
        <v>19950</v>
      </c>
      <c r="AV9" s="69" t="n">
        <f aca="false">TblConstr[[#This Row],[Total Lum Cost]]+TblImps[[#This Row],[L1]]-TblProd[[#This Row],[Bank Lumber]] + Military!$CL$25*TblMili[[#This Row],[Sec. rec. Cost]]</f>
        <v>900</v>
      </c>
      <c r="AW9" s="69" t="n">
        <f aca="false">TblMagic[[#This Row],[Mana cost]] + Military!$CL$26*TblMili[[#This Row],[Sec. rec. Cost]]</f>
        <v>1250</v>
      </c>
      <c r="AX9" s="69" t="n">
        <f aca="false">Military!$CL$24*TblMili[[#This Row],[Sec. rec. Cost]]+TblImps[[#This Row],[O1]]-TblProd[[#This Row],[Bank Ore]]</f>
        <v>0</v>
      </c>
      <c r="AY9" s="69" t="n">
        <f aca="false">TblImps[[#This Row],[G1]]-TblProd[[#This Row],[Bank Gems]]</f>
        <v>0</v>
      </c>
      <c r="AZ9" s="132"/>
      <c r="BA9" s="33" t="n">
        <f aca="false">IF(TblProd[[#This Row],[Set Guard]]&lt;&gt;"",TblProd[[#This Row],[Set Guard]],OFFSET(TblProd[[#This Row],[Guard]],-1,0))</f>
        <v>0</v>
      </c>
      <c r="BB9" s="145"/>
      <c r="BC9" s="151" t="n">
        <f aca="false">TblProd[[#This Row],[Hour]]</f>
        <v>6</v>
      </c>
      <c r="BD9" s="152" t="n">
        <f aca="false">-TblProd[[#This Row],[Bank Lumber]] / 2 + -TblProd[[#This Row],[Bank Gems]] * 2 + -TblProd[[#This Row],[Bank Ore]] / 2</f>
        <v>450</v>
      </c>
      <c r="BE9" s="152" t="n">
        <v>-900</v>
      </c>
      <c r="BF9" s="152"/>
      <c r="BG9" s="152"/>
      <c r="BH9" s="153" t="n">
        <f aca="false">TblProd[[#This Row],[Time]]</f>
        <v>45429.9583333333</v>
      </c>
      <c r="BI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J9" s="69" t="n">
        <f aca="false">TblProd[[#This Row],[Platinum]]</f>
        <v>16683</v>
      </c>
      <c r="BK9" s="69" t="n">
        <f aca="false">TblProd[[#This Row],[Food]]</f>
        <v>24264</v>
      </c>
      <c r="BL9" s="69" t="n">
        <f aca="false">TblProd[[#This Row],[Lumber]]</f>
        <v>0</v>
      </c>
      <c r="BM9" s="69" t="n">
        <f aca="false">TblProd[[#This Row],[Mana]]</f>
        <v>-6004</v>
      </c>
      <c r="BN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c r="H10" s="69" t="e">
        <f aca="false">TblMili[[#This Row],[Networth (2)]]</f>
        <v>#VALUE!</v>
      </c>
      <c r="I10" s="69" t="n">
        <f aca="false">OFFSET(TblProd[[#This Row],[Platinum]],-1,0)+OFFSET(TblProd[[#This Row],[Plat/hr]],-1,0) - TblProd[[#This Row],[Expenses Platinum]] + IF(TblProd[[#This Row],[Plat Bonus]],TblPop[[#This Row],[Peasants]]*4) + SUM(TblConstr[[#This Row],[Dest Hom]:[Dest Doc]])*TblConstr[[#This Row],[CPA Platinum -DB]]*tech_3_3_2*TblTech[[#This Row],[3-3]]</f>
        <v>21502</v>
      </c>
      <c r="J10" s="69" t="n">
        <f aca="false">OFFSET(TblProd[[#This Row],[Food]],-1,0)+OFFSET(TblProd[[#This Row],[Food/hr]],-1,0)+ROUNDUP((TblConstr[[#This Row],[Farms]]*80+TblConstr[[#This Row],[Docks]]*35)*(1+OFFSET(TblProd[[#This Row],[Bonus Food/hr]],-1,0)),0)</f>
        <v>26535</v>
      </c>
      <c r="K10" s="69" t="n">
        <f aca="false">OFFSET(TblProd[[#This Row],[Lumber]],-1,0)+OFFSET(TblProd[[#This Row],[Lumber/hr]],-1,0) - TblProd[[#This Row],[Expenses Lumber]] + SUM(TblConstr[[#This Row],[Dest Hom]:[Dest Doc]])*TblConstr[[#This Row],[CPA Lumber -DB]]*tech_3_3_2*TblTech[[#This Row],[3-3]]</f>
        <v>100</v>
      </c>
      <c r="L10" s="69" t="n">
        <f aca="false">OFFSET(TblProd[[#This Row],[Mana]],-1,0)+OFFSET(TblProd[[#This Row],[Mana/hr]],-1,0)- TblProd[[#This Row],[Expenses Mana]]</f>
        <v>-7134</v>
      </c>
      <c r="M10" s="69" t="n">
        <f aca="false">OFFSET(TblProd[[#This Row],[Ore]],-1,0)+OFFSET(TblProd[[#This Row],[Ore/hr]],-1,0) -TblProd[[#This Row],[Expenses Ore]]</f>
        <v>0</v>
      </c>
      <c r="N10" s="69" t="n">
        <f aca="false">OFFSET(TblProd[[#This Row],[Gems]],-1,0)+OFFSET(TblProd[[#This Row],[Gems/hr]],-1,0) - TblProd[[#This Row],[Expenses Gems]]</f>
        <v>0</v>
      </c>
      <c r="O10" s="69" t="n">
        <f aca="false">OFFSET(TblProd[[#This Row],[Boats]],-1,0)+OFFSET(TblProd[[#This Row],[Boats/hr]],-1,0)</f>
        <v>0</v>
      </c>
      <c r="P10" s="69" t="n">
        <f aca="false">OFFSET(TblProd[[#This Row],[Prestige]],-1,0)</f>
        <v>250</v>
      </c>
      <c r="Q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0" s="69" t="n">
        <f aca="false">MAX(3750,_xlfn.CEILING.MATH(TblProd[[#This Row],[Land]]*2.5+OFFSET(TblTech[[#This Row],[Sum of tech]],-1,0)*150))</f>
        <v>3750</v>
      </c>
      <c r="S10" s="132"/>
      <c r="T10" s="69" t="n">
        <f aca="false">ROUNDDOWN(TblProd[[#This Row],[Raw Plat/hr]]*(1+TblProd[[#This Row],[Bonus Plat/hr]]),0)</f>
        <v>5297</v>
      </c>
      <c r="U10" s="69" t="n">
        <f aca="false">ROUND(TblProd[[#This Row],[Raw Food/hr]]*(1+TblProd[[#This Row],[Bonus Food/hr]])-TblProd[[#This Row],[Food decay]]-TblProd[[#This Row],[Food eaten]],0)</f>
        <v>2239</v>
      </c>
      <c r="V10" s="69" t="n">
        <f aca="false">ROUND(TblProd[[#This Row],[Raw Lumber/hr]]*(1+TblProd[[#This Row],[Bonus Lumber/hr]])-TblProd[[#This Row],[Lumber rot]],0)</f>
        <v>999</v>
      </c>
      <c r="W10" s="69" t="n">
        <f aca="false">ROUND(TblProd[[#This Row],[Raw Mana/hr]]*(1+TblProd[[#This Row],[Bonus Mana/hr]])-TblProd[[#This Row],[Mana drain]],0)</f>
        <v>143</v>
      </c>
      <c r="X10" s="69" t="n">
        <f aca="false">ROUNDDOWN(TblProd[[#This Row],[Raw Ore/hr]]*(1+TblProd[[#This Row],[Bonux Ore/hr]]),0)</f>
        <v>0</v>
      </c>
      <c r="Y10" s="69" t="n">
        <f aca="false">ROUNDDOWN(TblProd[[#This Row],[Raw Gems/hr]]*(1+TblProd[[#This Row],[Bonus Gems/hr]]),0)</f>
        <v>0</v>
      </c>
      <c r="Z10" s="148" t="n">
        <f aca="false">OFFSET(TblConstr[[#This Row],[Tot Doc]],1,0)*dock_boats_hr * (1 + tech_4_1*TblTech[[#This Row],[4-1]])</f>
        <v>0</v>
      </c>
      <c r="AA10" s="146"/>
      <c r="AB10" s="69" t="n">
        <f aca="false">TblPop[[#This Row],[Peasants]]*tax*TblPop[[#This Row],[Employment]] + (Construction!AZ11+Construction!BX11)*(alch_plat+(Magic!AM10&gt;0)*alchemist_flame_bonus)</f>
        <v>5297.4</v>
      </c>
      <c r="AC10" s="69" t="n">
        <f aca="false">TblConstr[[#This Row],[Tot Farm]]*farm_food + TblConstr[[#This Row],[Tot Doc]]*dock_food</f>
        <v>2400</v>
      </c>
      <c r="AD10" s="69" t="n">
        <f aca="false">TblConstr[[#This Row],[Tot Ly]]*ly_lumber + TblConstr[[#This Row],[Tot Hav]]*fh_lumber</f>
        <v>1000</v>
      </c>
      <c r="AE10" s="69" t="n">
        <f aca="false">OFFSET(TblConstr[[#This Row],[Tot Tow]],1,0)*(tower_mana + tech_4_5*TblTech[[#This Row],[4-5]]) + OFFSET(TblConstr[[#This Row],[Tot WG]],1,0)*wg_mana_prod</f>
        <v>0</v>
      </c>
      <c r="AF10" s="69" t="n">
        <f aca="false">OFFSET(TblConstr[[#This Row],[Tot OM]],1,0)*om_ore+IF(race="Dwarf",ROUNDDOWN(TblMili[[#This Row],[Unit 2]]*0.4,0),)</f>
        <v>0</v>
      </c>
      <c r="AG10" s="69" t="n">
        <f aca="false">OFFSET(TblConstr[[#This Row],[Tot DM]],1,0)*dm_gems</f>
        <v>0</v>
      </c>
      <c r="AH10" s="132"/>
      <c r="AI10" s="149" t="n">
        <f aca="false">MIN(race_platinum_bonus + IF(TblMagic[[#This Row],[Active Alch Frost]]&gt;0,alch_frost_bonus,IF(Magic!AD10&gt;0,midas_bonus)) + TblImps[[#This Row],[Science]] - TblProd[[#This Row],[Guard]]*(0.02 + tech_5_7*TblTech[[#This Row],[5-7]]) + tech_1_5*TblTech[[#This Row],[1-5]] + tech_4_4*TblTech[[#This Row],[4-4]], 0.5)</f>
        <v>0</v>
      </c>
      <c r="AJ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0" s="149" t="n">
        <f aca="false">race_lumber_bonus+ IF(TblMagic[[#This Row],[Active Gaia''s Blessing]]&gt;0,gaias_blessing_lumber)+ tech_1_3*TblTech[[#This Row],[1-3]] + tech_1_6*TblTech[[#This Row],[1-6]] + tech_3_3*TblTech[[#This Row],[3-3]]</f>
        <v>0</v>
      </c>
      <c r="AL10" s="149" t="n">
        <f aca="false">race_mana_bonus+ 0 + TblImps[[#This Row],[Towers]] + tech_1_2*TblTech[[#This Row],[1-2]] + tech_3_4*TblTech[[#This Row],[3-4]]</f>
        <v>0</v>
      </c>
      <c r="AM10" s="149" t="n">
        <f aca="false">race_ore_bonus + IF(TblMagic[[#This Row],[Active Miner''s Sight]]&gt;0,miners_sight_bonus,IF(TblMagic[[#This Row],[Active Mining Strength]]&gt;0,mining_strength_bonus)) +  tech_1_6*TblTech[[#This Row],[1-6]]</f>
        <v>0.2</v>
      </c>
      <c r="AN10" s="149" t="n">
        <f aca="false">race_gem_bonus+ tech_3_2*TblTech[[#This Row],[3-2]] + tech_4_3*TblTech[[#This Row],[4-3]] + tech_6_2*TblTech[[#This Row],[6-2]]</f>
        <v>0.15</v>
      </c>
      <c r="AO10" s="132"/>
      <c r="AP10" s="69" t="n">
        <f aca="false">TblProd[[#This Row],[Food]]*food_decay * (1 + tech_2_1*TblTech[[#This Row],[2-1]] + tech_2_8*TblTech[[#This Row],[2-8]])</f>
        <v>265.35</v>
      </c>
      <c r="AQ10" s="69" t="n">
        <f aca="false">(1+race_food_consumption)*TblPop[[#This Row],[Total]]*food_per_person*(1+tech_1_10*TblTech[[#This Row],[1-10]]+tech_7_5*TblTech[[#This Row],[7-5]])</f>
        <v>436</v>
      </c>
      <c r="AR10" s="69" t="n">
        <f aca="false">TblProd[[#This Row],[Lumber]]*lumber_rot * (1 + tech_2_1*TblTech[[#This Row],[2-1]] + tech_2_8*TblTech[[#This Row],[2-8]] + tech_5_2*TblTech[[#This Row],[5-2]])</f>
        <v>1</v>
      </c>
      <c r="AS10" s="69" t="n">
        <f aca="false">TblProd[[#This Row],[Mana]]*mana_drain * (1 + tech_2_1*TblTech[[#This Row],[2-1]] + tech_2_8*TblTech[[#This Row],[2-8]])</f>
        <v>-142.68</v>
      </c>
      <c r="AT10" s="146"/>
      <c r="AU10" s="69" t="n">
        <f aca="false">TblExplore[[#This Row],[Platinum (2)]]+TblConstr[[#This Row],[Total Plat Cost]]+TblMili[[#This Row],[Plat Cost]]+TblRezone[[#This Row],[Platinum cost]]+TblImps[[#This Row],[P1]]-TblProd[[#This Row],[Bank Plat]]</f>
        <v>400</v>
      </c>
      <c r="AV10" s="69" t="n">
        <f aca="false">TblConstr[[#This Row],[Total Lum Cost]]+TblImps[[#This Row],[L1]]-TblProd[[#This Row],[Bank Lumber]] + Military!$CL$25*TblMili[[#This Row],[Sec. rec. Cost]]</f>
        <v>900</v>
      </c>
      <c r="AW10" s="69" t="n">
        <f aca="false">TblMagic[[#This Row],[Mana cost]] + Military!$CL$26*TblMili[[#This Row],[Sec. rec. Cost]]</f>
        <v>1250</v>
      </c>
      <c r="AX10" s="69" t="n">
        <f aca="false">Military!$CL$24*TblMili[[#This Row],[Sec. rec. Cost]]+TblImps[[#This Row],[O1]]-TblProd[[#This Row],[Bank Ore]]</f>
        <v>0</v>
      </c>
      <c r="AY10" s="69" t="n">
        <f aca="false">TblImps[[#This Row],[G1]]-TblProd[[#This Row],[Bank Gems]]</f>
        <v>0</v>
      </c>
      <c r="AZ10" s="132"/>
      <c r="BA10" s="33" t="n">
        <f aca="false">IF(TblProd[[#This Row],[Set Guard]]&lt;&gt;"",TblProd[[#This Row],[Set Guard]],OFFSET(TblProd[[#This Row],[Guard]],-1,0))</f>
        <v>0</v>
      </c>
      <c r="BB10" s="145"/>
      <c r="BC10" s="151" t="n">
        <f aca="false">TblProd[[#This Row],[Hour]]</f>
        <v>7</v>
      </c>
      <c r="BD10" s="152" t="n">
        <f aca="false">-TblProd[[#This Row],[Bank Lumber]] / 2 + -TblProd[[#This Row],[Bank Gems]] * 2 + -TblProd[[#This Row],[Bank Ore]] / 2</f>
        <v>450</v>
      </c>
      <c r="BE10" s="152" t="n">
        <v>-900</v>
      </c>
      <c r="BF10" s="152"/>
      <c r="BG10" s="152"/>
      <c r="BH10" s="153" t="n">
        <f aca="false">TblProd[[#This Row],[Time]]</f>
        <v>45430</v>
      </c>
      <c r="BI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J10" s="69" t="n">
        <f aca="false">TblProd[[#This Row],[Platinum]]</f>
        <v>21502</v>
      </c>
      <c r="BK10" s="69" t="n">
        <f aca="false">TblProd[[#This Row],[Food]]</f>
        <v>26535</v>
      </c>
      <c r="BL10" s="69" t="n">
        <f aca="false">TblProd[[#This Row],[Lumber]]</f>
        <v>100</v>
      </c>
      <c r="BM10" s="69" t="n">
        <f aca="false">TblProd[[#This Row],[Mana]]</f>
        <v>-7134</v>
      </c>
      <c r="BN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c r="H11" s="69" t="e">
        <f aca="false">TblMili[[#This Row],[Networth (2)]]</f>
        <v>#VALUE!</v>
      </c>
      <c r="I11" s="69" t="n">
        <f aca="false">OFFSET(TblProd[[#This Row],[Platinum]],-1,0)+OFFSET(TblProd[[#This Row],[Plat/hr]],-1,0) - TblProd[[#This Row],[Expenses Platinum]] + IF(TblProd[[#This Row],[Plat Bonus]],TblPop[[#This Row],[Peasants]]*4) + SUM(TblConstr[[#This Row],[Dest Hom]:[Dest Doc]])*TblConstr[[#This Row],[CPA Platinum -DB]]*tech_3_3_2*TblTech[[#This Row],[3-3]]</f>
        <v>26399</v>
      </c>
      <c r="J11" s="69" t="n">
        <f aca="false">OFFSET(TblProd[[#This Row],[Food]],-1,0)+OFFSET(TblProd[[#This Row],[Food/hr]],-1,0)+ROUNDUP((TblConstr[[#This Row],[Farms]]*80+TblConstr[[#This Row],[Docks]]*35)*(1+OFFSET(TblProd[[#This Row],[Bonus Food/hr]],-1,0)),0)</f>
        <v>28774</v>
      </c>
      <c r="K11" s="69" t="n">
        <f aca="false">OFFSET(TblProd[[#This Row],[Lumber]],-1,0)+OFFSET(TblProd[[#This Row],[Lumber/hr]],-1,0) - TblProd[[#This Row],[Expenses Lumber]] + SUM(TblConstr[[#This Row],[Dest Hom]:[Dest Doc]])*TblConstr[[#This Row],[CPA Lumber -DB]]*tech_3_3_2*TblTech[[#This Row],[3-3]]</f>
        <v>199</v>
      </c>
      <c r="L11" s="69" t="n">
        <f aca="false">OFFSET(TblProd[[#This Row],[Mana]],-1,0)+OFFSET(TblProd[[#This Row],[Mana/hr]],-1,0)- TblProd[[#This Row],[Expenses Mana]]</f>
        <v>-8241</v>
      </c>
      <c r="M11" s="69" t="n">
        <f aca="false">OFFSET(TblProd[[#This Row],[Ore]],-1,0)+OFFSET(TblProd[[#This Row],[Ore/hr]],-1,0) -TblProd[[#This Row],[Expenses Ore]]</f>
        <v>0</v>
      </c>
      <c r="N11" s="69" t="n">
        <f aca="false">OFFSET(TblProd[[#This Row],[Gems]],-1,0)+OFFSET(TblProd[[#This Row],[Gems/hr]],-1,0) - TblProd[[#This Row],[Expenses Gems]]</f>
        <v>0</v>
      </c>
      <c r="O11" s="69" t="n">
        <f aca="false">OFFSET(TblProd[[#This Row],[Boats]],-1,0)+OFFSET(TblProd[[#This Row],[Boats/hr]],-1,0)</f>
        <v>0</v>
      </c>
      <c r="P11" s="69" t="n">
        <f aca="false">OFFSET(TblProd[[#This Row],[Prestige]],-1,0)</f>
        <v>250</v>
      </c>
      <c r="Q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1" s="69" t="n">
        <f aca="false">MAX(3750,_xlfn.CEILING.MATH(TblProd[[#This Row],[Land]]*2.5+OFFSET(TblTech[[#This Row],[Sum of tech]],-1,0)*150))</f>
        <v>3750</v>
      </c>
      <c r="S11" s="132"/>
      <c r="T11" s="69" t="n">
        <f aca="false">ROUNDDOWN(TblProd[[#This Row],[Raw Plat/hr]]*(1+TblProd[[#This Row],[Bonus Plat/hr]]),0)</f>
        <v>6178</v>
      </c>
      <c r="U11" s="69" t="n">
        <f aca="false">ROUND(TblProd[[#This Row],[Raw Food/hr]]*(1+TblProd[[#This Row],[Bonus Food/hr]])-TblProd[[#This Row],[Food decay]]-TblProd[[#This Row],[Food eaten]],0)</f>
        <v>2207</v>
      </c>
      <c r="V11" s="69" t="n">
        <f aca="false">ROUND(TblProd[[#This Row],[Raw Lumber/hr]]*(1+TblProd[[#This Row],[Bonus Lumber/hr]])-TblProd[[#This Row],[Lumber rot]],0)</f>
        <v>998</v>
      </c>
      <c r="W11" s="69" t="n">
        <f aca="false">ROUND(TblProd[[#This Row],[Raw Mana/hr]]*(1+TblProd[[#This Row],[Bonus Mana/hr]])-TblProd[[#This Row],[Mana drain]],0)</f>
        <v>165</v>
      </c>
      <c r="X11" s="69" t="n">
        <f aca="false">ROUNDDOWN(TblProd[[#This Row],[Raw Ore/hr]]*(1+TblProd[[#This Row],[Bonux Ore/hr]]),0)</f>
        <v>0</v>
      </c>
      <c r="Y11" s="69" t="n">
        <f aca="false">ROUNDDOWN(TblProd[[#This Row],[Raw Gems/hr]]*(1+TblProd[[#This Row],[Bonus Gems/hr]]),0)</f>
        <v>0</v>
      </c>
      <c r="Z11" s="148" t="n">
        <f aca="false">OFFSET(TblConstr[[#This Row],[Tot Doc]],1,0)*dock_boats_hr * (1 + tech_4_1*TblTech[[#This Row],[4-1]])</f>
        <v>0</v>
      </c>
      <c r="AA11" s="146"/>
      <c r="AB11" s="69" t="n">
        <f aca="false">TblPop[[#This Row],[Peasants]]*tax*TblPop[[#This Row],[Employment]] + (Construction!AZ12+Construction!BX12)*(alch_plat+(Magic!AM11&gt;0)*alchemist_flame_bonus)</f>
        <v>5373</v>
      </c>
      <c r="AC11" s="69" t="n">
        <f aca="false">TblConstr[[#This Row],[Tot Farm]]*farm_food + TblConstr[[#This Row],[Tot Doc]]*dock_food</f>
        <v>2400</v>
      </c>
      <c r="AD11" s="69" t="n">
        <f aca="false">TblConstr[[#This Row],[Tot Ly]]*ly_lumber + TblConstr[[#This Row],[Tot Hav]]*fh_lumber</f>
        <v>1000</v>
      </c>
      <c r="AE11" s="69" t="n">
        <f aca="false">OFFSET(TblConstr[[#This Row],[Tot Tow]],1,0)*(tower_mana + tech_4_5*TblTech[[#This Row],[4-5]]) + OFFSET(TblConstr[[#This Row],[Tot WG]],1,0)*wg_mana_prod</f>
        <v>0</v>
      </c>
      <c r="AF11" s="69" t="n">
        <f aca="false">OFFSET(TblConstr[[#This Row],[Tot OM]],1,0)*om_ore+IF(race="Dwarf",ROUNDDOWN(TblMili[[#This Row],[Unit 2]]*0.4,0),)</f>
        <v>0</v>
      </c>
      <c r="AG11" s="69" t="n">
        <f aca="false">OFFSET(TblConstr[[#This Row],[Tot DM]],1,0)*dm_gems</f>
        <v>0</v>
      </c>
      <c r="AH11" s="132"/>
      <c r="AI11" s="149" t="n">
        <f aca="false">MIN(race_platinum_bonus + IF(TblMagic[[#This Row],[Active Alch Frost]]&gt;0,alch_frost_bonus,IF(Magic!AD11&gt;0,midas_bonus)) + TblImps[[#This Row],[Science]] - TblProd[[#This Row],[Guard]]*(0.02 + tech_5_7*TblTech[[#This Row],[5-7]]) + tech_1_5*TblTech[[#This Row],[1-5]] + tech_4_4*TblTech[[#This Row],[4-4]], 0.5)</f>
        <v>0.15</v>
      </c>
      <c r="AJ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1" s="149" t="n">
        <f aca="false">race_lumber_bonus+ IF(TblMagic[[#This Row],[Active Gaia''s Blessing]]&gt;0,gaias_blessing_lumber)+ tech_1_3*TblTech[[#This Row],[1-3]] + tech_1_6*TblTech[[#This Row],[1-6]] + tech_3_3*TblTech[[#This Row],[3-3]]</f>
        <v>0</v>
      </c>
      <c r="AL11" s="149" t="n">
        <f aca="false">race_mana_bonus+ 0 + TblImps[[#This Row],[Towers]] + tech_1_2*TblTech[[#This Row],[1-2]] + tech_3_4*TblTech[[#This Row],[3-4]]</f>
        <v>0</v>
      </c>
      <c r="AM11" s="149" t="n">
        <f aca="false">race_ore_bonus + IF(TblMagic[[#This Row],[Active Miner''s Sight]]&gt;0,miners_sight_bonus,IF(TblMagic[[#This Row],[Active Mining Strength]]&gt;0,mining_strength_bonus)) +  tech_1_6*TblTech[[#This Row],[1-6]]</f>
        <v>0.2</v>
      </c>
      <c r="AN11" s="149" t="n">
        <f aca="false">race_gem_bonus+ tech_3_2*TblTech[[#This Row],[3-2]] + tech_4_3*TblTech[[#This Row],[4-3]] + tech_6_2*TblTech[[#This Row],[6-2]]</f>
        <v>0.15</v>
      </c>
      <c r="AO11" s="132"/>
      <c r="AP11" s="69" t="n">
        <f aca="false">TblProd[[#This Row],[Food]]*food_decay * (1 + tech_2_1*TblTech[[#This Row],[2-1]] + tech_2_8*TblTech[[#This Row],[2-8]])</f>
        <v>287.74</v>
      </c>
      <c r="AQ11" s="69" t="n">
        <f aca="false">(1+race_food_consumption)*TblPop[[#This Row],[Total]]*food_per_person*(1+tech_1_10*TblTech[[#This Row],[1-10]]+tech_7_5*TblTech[[#This Row],[7-5]])</f>
        <v>445.75</v>
      </c>
      <c r="AR11" s="69" t="n">
        <f aca="false">TblProd[[#This Row],[Lumber]]*lumber_rot * (1 + tech_2_1*TblTech[[#This Row],[2-1]] + tech_2_8*TblTech[[#This Row],[2-8]] + tech_5_2*TblTech[[#This Row],[5-2]])</f>
        <v>1.99</v>
      </c>
      <c r="AS11" s="69" t="n">
        <f aca="false">TblProd[[#This Row],[Mana]]*mana_drain * (1 + tech_2_1*TblTech[[#This Row],[2-1]] + tech_2_8*TblTech[[#This Row],[2-8]])</f>
        <v>-164.82</v>
      </c>
      <c r="AT11" s="146"/>
      <c r="AU11" s="69" t="n">
        <f aca="false">TblExplore[[#This Row],[Platinum (2)]]+TblConstr[[#This Row],[Total Plat Cost]]+TblMili[[#This Row],[Plat Cost]]+TblRezone[[#This Row],[Platinum cost]]+TblImps[[#This Row],[P1]]-TblProd[[#This Row],[Bank Plat]]</f>
        <v>400</v>
      </c>
      <c r="AV11" s="69" t="n">
        <f aca="false">TblConstr[[#This Row],[Total Lum Cost]]+TblImps[[#This Row],[L1]]-TblProd[[#This Row],[Bank Lumber]] + Military!$CL$25*TblMili[[#This Row],[Sec. rec. Cost]]</f>
        <v>900</v>
      </c>
      <c r="AW11" s="69" t="n">
        <f aca="false">TblMagic[[#This Row],[Mana cost]] + Military!$CL$26*TblMili[[#This Row],[Sec. rec. Cost]]</f>
        <v>1250</v>
      </c>
      <c r="AX11" s="69" t="n">
        <f aca="false">Military!$CL$24*TblMili[[#This Row],[Sec. rec. Cost]]+TblImps[[#This Row],[O1]]-TblProd[[#This Row],[Bank Ore]]</f>
        <v>0</v>
      </c>
      <c r="AY11" s="69" t="n">
        <f aca="false">TblImps[[#This Row],[G1]]-TblProd[[#This Row],[Bank Gems]]</f>
        <v>0</v>
      </c>
      <c r="AZ11" s="132"/>
      <c r="BA11" s="33" t="n">
        <f aca="false">IF(TblProd[[#This Row],[Set Guard]]&lt;&gt;"",TblProd[[#This Row],[Set Guard]],OFFSET(TblProd[[#This Row],[Guard]],-1,0))</f>
        <v>0</v>
      </c>
      <c r="BB11" s="145"/>
      <c r="BC11" s="151" t="n">
        <f aca="false">TblProd[[#This Row],[Hour]]</f>
        <v>8</v>
      </c>
      <c r="BD11" s="152" t="n">
        <f aca="false">-TblProd[[#This Row],[Bank Lumber]] / 2 + -TblProd[[#This Row],[Bank Gems]] * 2 + -TblProd[[#This Row],[Bank Ore]] / 2</f>
        <v>450</v>
      </c>
      <c r="BE11" s="152" t="n">
        <v>-900</v>
      </c>
      <c r="BF11" s="152"/>
      <c r="BG11" s="152"/>
      <c r="BH11" s="153" t="n">
        <f aca="false">TblProd[[#This Row],[Time]]</f>
        <v>45430.0416666667</v>
      </c>
      <c r="BI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J11" s="69" t="n">
        <f aca="false">TblProd[[#This Row],[Platinum]]</f>
        <v>26399</v>
      </c>
      <c r="BK11" s="69" t="n">
        <f aca="false">TblProd[[#This Row],[Food]]</f>
        <v>28774</v>
      </c>
      <c r="BL11" s="69" t="n">
        <f aca="false">TblProd[[#This Row],[Lumber]]</f>
        <v>199</v>
      </c>
      <c r="BM11" s="69" t="n">
        <f aca="false">TblProd[[#This Row],[Mana]]</f>
        <v>-8241</v>
      </c>
      <c r="BN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c r="H12" s="69" t="e">
        <f aca="false">TblMili[[#This Row],[Networth (2)]]</f>
        <v>#VALUE!</v>
      </c>
      <c r="I12" s="69" t="n">
        <f aca="false">OFFSET(TblProd[[#This Row],[Platinum]],-1,0)+OFFSET(TblProd[[#This Row],[Plat/hr]],-1,0) - TblProd[[#This Row],[Expenses Platinum]] + IF(TblProd[[#This Row],[Plat Bonus]],TblPop[[#This Row],[Peasants]]*4) + SUM(TblConstr[[#This Row],[Dest Hom]:[Dest Doc]])*TblConstr[[#This Row],[CPA Platinum -DB]]*tech_3_3_2*TblTech[[#This Row],[3-3]]</f>
        <v>32177</v>
      </c>
      <c r="J12" s="69" t="n">
        <f aca="false">OFFSET(TblProd[[#This Row],[Food]],-1,0)+OFFSET(TblProd[[#This Row],[Food/hr]],-1,0)+ROUNDUP((TblConstr[[#This Row],[Farms]]*80+TblConstr[[#This Row],[Docks]]*35)*(1+OFFSET(TblProd[[#This Row],[Bonus Food/hr]],-1,0)),0)</f>
        <v>30981</v>
      </c>
      <c r="K12" s="69" t="n">
        <f aca="false">OFFSET(TblProd[[#This Row],[Lumber]],-1,0)+OFFSET(TblProd[[#This Row],[Lumber/hr]],-1,0) - TblProd[[#This Row],[Expenses Lumber]] + SUM(TblConstr[[#This Row],[Dest Hom]:[Dest Doc]])*TblConstr[[#This Row],[CPA Lumber -DB]]*tech_3_3_2*TblTech[[#This Row],[3-3]]</f>
        <v>297</v>
      </c>
      <c r="L12" s="69" t="n">
        <f aca="false">OFFSET(TblProd[[#This Row],[Mana]],-1,0)+OFFSET(TblProd[[#This Row],[Mana/hr]],-1,0)- TblProd[[#This Row],[Expenses Mana]]</f>
        <v>-9326</v>
      </c>
      <c r="M12" s="69" t="n">
        <f aca="false">OFFSET(TblProd[[#This Row],[Ore]],-1,0)+OFFSET(TblProd[[#This Row],[Ore/hr]],-1,0) -TblProd[[#This Row],[Expenses Ore]]</f>
        <v>0</v>
      </c>
      <c r="N12" s="69" t="n">
        <f aca="false">OFFSET(TblProd[[#This Row],[Gems]],-1,0)+OFFSET(TblProd[[#This Row],[Gems/hr]],-1,0) - TblProd[[#This Row],[Expenses Gems]]</f>
        <v>0</v>
      </c>
      <c r="O12" s="69" t="n">
        <f aca="false">OFFSET(TblProd[[#This Row],[Boats]],-1,0)+OFFSET(TblProd[[#This Row],[Boats/hr]],-1,0)</f>
        <v>0</v>
      </c>
      <c r="P12" s="69" t="n">
        <f aca="false">OFFSET(TblProd[[#This Row],[Prestige]],-1,0)</f>
        <v>250</v>
      </c>
      <c r="Q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2" s="69" t="n">
        <f aca="false">MAX(3750,_xlfn.CEILING.MATH(TblProd[[#This Row],[Land]]*2.5+OFFSET(TblTech[[#This Row],[Sum of tech]],-1,0)*150))</f>
        <v>3750</v>
      </c>
      <c r="S12" s="132"/>
      <c r="T12" s="69" t="n">
        <f aca="false">ROUNDDOWN(TblProd[[#This Row],[Raw Plat/hr]]*(1+TblProd[[#This Row],[Bonus Plat/hr]]),0)</f>
        <v>6717</v>
      </c>
      <c r="U12" s="69" t="n">
        <f aca="false">ROUND(TblProd[[#This Row],[Raw Food/hr]]*(1+TblProd[[#This Row],[Bonus Food/hr]])-TblProd[[#This Row],[Food decay]]-TblProd[[#This Row],[Food eaten]],0)</f>
        <v>2174</v>
      </c>
      <c r="V12" s="69" t="n">
        <f aca="false">ROUND(TblProd[[#This Row],[Raw Lumber/hr]]*(1+TblProd[[#This Row],[Bonus Lumber/hr]])-TblProd[[#This Row],[Lumber rot]],0)</f>
        <v>997</v>
      </c>
      <c r="W12" s="69" t="n">
        <f aca="false">ROUND(TblProd[[#This Row],[Raw Mana/hr]]*(1+TblProd[[#This Row],[Bonus Mana/hr]])-TblProd[[#This Row],[Mana drain]],0)</f>
        <v>187</v>
      </c>
      <c r="X12" s="69" t="n">
        <f aca="false">ROUNDDOWN(TblProd[[#This Row],[Raw Ore/hr]]*(1+TblProd[[#This Row],[Bonux Ore/hr]]),0)</f>
        <v>0</v>
      </c>
      <c r="Y12" s="69" t="n">
        <f aca="false">ROUNDDOWN(TblProd[[#This Row],[Raw Gems/hr]]*(1+TblProd[[#This Row],[Bonus Gems/hr]]),0)</f>
        <v>0</v>
      </c>
      <c r="Z12" s="148" t="n">
        <f aca="false">OFFSET(TblConstr[[#This Row],[Tot Doc]],1,0)*dock_boats_hr * (1 + tech_4_1*TblTech[[#This Row],[4-1]])</f>
        <v>0</v>
      </c>
      <c r="AA12" s="146"/>
      <c r="AB12" s="69" t="n">
        <f aca="false">TblPop[[#This Row],[Peasants]]*tax*TblPop[[#This Row],[Employment]] + (Construction!AZ13+Construction!BX13)*(alch_plat+(Magic!AM12&gt;0)*alchemist_flame_bonus)</f>
        <v>5841.3</v>
      </c>
      <c r="AC12" s="69" t="n">
        <f aca="false">TblConstr[[#This Row],[Tot Farm]]*farm_food + TblConstr[[#This Row],[Tot Doc]]*dock_food</f>
        <v>2400</v>
      </c>
      <c r="AD12" s="69" t="n">
        <f aca="false">TblConstr[[#This Row],[Tot Ly]]*ly_lumber + TblConstr[[#This Row],[Tot Hav]]*fh_lumber</f>
        <v>1000</v>
      </c>
      <c r="AE12" s="69" t="n">
        <f aca="false">OFFSET(TblConstr[[#This Row],[Tot Tow]],1,0)*(tower_mana + tech_4_5*TblTech[[#This Row],[4-5]]) + OFFSET(TblConstr[[#This Row],[Tot WG]],1,0)*wg_mana_prod</f>
        <v>0</v>
      </c>
      <c r="AF12" s="69" t="n">
        <f aca="false">OFFSET(TblConstr[[#This Row],[Tot OM]],1,0)*om_ore+IF(race="Dwarf",ROUNDDOWN(TblMili[[#This Row],[Unit 2]]*0.4,0),)</f>
        <v>0</v>
      </c>
      <c r="AG12" s="69" t="n">
        <f aca="false">OFFSET(TblConstr[[#This Row],[Tot DM]],1,0)*dm_gems</f>
        <v>0</v>
      </c>
      <c r="AH12" s="132"/>
      <c r="AI12" s="149" t="n">
        <f aca="false">MIN(race_platinum_bonus + IF(TblMagic[[#This Row],[Active Alch Frost]]&gt;0,alch_frost_bonus,IF(Magic!AD12&gt;0,midas_bonus)) + TblImps[[#This Row],[Science]] - TblProd[[#This Row],[Guard]]*(0.02 + tech_5_7*TblTech[[#This Row],[5-7]]) + tech_1_5*TblTech[[#This Row],[1-5]] + tech_4_4*TblTech[[#This Row],[4-4]], 0.5)</f>
        <v>0.15</v>
      </c>
      <c r="AJ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2" s="149" t="n">
        <f aca="false">race_lumber_bonus+ IF(TblMagic[[#This Row],[Active Gaia''s Blessing]]&gt;0,gaias_blessing_lumber)+ tech_1_3*TblTech[[#This Row],[1-3]] + tech_1_6*TblTech[[#This Row],[1-6]] + tech_3_3*TblTech[[#This Row],[3-3]]</f>
        <v>0</v>
      </c>
      <c r="AL12" s="149" t="n">
        <f aca="false">race_mana_bonus+ 0 + TblImps[[#This Row],[Towers]] + tech_1_2*TblTech[[#This Row],[1-2]] + tech_3_4*TblTech[[#This Row],[3-4]]</f>
        <v>0</v>
      </c>
      <c r="AM12" s="149" t="n">
        <f aca="false">race_ore_bonus + IF(TblMagic[[#This Row],[Active Miner''s Sight]]&gt;0,miners_sight_bonus,IF(TblMagic[[#This Row],[Active Mining Strength]]&gt;0,mining_strength_bonus)) +  tech_1_6*TblTech[[#This Row],[1-6]]</f>
        <v>0.2</v>
      </c>
      <c r="AN12" s="149" t="n">
        <f aca="false">race_gem_bonus+ tech_3_2*TblTech[[#This Row],[3-2]] + tech_4_3*TblTech[[#This Row],[4-3]] + tech_6_2*TblTech[[#This Row],[6-2]]</f>
        <v>0.15</v>
      </c>
      <c r="AO12" s="132"/>
      <c r="AP12" s="69" t="n">
        <f aca="false">TblProd[[#This Row],[Food]]*food_decay * (1 + tech_2_1*TblTech[[#This Row],[2-1]] + tech_2_8*TblTech[[#This Row],[2-8]])</f>
        <v>309.81</v>
      </c>
      <c r="AQ12" s="69" t="n">
        <f aca="false">(1+race_food_consumption)*TblPop[[#This Row],[Total]]*food_per_person*(1+tech_1_10*TblTech[[#This Row],[1-10]]+tech_7_5*TblTech[[#This Row],[7-5]])</f>
        <v>455.75</v>
      </c>
      <c r="AR12" s="69" t="n">
        <f aca="false">TblProd[[#This Row],[Lumber]]*lumber_rot * (1 + tech_2_1*TblTech[[#This Row],[2-1]] + tech_2_8*TblTech[[#This Row],[2-8]] + tech_5_2*TblTech[[#This Row],[5-2]])</f>
        <v>2.97</v>
      </c>
      <c r="AS12" s="69" t="n">
        <f aca="false">TblProd[[#This Row],[Mana]]*mana_drain * (1 + tech_2_1*TblTech[[#This Row],[2-1]] + tech_2_8*TblTech[[#This Row],[2-8]])</f>
        <v>-186.52</v>
      </c>
      <c r="AT12" s="146"/>
      <c r="AU12" s="69" t="n">
        <f aca="false">TblExplore[[#This Row],[Platinum (2)]]+TblConstr[[#This Row],[Total Plat Cost]]+TblMili[[#This Row],[Plat Cost]]+TblRezone[[#This Row],[Platinum cost]]+TblImps[[#This Row],[P1]]-TblProd[[#This Row],[Bank Plat]]</f>
        <v>400</v>
      </c>
      <c r="AV12" s="69" t="n">
        <f aca="false">TblConstr[[#This Row],[Total Lum Cost]]+TblImps[[#This Row],[L1]]-TblProd[[#This Row],[Bank Lumber]] + Military!$CL$25*TblMili[[#This Row],[Sec. rec. Cost]]</f>
        <v>900</v>
      </c>
      <c r="AW12" s="69" t="n">
        <f aca="false">TblMagic[[#This Row],[Mana cost]] + Military!$CL$26*TblMili[[#This Row],[Sec. rec. Cost]]</f>
        <v>1250</v>
      </c>
      <c r="AX12" s="69" t="n">
        <f aca="false">Military!$CL$24*TblMili[[#This Row],[Sec. rec. Cost]]+TblImps[[#This Row],[O1]]-TblProd[[#This Row],[Bank Ore]]</f>
        <v>0</v>
      </c>
      <c r="AY12" s="69" t="n">
        <f aca="false">TblImps[[#This Row],[G1]]-TblProd[[#This Row],[Bank Gems]]</f>
        <v>0</v>
      </c>
      <c r="AZ12" s="132"/>
      <c r="BA12" s="33" t="n">
        <f aca="false">IF(TblProd[[#This Row],[Set Guard]]&lt;&gt;"",TblProd[[#This Row],[Set Guard]],OFFSET(TblProd[[#This Row],[Guard]],-1,0))</f>
        <v>0</v>
      </c>
      <c r="BB12" s="145"/>
      <c r="BC12" s="151" t="n">
        <f aca="false">TblProd[[#This Row],[Hour]]</f>
        <v>9</v>
      </c>
      <c r="BD12" s="152" t="n">
        <f aca="false">-TblProd[[#This Row],[Bank Lumber]] / 2 + -TblProd[[#This Row],[Bank Gems]] * 2 + -TblProd[[#This Row],[Bank Ore]] / 2</f>
        <v>450</v>
      </c>
      <c r="BE12" s="152" t="n">
        <v>-900</v>
      </c>
      <c r="BF12" s="152"/>
      <c r="BG12" s="152"/>
      <c r="BH12" s="153" t="n">
        <f aca="false">TblProd[[#This Row],[Time]]</f>
        <v>45430.0833333333</v>
      </c>
      <c r="BI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J12" s="69" t="n">
        <f aca="false">TblProd[[#This Row],[Platinum]]</f>
        <v>32177</v>
      </c>
      <c r="BK12" s="69" t="n">
        <f aca="false">TblProd[[#This Row],[Food]]</f>
        <v>30981</v>
      </c>
      <c r="BL12" s="69" t="n">
        <f aca="false">TblProd[[#This Row],[Lumber]]</f>
        <v>297</v>
      </c>
      <c r="BM12" s="69" t="n">
        <f aca="false">TblProd[[#This Row],[Mana]]</f>
        <v>-9326</v>
      </c>
      <c r="BN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c r="H13" s="69" t="e">
        <f aca="false">TblMili[[#This Row],[Networth (2)]]</f>
        <v>#VALUE!</v>
      </c>
      <c r="I13" s="69" t="n">
        <f aca="false">OFFSET(TblProd[[#This Row],[Platinum]],-1,0)+OFFSET(TblProd[[#This Row],[Plat/hr]],-1,0) - TblProd[[#This Row],[Expenses Platinum]] + IF(TblProd[[#This Row],[Plat Bonus]],TblPop[[#This Row],[Peasants]]*4) + SUM(TblConstr[[#This Row],[Dest Hom]:[Dest Doc]])*TblConstr[[#This Row],[CPA Platinum -DB]]*tech_3_3_2*TblTech[[#This Row],[3-3]]</f>
        <v>38394</v>
      </c>
      <c r="J13" s="69" t="n">
        <f aca="false">OFFSET(TblProd[[#This Row],[Food]],-1,0)+OFFSET(TblProd[[#This Row],[Food/hr]],-1,0)+ROUNDUP((TblConstr[[#This Row],[Farms]]*80+TblConstr[[#This Row],[Docks]]*35)*(1+OFFSET(TblProd[[#This Row],[Bonus Food/hr]],-1,0)),0)</f>
        <v>33155</v>
      </c>
      <c r="K13" s="69" t="n">
        <f aca="false">OFFSET(TblProd[[#This Row],[Lumber]],-1,0)+OFFSET(TblProd[[#This Row],[Lumber/hr]],-1,0) - TblProd[[#This Row],[Expenses Lumber]] + SUM(TblConstr[[#This Row],[Dest Hom]:[Dest Doc]])*TblConstr[[#This Row],[CPA Lumber -DB]]*tech_3_3_2*TblTech[[#This Row],[3-3]]</f>
        <v>594</v>
      </c>
      <c r="L13" s="69" t="n">
        <f aca="false">OFFSET(TblProd[[#This Row],[Mana]],-1,0)+OFFSET(TblProd[[#This Row],[Mana/hr]],-1,0)- TblProd[[#This Row],[Expenses Mana]]</f>
        <v>-10389</v>
      </c>
      <c r="M13" s="69" t="n">
        <f aca="false">OFFSET(TblProd[[#This Row],[Ore]],-1,0)+OFFSET(TblProd[[#This Row],[Ore/hr]],-1,0) -TblProd[[#This Row],[Expenses Ore]]</f>
        <v>0</v>
      </c>
      <c r="N13" s="69" t="n">
        <f aca="false">OFFSET(TblProd[[#This Row],[Gems]],-1,0)+OFFSET(TblProd[[#This Row],[Gems/hr]],-1,0) - TblProd[[#This Row],[Expenses Gems]]</f>
        <v>0</v>
      </c>
      <c r="O13" s="69" t="n">
        <f aca="false">OFFSET(TblProd[[#This Row],[Boats]],-1,0)+OFFSET(TblProd[[#This Row],[Boats/hr]],-1,0)</f>
        <v>0</v>
      </c>
      <c r="P13" s="69" t="n">
        <f aca="false">OFFSET(TblProd[[#This Row],[Prestige]],-1,0)</f>
        <v>250</v>
      </c>
      <c r="Q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3" s="69" t="n">
        <f aca="false">MAX(3750,_xlfn.CEILING.MATH(TblProd[[#This Row],[Land]]*2.5+OFFSET(TblTech[[#This Row],[Sum of tech]],-1,0)*150))</f>
        <v>3750</v>
      </c>
      <c r="S13" s="132"/>
      <c r="T13" s="69" t="n">
        <f aca="false">ROUNDDOWN(TblProd[[#This Row],[Raw Plat/hr]]*(1+TblProd[[#This Row],[Bonus Plat/hr]]),0)</f>
        <v>6810</v>
      </c>
      <c r="U13" s="69" t="n">
        <f aca="false">ROUND(TblProd[[#This Row],[Raw Food/hr]]*(1+TblProd[[#This Row],[Bonus Food/hr]])-TblProd[[#This Row],[Food decay]]-TblProd[[#This Row],[Food eaten]],0)</f>
        <v>2142</v>
      </c>
      <c r="V13" s="69" t="n">
        <f aca="false">ROUND(TblProd[[#This Row],[Raw Lumber/hr]]*(1+TblProd[[#This Row],[Bonus Lumber/hr]])-TblProd[[#This Row],[Lumber rot]],0)</f>
        <v>994</v>
      </c>
      <c r="W13" s="69" t="n">
        <f aca="false">ROUND(TblProd[[#This Row],[Raw Mana/hr]]*(1+TblProd[[#This Row],[Bonus Mana/hr]])-TblProd[[#This Row],[Mana drain]],0)</f>
        <v>208</v>
      </c>
      <c r="X13" s="69" t="n">
        <f aca="false">ROUNDDOWN(TblProd[[#This Row],[Raw Ore/hr]]*(1+TblProd[[#This Row],[Bonux Ore/hr]]),0)</f>
        <v>0</v>
      </c>
      <c r="Y13" s="69" t="n">
        <f aca="false">ROUNDDOWN(TblProd[[#This Row],[Raw Gems/hr]]*(1+TblProd[[#This Row],[Bonus Gems/hr]]),0)</f>
        <v>0</v>
      </c>
      <c r="Z13" s="148" t="n">
        <f aca="false">OFFSET(TblConstr[[#This Row],[Tot Doc]],1,0)*dock_boats_hr * (1 + tech_4_1*TblTech[[#This Row],[4-1]])</f>
        <v>0</v>
      </c>
      <c r="AA13" s="146"/>
      <c r="AB13" s="69" t="n">
        <f aca="false">TblPop[[#This Row],[Peasants]]*tax*TblPop[[#This Row],[Employment]] + (Construction!AZ14+Construction!BX14)*(alch_plat+(Magic!AM13&gt;0)*alchemist_flame_bonus)</f>
        <v>5922.3</v>
      </c>
      <c r="AC13" s="69" t="n">
        <f aca="false">TblConstr[[#This Row],[Tot Farm]]*farm_food + TblConstr[[#This Row],[Tot Doc]]*dock_food</f>
        <v>2400</v>
      </c>
      <c r="AD13" s="69" t="n">
        <f aca="false">TblConstr[[#This Row],[Tot Ly]]*ly_lumber + TblConstr[[#This Row],[Tot Hav]]*fh_lumber</f>
        <v>1000</v>
      </c>
      <c r="AE13" s="69" t="n">
        <f aca="false">OFFSET(TblConstr[[#This Row],[Tot Tow]],1,0)*(tower_mana + tech_4_5*TblTech[[#This Row],[4-5]]) + OFFSET(TblConstr[[#This Row],[Tot WG]],1,0)*wg_mana_prod</f>
        <v>0</v>
      </c>
      <c r="AF13" s="69" t="n">
        <f aca="false">OFFSET(TblConstr[[#This Row],[Tot OM]],1,0)*om_ore+IF(race="Dwarf",ROUNDDOWN(TblMili[[#This Row],[Unit 2]]*0.4,0),)</f>
        <v>0</v>
      </c>
      <c r="AG13" s="69" t="n">
        <f aca="false">OFFSET(TblConstr[[#This Row],[Tot DM]],1,0)*dm_gems</f>
        <v>0</v>
      </c>
      <c r="AH13" s="132"/>
      <c r="AI13" s="149" t="n">
        <f aca="false">MIN(race_platinum_bonus + IF(TblMagic[[#This Row],[Active Alch Frost]]&gt;0,alch_frost_bonus,IF(Magic!AD13&gt;0,midas_bonus)) + TblImps[[#This Row],[Science]] - TblProd[[#This Row],[Guard]]*(0.02 + tech_5_7*TblTech[[#This Row],[5-7]]) + tech_1_5*TblTech[[#This Row],[1-5]] + tech_4_4*TblTech[[#This Row],[4-4]], 0.5)</f>
        <v>0.15</v>
      </c>
      <c r="AJ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3" s="149" t="n">
        <f aca="false">race_lumber_bonus+ IF(TblMagic[[#This Row],[Active Gaia''s Blessing]]&gt;0,gaias_blessing_lumber)+ tech_1_3*TblTech[[#This Row],[1-3]] + tech_1_6*TblTech[[#This Row],[1-6]] + tech_3_3*TblTech[[#This Row],[3-3]]</f>
        <v>0</v>
      </c>
      <c r="AL13" s="149" t="n">
        <f aca="false">race_mana_bonus+ 0 + TblImps[[#This Row],[Towers]] + tech_1_2*TblTech[[#This Row],[1-2]] + tech_3_4*TblTech[[#This Row],[3-4]]</f>
        <v>0</v>
      </c>
      <c r="AM13" s="149" t="n">
        <f aca="false">race_ore_bonus + IF(TblMagic[[#This Row],[Active Miner''s Sight]]&gt;0,miners_sight_bonus,IF(TblMagic[[#This Row],[Active Mining Strength]]&gt;0,mining_strength_bonus)) +  tech_1_6*TblTech[[#This Row],[1-6]]</f>
        <v>0.2</v>
      </c>
      <c r="AN13" s="149" t="n">
        <f aca="false">race_gem_bonus+ tech_3_2*TblTech[[#This Row],[3-2]] + tech_4_3*TblTech[[#This Row],[4-3]] + tech_6_2*TblTech[[#This Row],[6-2]]</f>
        <v>0.15</v>
      </c>
      <c r="AO13" s="132"/>
      <c r="AP13" s="69" t="n">
        <f aca="false">TblProd[[#This Row],[Food]]*food_decay * (1 + tech_2_1*TblTech[[#This Row],[2-1]] + tech_2_8*TblTech[[#This Row],[2-8]])</f>
        <v>331.55</v>
      </c>
      <c r="AQ13" s="69" t="n">
        <f aca="false">(1+race_food_consumption)*TblPop[[#This Row],[Total]]*food_per_person*(1+tech_1_10*TblTech[[#This Row],[1-10]]+tech_7_5*TblTech[[#This Row],[7-5]])</f>
        <v>466</v>
      </c>
      <c r="AR13" s="69" t="n">
        <f aca="false">TblProd[[#This Row],[Lumber]]*lumber_rot * (1 + tech_2_1*TblTech[[#This Row],[2-1]] + tech_2_8*TblTech[[#This Row],[2-8]] + tech_5_2*TblTech[[#This Row],[5-2]])</f>
        <v>5.94</v>
      </c>
      <c r="AS13" s="69" t="n">
        <f aca="false">TblProd[[#This Row],[Mana]]*mana_drain * (1 + tech_2_1*TblTech[[#This Row],[2-1]] + tech_2_8*TblTech[[#This Row],[2-8]])</f>
        <v>-207.78</v>
      </c>
      <c r="AT13" s="146"/>
      <c r="AU13" s="69" t="n">
        <f aca="false">TblExplore[[#This Row],[Platinum (2)]]+TblConstr[[#This Row],[Total Plat Cost]]+TblMili[[#This Row],[Plat Cost]]+TblRezone[[#This Row],[Platinum cost]]+TblImps[[#This Row],[P1]]-TblProd[[#This Row],[Bank Plat]]</f>
        <v>500</v>
      </c>
      <c r="AV13" s="69" t="n">
        <f aca="false">TblConstr[[#This Row],[Total Lum Cost]]+TblImps[[#This Row],[L1]]-TblProd[[#This Row],[Bank Lumber]] + Military!$CL$25*TblMili[[#This Row],[Sec. rec. Cost]]</f>
        <v>700</v>
      </c>
      <c r="AW13" s="69" t="n">
        <f aca="false">TblMagic[[#This Row],[Mana cost]] + Military!$CL$26*TblMili[[#This Row],[Sec. rec. Cost]]</f>
        <v>1250</v>
      </c>
      <c r="AX13" s="69" t="n">
        <f aca="false">Military!$CL$24*TblMili[[#This Row],[Sec. rec. Cost]]+TblImps[[#This Row],[O1]]-TblProd[[#This Row],[Bank Ore]]</f>
        <v>0</v>
      </c>
      <c r="AY13" s="69" t="n">
        <f aca="false">TblImps[[#This Row],[G1]]-TblProd[[#This Row],[Bank Gems]]</f>
        <v>0</v>
      </c>
      <c r="AZ13" s="132"/>
      <c r="BA13" s="33" t="n">
        <f aca="false">IF(TblProd[[#This Row],[Set Guard]]&lt;&gt;"",TblProd[[#This Row],[Set Guard]],OFFSET(TblProd[[#This Row],[Guard]],-1,0))</f>
        <v>0</v>
      </c>
      <c r="BB13" s="145"/>
      <c r="BC13" s="151" t="n">
        <f aca="false">TblProd[[#This Row],[Hour]]</f>
        <v>10</v>
      </c>
      <c r="BD13" s="152" t="n">
        <f aca="false">-TblProd[[#This Row],[Bank Lumber]] / 2 + -TblProd[[#This Row],[Bank Gems]] * 2 + -TblProd[[#This Row],[Bank Ore]] / 2</f>
        <v>350</v>
      </c>
      <c r="BE13" s="152" t="n">
        <v>-700</v>
      </c>
      <c r="BF13" s="152"/>
      <c r="BG13" s="152"/>
      <c r="BH13" s="153" t="n">
        <f aca="false">TblProd[[#This Row],[Time]]</f>
        <v>45430.125</v>
      </c>
      <c r="BI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J13" s="69" t="n">
        <f aca="false">TblProd[[#This Row],[Platinum]]</f>
        <v>38394</v>
      </c>
      <c r="BK13" s="69" t="n">
        <f aca="false">TblProd[[#This Row],[Food]]</f>
        <v>33155</v>
      </c>
      <c r="BL13" s="69" t="n">
        <f aca="false">TblProd[[#This Row],[Lumber]]</f>
        <v>594</v>
      </c>
      <c r="BM13" s="69" t="n">
        <f aca="false">TblProd[[#This Row],[Mana]]</f>
        <v>-10389</v>
      </c>
      <c r="BN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c r="H14" s="69" t="e">
        <f aca="false">TblMili[[#This Row],[Networth (2)]]</f>
        <v>#VALUE!</v>
      </c>
      <c r="I14" s="69" t="n">
        <f aca="false">OFFSET(TblProd[[#This Row],[Platinum]],-1,0)+OFFSET(TblProd[[#This Row],[Plat/hr]],-1,0) - TblProd[[#This Row],[Expenses Platinum]] + IF(TblProd[[#This Row],[Plat Bonus]],TblPop[[#This Row],[Peasants]]*4) + SUM(TblConstr[[#This Row],[Dest Hom]:[Dest Doc]])*TblConstr[[#This Row],[CPA Platinum -DB]]*tech_3_3_2*TblTech[[#This Row],[3-3]]</f>
        <v>44502.5</v>
      </c>
      <c r="J14" s="69" t="n">
        <f aca="false">OFFSET(TblProd[[#This Row],[Food]],-1,0)+OFFSET(TblProd[[#This Row],[Food/hr]],-1,0)+ROUNDUP((TblConstr[[#This Row],[Farms]]*80+TblConstr[[#This Row],[Docks]]*35)*(1+OFFSET(TblProd[[#This Row],[Bonus Food/hr]],-1,0)),0)</f>
        <v>35297</v>
      </c>
      <c r="K14" s="69" t="n">
        <f aca="false">OFFSET(TblProd[[#This Row],[Lumber]],-1,0)+OFFSET(TblProd[[#This Row],[Lumber/hr]],-1,0) - TblProd[[#This Row],[Expenses Lumber]] + SUM(TblConstr[[#This Row],[Dest Hom]:[Dest Doc]])*TblConstr[[#This Row],[CPA Lumber -DB]]*tech_3_3_2*TblTech[[#This Row],[3-3]]</f>
        <v>1291</v>
      </c>
      <c r="L14" s="69" t="n">
        <f aca="false">OFFSET(TblProd[[#This Row],[Mana]],-1,0)+OFFSET(TblProd[[#This Row],[Mana/hr]],-1,0)- TblProd[[#This Row],[Expenses Mana]]</f>
        <v>-11431</v>
      </c>
      <c r="M14" s="69" t="n">
        <f aca="false">OFFSET(TblProd[[#This Row],[Ore]],-1,0)+OFFSET(TblProd[[#This Row],[Ore/hr]],-1,0) -TblProd[[#This Row],[Expenses Ore]]</f>
        <v>0</v>
      </c>
      <c r="N14" s="69" t="n">
        <f aca="false">OFFSET(TblProd[[#This Row],[Gems]],-1,0)+OFFSET(TblProd[[#This Row],[Gems/hr]],-1,0) - TblProd[[#This Row],[Expenses Gems]]</f>
        <v>0</v>
      </c>
      <c r="O14" s="69" t="n">
        <f aca="false">OFFSET(TblProd[[#This Row],[Boats]],-1,0)+OFFSET(TblProd[[#This Row],[Boats/hr]],-1,0)</f>
        <v>0</v>
      </c>
      <c r="P14" s="69" t="n">
        <f aca="false">OFFSET(TblProd[[#This Row],[Prestige]],-1,0)</f>
        <v>250</v>
      </c>
      <c r="Q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4" s="69" t="n">
        <f aca="false">MAX(3750,_xlfn.CEILING.MATH(TblProd[[#This Row],[Land]]*2.5+OFFSET(TblTech[[#This Row],[Sum of tech]],-1,0)*150))</f>
        <v>3750</v>
      </c>
      <c r="S14" s="132"/>
      <c r="T14" s="69" t="n">
        <f aca="false">ROUNDDOWN(TblProd[[#This Row],[Raw Plat/hr]]*(1+TblProd[[#This Row],[Bonus Plat/hr]]),0)</f>
        <v>6906</v>
      </c>
      <c r="U14" s="69" t="n">
        <f aca="false">ROUND(TblProd[[#This Row],[Raw Food/hr]]*(1+TblProd[[#This Row],[Bonus Food/hr]])-TblProd[[#This Row],[Food decay]]-TblProd[[#This Row],[Food eaten]],0)</f>
        <v>2111</v>
      </c>
      <c r="V14" s="69" t="n">
        <f aca="false">ROUND(TblProd[[#This Row],[Raw Lumber/hr]]*(1+TblProd[[#This Row],[Bonus Lumber/hr]])-TblProd[[#This Row],[Lumber rot]],0)</f>
        <v>987</v>
      </c>
      <c r="W14" s="69" t="n">
        <f aca="false">ROUND(TblProd[[#This Row],[Raw Mana/hr]]*(1+TblProd[[#This Row],[Bonus Mana/hr]])-TblProd[[#This Row],[Mana drain]],0)</f>
        <v>229</v>
      </c>
      <c r="X14" s="69" t="n">
        <f aca="false">ROUNDDOWN(TblProd[[#This Row],[Raw Ore/hr]]*(1+TblProd[[#This Row],[Bonux Ore/hr]]),0)</f>
        <v>0</v>
      </c>
      <c r="Y14" s="69" t="n">
        <f aca="false">ROUNDDOWN(TblProd[[#This Row],[Raw Gems/hr]]*(1+TblProd[[#This Row],[Bonus Gems/hr]]),0)</f>
        <v>0</v>
      </c>
      <c r="Z14" s="148" t="n">
        <f aca="false">OFFSET(TblConstr[[#This Row],[Tot Doc]],1,0)*dock_boats_hr * (1 + tech_4_1*TblTech[[#This Row],[4-1]])</f>
        <v>0</v>
      </c>
      <c r="AA14" s="146"/>
      <c r="AB14" s="69" t="n">
        <f aca="false">TblPop[[#This Row],[Peasants]]*tax*TblPop[[#This Row],[Employment]] + (Construction!AZ15+Construction!BX15)*(alch_plat+(Magic!AM14&gt;0)*alchemist_flame_bonus)</f>
        <v>6006</v>
      </c>
      <c r="AC14" s="69" t="n">
        <f aca="false">TblConstr[[#This Row],[Tot Farm]]*farm_food + TblConstr[[#This Row],[Tot Doc]]*dock_food</f>
        <v>2400</v>
      </c>
      <c r="AD14" s="69" t="n">
        <f aca="false">TblConstr[[#This Row],[Tot Ly]]*ly_lumber + TblConstr[[#This Row],[Tot Hav]]*fh_lumber</f>
        <v>1000</v>
      </c>
      <c r="AE14" s="69" t="n">
        <f aca="false">OFFSET(TblConstr[[#This Row],[Tot Tow]],1,0)*(tower_mana + tech_4_5*TblTech[[#This Row],[4-5]]) + OFFSET(TblConstr[[#This Row],[Tot WG]],1,0)*wg_mana_prod</f>
        <v>0</v>
      </c>
      <c r="AF14" s="69" t="n">
        <f aca="false">OFFSET(TblConstr[[#This Row],[Tot OM]],1,0)*om_ore+IF(race="Dwarf",ROUNDDOWN(TblMili[[#This Row],[Unit 2]]*0.4,0),)</f>
        <v>0</v>
      </c>
      <c r="AG14" s="69" t="n">
        <f aca="false">OFFSET(TblConstr[[#This Row],[Tot DM]],1,0)*dm_gems</f>
        <v>0</v>
      </c>
      <c r="AH14" s="132"/>
      <c r="AI14" s="149" t="n">
        <f aca="false">MIN(race_platinum_bonus + IF(TblMagic[[#This Row],[Active Alch Frost]]&gt;0,alch_frost_bonus,IF(Magic!AD14&gt;0,midas_bonus)) + TblImps[[#This Row],[Science]] - TblProd[[#This Row],[Guard]]*(0.02 + tech_5_7*TblTech[[#This Row],[5-7]]) + tech_1_5*TblTech[[#This Row],[1-5]] + tech_4_4*TblTech[[#This Row],[4-4]], 0.5)</f>
        <v>0.15</v>
      </c>
      <c r="AJ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4" s="149" t="n">
        <f aca="false">race_lumber_bonus+ IF(TblMagic[[#This Row],[Active Gaia''s Blessing]]&gt;0,gaias_blessing_lumber)+ tech_1_3*TblTech[[#This Row],[1-3]] + tech_1_6*TblTech[[#This Row],[1-6]] + tech_3_3*TblTech[[#This Row],[3-3]]</f>
        <v>0</v>
      </c>
      <c r="AL14" s="149" t="n">
        <f aca="false">race_mana_bonus+ 0 + TblImps[[#This Row],[Towers]] + tech_1_2*TblTech[[#This Row],[1-2]] + tech_3_4*TblTech[[#This Row],[3-4]]</f>
        <v>0</v>
      </c>
      <c r="AM14" s="149" t="n">
        <f aca="false">race_ore_bonus + IF(TblMagic[[#This Row],[Active Miner''s Sight]]&gt;0,miners_sight_bonus,IF(TblMagic[[#This Row],[Active Mining Strength]]&gt;0,mining_strength_bonus)) +  tech_1_6*TblTech[[#This Row],[1-6]]</f>
        <v>0.2</v>
      </c>
      <c r="AN14" s="149" t="n">
        <f aca="false">race_gem_bonus+ tech_3_2*TblTech[[#This Row],[3-2]] + tech_4_3*TblTech[[#This Row],[4-3]] + tech_6_2*TblTech[[#This Row],[6-2]]</f>
        <v>0.15</v>
      </c>
      <c r="AO14" s="132"/>
      <c r="AP14" s="69" t="n">
        <f aca="false">TblProd[[#This Row],[Food]]*food_decay * (1 + tech_2_1*TblTech[[#This Row],[2-1]] + tech_2_8*TblTech[[#This Row],[2-8]])</f>
        <v>352.97</v>
      </c>
      <c r="AQ14" s="69" t="n">
        <f aca="false">(1+race_food_consumption)*TblPop[[#This Row],[Total]]*food_per_person*(1+tech_1_10*TblTech[[#This Row],[1-10]]+tech_7_5*TblTech[[#This Row],[7-5]])</f>
        <v>476.5</v>
      </c>
      <c r="AR14" s="69" t="n">
        <f aca="false">TblProd[[#This Row],[Lumber]]*lumber_rot * (1 + tech_2_1*TblTech[[#This Row],[2-1]] + tech_2_8*TblTech[[#This Row],[2-8]] + tech_5_2*TblTech[[#This Row],[5-2]])</f>
        <v>12.91</v>
      </c>
      <c r="AS14" s="69" t="n">
        <f aca="false">TblProd[[#This Row],[Mana]]*mana_drain * (1 + tech_2_1*TblTech[[#This Row],[2-1]] + tech_2_8*TblTech[[#This Row],[2-8]])</f>
        <v>-228.62</v>
      </c>
      <c r="AT14" s="146"/>
      <c r="AU14" s="69" t="n">
        <f aca="false">TblExplore[[#This Row],[Platinum (2)]]+TblConstr[[#This Row],[Total Plat Cost]]+TblMili[[#This Row],[Plat Cost]]+TblRezone[[#This Row],[Platinum cost]]+TblImps[[#This Row],[P1]]-TblProd[[#This Row],[Bank Plat]]</f>
        <v>701.5</v>
      </c>
      <c r="AV14" s="69" t="n">
        <f aca="false">TblConstr[[#This Row],[Total Lum Cost]]+TblImps[[#This Row],[L1]]-TblProd[[#This Row],[Bank Lumber]] + Military!$CL$25*TblMili[[#This Row],[Sec. rec. Cost]]</f>
        <v>297</v>
      </c>
      <c r="AW14" s="69" t="n">
        <f aca="false">TblMagic[[#This Row],[Mana cost]] + Military!$CL$26*TblMili[[#This Row],[Sec. rec. Cost]]</f>
        <v>1250</v>
      </c>
      <c r="AX14" s="69" t="n">
        <f aca="false">Military!$CL$24*TblMili[[#This Row],[Sec. rec. Cost]]+TblImps[[#This Row],[O1]]-TblProd[[#This Row],[Bank Ore]]</f>
        <v>0</v>
      </c>
      <c r="AY14" s="69" t="n">
        <f aca="false">TblImps[[#This Row],[G1]]-TblProd[[#This Row],[Bank Gems]]</f>
        <v>0</v>
      </c>
      <c r="AZ14" s="132"/>
      <c r="BA14" s="33" t="n">
        <f aca="false">IF(TblProd[[#This Row],[Set Guard]]&lt;&gt;"",TblProd[[#This Row],[Set Guard]],OFFSET(TblProd[[#This Row],[Guard]],-1,0))</f>
        <v>0</v>
      </c>
      <c r="BB14" s="145"/>
      <c r="BC14" s="151" t="n">
        <f aca="false">TblProd[[#This Row],[Hour]]</f>
        <v>11</v>
      </c>
      <c r="BD14" s="152" t="n">
        <f aca="false">-TblProd[[#This Row],[Bank Lumber]] / 2 + -TblProd[[#This Row],[Bank Gems]] * 2 + -TblProd[[#This Row],[Bank Ore]] / 2</f>
        <v>148.5</v>
      </c>
      <c r="BE14" s="152" t="n">
        <v>-297</v>
      </c>
      <c r="BF14" s="152"/>
      <c r="BG14" s="152"/>
      <c r="BH14" s="153" t="n">
        <f aca="false">TblProd[[#This Row],[Time]]</f>
        <v>45430.1666666667</v>
      </c>
      <c r="BI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Nope</v>
      </c>
      <c r="BJ14" s="69" t="n">
        <f aca="false">TblProd[[#This Row],[Platinum]]</f>
        <v>44502.5</v>
      </c>
      <c r="BK14" s="69" t="n">
        <f aca="false">TblProd[[#This Row],[Food]]</f>
        <v>35297</v>
      </c>
      <c r="BL14" s="69" t="n">
        <f aca="false">TblProd[[#This Row],[Lumber]]</f>
        <v>1291</v>
      </c>
      <c r="BM14" s="69" t="n">
        <f aca="false">TblProd[[#This Row],[Mana]]</f>
        <v>-11431</v>
      </c>
      <c r="BN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c r="H15" s="69" t="e">
        <f aca="false">TblMili[[#This Row],[Networth (2)]]</f>
        <v>#VALUE!</v>
      </c>
      <c r="I15" s="69" t="n">
        <f aca="false">OFFSET(TblProd[[#This Row],[Platinum]],-1,0)+OFFSET(TblProd[[#This Row],[Plat/hr]],-1,0) - TblProd[[#This Row],[Expenses Platinum]] + IF(TblProd[[#This Row],[Plat Bonus]],TblPop[[#This Row],[Peasants]]*4) + SUM(TblConstr[[#This Row],[Dest Hom]:[Dest Doc]])*TblConstr[[#This Row],[CPA Platinum -DB]]*tech_3_3_2*TblTech[[#This Row],[3-3]]</f>
        <v>53587</v>
      </c>
      <c r="J15" s="69" t="n">
        <f aca="false">OFFSET(TblProd[[#This Row],[Food]],-1,0)+OFFSET(TblProd[[#This Row],[Food/hr]],-1,0)+ROUNDUP((TblConstr[[#This Row],[Farms]]*80+TblConstr[[#This Row],[Docks]]*35)*(1+OFFSET(TblProd[[#This Row],[Bonus Food/hr]],-1,0)),0)</f>
        <v>37408</v>
      </c>
      <c r="K15" s="69" t="n">
        <f aca="false">OFFSET(TblProd[[#This Row],[Lumber]],-1,0)+OFFSET(TblProd[[#This Row],[Lumber/hr]],-1,0) - TblProd[[#This Row],[Expenses Lumber]] + SUM(TblConstr[[#This Row],[Dest Hom]:[Dest Doc]])*TblConstr[[#This Row],[CPA Lumber -DB]]*tech_3_3_2*TblTech[[#This Row],[3-3]]</f>
        <v>2278</v>
      </c>
      <c r="L15" s="69" t="n">
        <f aca="false">OFFSET(TblProd[[#This Row],[Mana]],-1,0)+OFFSET(TblProd[[#This Row],[Mana/hr]],-1,0)- TblProd[[#This Row],[Expenses Mana]]</f>
        <v>-11202</v>
      </c>
      <c r="M15" s="69" t="n">
        <f aca="false">OFFSET(TblProd[[#This Row],[Ore]],-1,0)+OFFSET(TblProd[[#This Row],[Ore/hr]],-1,0) -TblProd[[#This Row],[Expenses Ore]]</f>
        <v>-357</v>
      </c>
      <c r="N15" s="69" t="n">
        <f aca="false">OFFSET(TblProd[[#This Row],[Gems]],-1,0)+OFFSET(TblProd[[#This Row],[Gems/hr]],-1,0) - TblProd[[#This Row],[Expenses Gems]]</f>
        <v>-1000</v>
      </c>
      <c r="O15" s="69" t="n">
        <f aca="false">OFFSET(TblProd[[#This Row],[Boats]],-1,0)+OFFSET(TblProd[[#This Row],[Boats/hr]],-1,0)</f>
        <v>0</v>
      </c>
      <c r="P15" s="69" t="n">
        <f aca="false">OFFSET(TblProd[[#This Row],[Prestige]],-1,0)</f>
        <v>250</v>
      </c>
      <c r="Q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5" s="69" t="n">
        <f aca="false">MAX(3750,_xlfn.CEILING.MATH(TblProd[[#This Row],[Land]]*2.5+OFFSET(TblTech[[#This Row],[Sum of tech]],-1,0)*150))</f>
        <v>3750</v>
      </c>
      <c r="S15" s="132"/>
      <c r="T15" s="69" t="n">
        <f aca="false">ROUNDDOWN(TblProd[[#This Row],[Raw Plat/hr]]*(1+TblProd[[#This Row],[Bonus Plat/hr]]),0)</f>
        <v>9671</v>
      </c>
      <c r="U15" s="69" t="n">
        <f aca="false">ROUND(TblProd[[#This Row],[Raw Food/hr]]*(1+TblProd[[#This Row],[Bonus Food/hr]])-TblProd[[#This Row],[Food decay]]-TblProd[[#This Row],[Food eaten]],0)</f>
        <v>2078</v>
      </c>
      <c r="V15" s="69" t="n">
        <f aca="false">ROUND(TblProd[[#This Row],[Raw Lumber/hr]]*(1+TblProd[[#This Row],[Bonus Lumber/hr]])-TblProd[[#This Row],[Lumber rot]],0)</f>
        <v>977</v>
      </c>
      <c r="W15" s="69" t="n">
        <f aca="false">ROUND(TblProd[[#This Row],[Raw Mana/hr]]*(1+TblProd[[#This Row],[Bonus Mana/hr]])-TblProd[[#This Row],[Mana drain]],0)</f>
        <v>599</v>
      </c>
      <c r="X15" s="69" t="n">
        <f aca="false">ROUNDDOWN(TblProd[[#This Row],[Raw Ore/hr]]*(1+TblProd[[#This Row],[Bonux Ore/hr]]),0)</f>
        <v>0</v>
      </c>
      <c r="Y15" s="69" t="n">
        <f aca="false">ROUNDDOWN(TblProd[[#This Row],[Raw Gems/hr]]*(1+TblProd[[#This Row],[Bonus Gems/hr]]),0)</f>
        <v>0</v>
      </c>
      <c r="Z15" s="148" t="n">
        <f aca="false">OFFSET(TblConstr[[#This Row],[Tot Doc]],1,0)*dock_boats_hr * (1 + tech_4_1*TblTech[[#This Row],[4-1]])</f>
        <v>0</v>
      </c>
      <c r="AA15" s="146"/>
      <c r="AB15" s="69" t="n">
        <f aca="false">TblPop[[#This Row],[Peasants]]*tax*TblPop[[#This Row],[Employment]] + (Construction!AZ16+Construction!BX16)*(alch_plat+(Magic!AM15&gt;0)*alchemist_flame_bonus)</f>
        <v>8409.7</v>
      </c>
      <c r="AC15" s="69" t="n">
        <f aca="false">TblConstr[[#This Row],[Tot Farm]]*farm_food + TblConstr[[#This Row],[Tot Doc]]*dock_food</f>
        <v>2400</v>
      </c>
      <c r="AD15" s="69" t="n">
        <f aca="false">TblConstr[[#This Row],[Tot Ly]]*ly_lumber + TblConstr[[#This Row],[Tot Hav]]*fh_lumber</f>
        <v>1000</v>
      </c>
      <c r="AE15" s="69" t="n">
        <f aca="false">OFFSET(TblConstr[[#This Row],[Tot Tow]],1,0)*(tower_mana + tech_4_5*TblTech[[#This Row],[4-5]]) + OFFSET(TblConstr[[#This Row],[Tot WG]],1,0)*wg_mana_prod</f>
        <v>375</v>
      </c>
      <c r="AF15" s="69" t="n">
        <f aca="false">OFFSET(TblConstr[[#This Row],[Tot OM]],1,0)*om_ore+IF(race="Dwarf",ROUNDDOWN(TblMili[[#This Row],[Unit 2]]*0.4,0),)</f>
        <v>0</v>
      </c>
      <c r="AG15" s="69" t="n">
        <f aca="false">OFFSET(TblConstr[[#This Row],[Tot DM]],1,0)*dm_gems</f>
        <v>0</v>
      </c>
      <c r="AH15" s="132"/>
      <c r="AI15" s="149" t="n">
        <f aca="false">MIN(race_platinum_bonus + IF(TblMagic[[#This Row],[Active Alch Frost]]&gt;0,alch_frost_bonus,IF(Magic!AD15&gt;0,midas_bonus)) + TblImps[[#This Row],[Science]] - TblProd[[#This Row],[Guard]]*(0.02 + tech_5_7*TblTech[[#This Row],[5-7]]) + tech_1_5*TblTech[[#This Row],[1-5]] + tech_4_4*TblTech[[#This Row],[4-4]], 0.5)</f>
        <v>0.15</v>
      </c>
      <c r="AJ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5" s="149" t="n">
        <f aca="false">race_lumber_bonus+ IF(TblMagic[[#This Row],[Active Gaia''s Blessing]]&gt;0,gaias_blessing_lumber)+ tech_1_3*TblTech[[#This Row],[1-3]] + tech_1_6*TblTech[[#This Row],[1-6]] + tech_3_3*TblTech[[#This Row],[3-3]]</f>
        <v>0</v>
      </c>
      <c r="AL15" s="149" t="n">
        <f aca="false">race_mana_bonus+ 0 + TblImps[[#This Row],[Towers]] + tech_1_2*TblTech[[#This Row],[1-2]] + tech_3_4*TblTech[[#This Row],[3-4]]</f>
        <v>0</v>
      </c>
      <c r="AM15" s="149" t="n">
        <f aca="false">race_ore_bonus + IF(TblMagic[[#This Row],[Active Miner''s Sight]]&gt;0,miners_sight_bonus,IF(TblMagic[[#This Row],[Active Mining Strength]]&gt;0,mining_strength_bonus)) +  tech_1_6*TblTech[[#This Row],[1-6]]</f>
        <v>0.2</v>
      </c>
      <c r="AN15" s="149" t="n">
        <f aca="false">race_gem_bonus+ tech_3_2*TblTech[[#This Row],[3-2]] + tech_4_3*TblTech[[#This Row],[4-3]] + tech_6_2*TblTech[[#This Row],[6-2]]</f>
        <v>0.15</v>
      </c>
      <c r="AO15" s="132"/>
      <c r="AP15" s="69" t="n">
        <f aca="false">TblProd[[#This Row],[Food]]*food_decay * (1 + tech_2_1*TblTech[[#This Row],[2-1]] + tech_2_8*TblTech[[#This Row],[2-8]])</f>
        <v>374.08</v>
      </c>
      <c r="AQ15" s="69" t="n">
        <f aca="false">(1+race_food_consumption)*TblPop[[#This Row],[Total]]*food_per_person*(1+tech_1_10*TblTech[[#This Row],[1-10]]+tech_7_5*TblTech[[#This Row],[7-5]])</f>
        <v>488.25</v>
      </c>
      <c r="AR15" s="69" t="n">
        <f aca="false">TblProd[[#This Row],[Lumber]]*lumber_rot * (1 + tech_2_1*TblTech[[#This Row],[2-1]] + tech_2_8*TblTech[[#This Row],[2-8]] + tech_5_2*TblTech[[#This Row],[5-2]])</f>
        <v>22.78</v>
      </c>
      <c r="AS15" s="69" t="n">
        <f aca="false">TblProd[[#This Row],[Mana]]*mana_drain * (1 + tech_2_1*TblTech[[#This Row],[2-1]] + tech_2_8*TblTech[[#This Row],[2-8]])</f>
        <v>-224.04</v>
      </c>
      <c r="AT15" s="146"/>
      <c r="AU15" s="69" t="n">
        <f aca="false">TblExplore[[#This Row],[Platinum (2)]]+TblConstr[[#This Row],[Total Plat Cost]]+TblMili[[#This Row],[Plat Cost]]+TblRezone[[#This Row],[Platinum cost]]+TblImps[[#This Row],[P1]]-TblProd[[#This Row],[Bank Plat]]</f>
        <v>-2178.5</v>
      </c>
      <c r="AV15" s="69" t="n">
        <f aca="false">TblConstr[[#This Row],[Total Lum Cost]]+TblImps[[#This Row],[L1]]-TblProd[[#This Row],[Bank Lumber]] + Military!$CL$25*TblMili[[#This Row],[Sec. rec. Cost]]</f>
        <v>0</v>
      </c>
      <c r="AW15" s="69" t="n">
        <f aca="false">TblMagic[[#This Row],[Mana cost]] + Military!$CL$26*TblMili[[#This Row],[Sec. rec. Cost]]</f>
        <v>0</v>
      </c>
      <c r="AX15" s="69" t="n">
        <f aca="false">Military!$CL$24*TblMili[[#This Row],[Sec. rec. Cost]]+TblImps[[#This Row],[O1]]-TblProd[[#This Row],[Bank Ore]]</f>
        <v>357</v>
      </c>
      <c r="AY15" s="69" t="n">
        <f aca="false">TblImps[[#This Row],[G1]]-TblProd[[#This Row],[Bank Gems]]</f>
        <v>1000</v>
      </c>
      <c r="AZ15" s="132"/>
      <c r="BA15" s="33" t="n">
        <f aca="false">IF(TblProd[[#This Row],[Set Guard]]&lt;&gt;"",TblProd[[#This Row],[Set Guard]],OFFSET(TblProd[[#This Row],[Guard]],-1,0))</f>
        <v>0</v>
      </c>
      <c r="BB15" s="145"/>
      <c r="BC15" s="151" t="n">
        <f aca="false">TblProd[[#This Row],[Hour]]</f>
        <v>12</v>
      </c>
      <c r="BD15" s="152" t="n">
        <f aca="false">-TblProd[[#This Row],[Bank Lumber]] / 2 + -TblProd[[#This Row],[Bank Gems]] * 2 + -TblProd[[#This Row],[Bank Ore]] / 2</f>
        <v>2178.5</v>
      </c>
      <c r="BE15" s="152"/>
      <c r="BF15" s="152" t="n">
        <v>-357</v>
      </c>
      <c r="BG15" s="152" t="n">
        <v>-1000</v>
      </c>
      <c r="BH15" s="153" t="n">
        <f aca="false">TblProd[[#This Row],[Time]]</f>
        <v>45430.2083333333</v>
      </c>
      <c r="BI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Nope</v>
      </c>
      <c r="BJ15" s="69" t="n">
        <f aca="false">TblProd[[#This Row],[Platinum]]</f>
        <v>53587</v>
      </c>
      <c r="BK15" s="69" t="n">
        <f aca="false">TblProd[[#This Row],[Food]]</f>
        <v>37408</v>
      </c>
      <c r="BL15" s="69" t="n">
        <f aca="false">TblProd[[#This Row],[Lumber]]</f>
        <v>2278</v>
      </c>
      <c r="BM15" s="69" t="n">
        <f aca="false">TblProd[[#This Row],[Mana]]</f>
        <v>-11202</v>
      </c>
      <c r="BN15" s="69" t="n">
        <f aca="false">TblProd[[#This Row],[Ore]]</f>
        <v>-357</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c r="H16" s="69" t="e">
        <f aca="false">TblMili[[#This Row],[Networth (2)]]</f>
        <v>#VALUE!</v>
      </c>
      <c r="I16" s="69" t="n">
        <f aca="false">OFFSET(TblProd[[#This Row],[Platinum]],-1,0)+OFFSET(TblProd[[#This Row],[Plat/hr]],-1,0) - TblProd[[#This Row],[Expenses Platinum]] + IF(TblProd[[#This Row],[Plat Bonus]],TblPop[[#This Row],[Peasants]]*4) + SUM(TblConstr[[#This Row],[Dest Hom]:[Dest Doc]])*TblConstr[[#This Row],[CPA Platinum -DB]]*tech_3_3_2*TblTech[[#This Row],[3-3]]</f>
        <v>39408</v>
      </c>
      <c r="J16" s="69" t="n">
        <f aca="false">OFFSET(TblProd[[#This Row],[Food]],-1,0)+OFFSET(TblProd[[#This Row],[Food/hr]],-1,0)+ROUNDUP((TblConstr[[#This Row],[Farms]]*80+TblConstr[[#This Row],[Docks]]*35)*(1+OFFSET(TblProd[[#This Row],[Bonus Food/hr]],-1,0)),0)</f>
        <v>39486</v>
      </c>
      <c r="K16" s="69" t="n">
        <f aca="false">OFFSET(TblProd[[#This Row],[Lumber]],-1,0)+OFFSET(TblProd[[#This Row],[Lumber/hr]],-1,0) - TblProd[[#This Row],[Expenses Lumber]] + SUM(TblConstr[[#This Row],[Dest Hom]:[Dest Doc]])*TblConstr[[#This Row],[CPA Lumber -DB]]*tech_3_3_2*TblTech[[#This Row],[3-3]]</f>
        <v>395</v>
      </c>
      <c r="L16" s="69" t="n">
        <f aca="false">OFFSET(TblProd[[#This Row],[Mana]],-1,0)+OFFSET(TblProd[[#This Row],[Mana/hr]],-1,0)- TblProd[[#This Row],[Expenses Mana]]</f>
        <v>-10603</v>
      </c>
      <c r="M16" s="69" t="n">
        <f aca="false">OFFSET(TblProd[[#This Row],[Ore]],-1,0)+OFFSET(TblProd[[#This Row],[Ore/hr]],-1,0) -TblProd[[#This Row],[Expenses Ore]]</f>
        <v>-357</v>
      </c>
      <c r="N16" s="69" t="n">
        <f aca="false">OFFSET(TblProd[[#This Row],[Gems]],-1,0)+OFFSET(TblProd[[#This Row],[Gems/hr]],-1,0) - TblProd[[#This Row],[Expenses Gems]]</f>
        <v>-1000</v>
      </c>
      <c r="O16" s="69" t="n">
        <f aca="false">OFFSET(TblProd[[#This Row],[Boats]],-1,0)+OFFSET(TblProd[[#This Row],[Boats/hr]],-1,0)</f>
        <v>0</v>
      </c>
      <c r="P16" s="69" t="n">
        <f aca="false">OFFSET(TblProd[[#This Row],[Prestige]],-1,0)</f>
        <v>250</v>
      </c>
      <c r="Q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6" s="69" t="n">
        <f aca="false">MAX(3750,_xlfn.CEILING.MATH(TblProd[[#This Row],[Land]]*2.5+OFFSET(TblTech[[#This Row],[Sum of tech]],-1,0)*150))</f>
        <v>3750</v>
      </c>
      <c r="S16" s="132"/>
      <c r="T16" s="69" t="n">
        <f aca="false">ROUNDDOWN(TblProd[[#This Row],[Raw Plat/hr]]*(1+TblProd[[#This Row],[Bonus Plat/hr]]),0)</f>
        <v>9938</v>
      </c>
      <c r="U16" s="69" t="n">
        <f aca="false">ROUND(TblProd[[#This Row],[Raw Food/hr]]*(1+TblProd[[#This Row],[Bonus Food/hr]])-TblProd[[#This Row],[Food decay]]-TblProd[[#This Row],[Food eaten]],0)</f>
        <v>-419</v>
      </c>
      <c r="V16" s="69" t="n">
        <f aca="false">ROUND(TblProd[[#This Row],[Raw Lumber/hr]]*(1+TblProd[[#This Row],[Bonus Lumber/hr]])-TblProd[[#This Row],[Lumber rot]],0)</f>
        <v>996</v>
      </c>
      <c r="W16" s="69" t="n">
        <f aca="false">ROUND(TblProd[[#This Row],[Raw Mana/hr]]*(1+TblProd[[#This Row],[Bonus Mana/hr]])-TblProd[[#This Row],[Mana drain]],0)</f>
        <v>587</v>
      </c>
      <c r="X16" s="69" t="n">
        <f aca="false">ROUNDDOWN(TblProd[[#This Row],[Raw Ore/hr]]*(1+TblProd[[#This Row],[Bonux Ore/hr]]),0)</f>
        <v>0</v>
      </c>
      <c r="Y16" s="69" t="n">
        <f aca="false">ROUNDDOWN(TblProd[[#This Row],[Raw Gems/hr]]*(1+TblProd[[#This Row],[Bonus Gems/hr]]),0)</f>
        <v>0</v>
      </c>
      <c r="Z16" s="148" t="n">
        <f aca="false">OFFSET(TblConstr[[#This Row],[Tot Doc]],1,0)*dock_boats_hr * (1 + tech_4_1*TblTech[[#This Row],[4-1]])</f>
        <v>0</v>
      </c>
      <c r="AA16" s="146"/>
      <c r="AB16" s="69" t="n">
        <f aca="false">TblPop[[#This Row],[Peasants]]*tax*TblPop[[#This Row],[Employment]] + (Construction!AZ17+Construction!BX17)*(alch_plat+(Magic!AM16&gt;0)*alchemist_flame_bonus)</f>
        <v>8641.9</v>
      </c>
      <c r="AC16" s="69" t="n">
        <f aca="false">TblConstr[[#This Row],[Tot Farm]]*farm_food + TblConstr[[#This Row],[Tot Doc]]*dock_food</f>
        <v>400</v>
      </c>
      <c r="AD16" s="69" t="n">
        <f aca="false">TblConstr[[#This Row],[Tot Ly]]*ly_lumber + TblConstr[[#This Row],[Tot Hav]]*fh_lumber</f>
        <v>1000</v>
      </c>
      <c r="AE16" s="69" t="n">
        <f aca="false">OFFSET(TblConstr[[#This Row],[Tot Tow]],1,0)*(tower_mana + tech_4_5*TblTech[[#This Row],[4-5]]) + OFFSET(TblConstr[[#This Row],[Tot WG]],1,0)*wg_mana_prod</f>
        <v>375</v>
      </c>
      <c r="AF16" s="69" t="n">
        <f aca="false">OFFSET(TblConstr[[#This Row],[Tot OM]],1,0)*om_ore+IF(race="Dwarf",ROUNDDOWN(TblMili[[#This Row],[Unit 2]]*0.4,0),)</f>
        <v>0</v>
      </c>
      <c r="AG16" s="69" t="n">
        <f aca="false">OFFSET(TblConstr[[#This Row],[Tot DM]],1,0)*dm_gems</f>
        <v>0</v>
      </c>
      <c r="AH16" s="132"/>
      <c r="AI16" s="149" t="n">
        <f aca="false">MIN(race_platinum_bonus + IF(TblMagic[[#This Row],[Active Alch Frost]]&gt;0,alch_frost_bonus,IF(Magic!AD16&gt;0,midas_bonus)) + TblImps[[#This Row],[Science]] - TblProd[[#This Row],[Guard]]*(0.02 + tech_5_7*TblTech[[#This Row],[5-7]]) + tech_1_5*TblTech[[#This Row],[1-5]] + tech_4_4*TblTech[[#This Row],[4-4]], 0.5)</f>
        <v>0.15</v>
      </c>
      <c r="AJ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6" s="149" t="n">
        <f aca="false">race_lumber_bonus+ IF(TblMagic[[#This Row],[Active Gaia''s Blessing]]&gt;0,gaias_blessing_lumber)+ tech_1_3*TblTech[[#This Row],[1-3]] + tech_1_6*TblTech[[#This Row],[1-6]] + tech_3_3*TblTech[[#This Row],[3-3]]</f>
        <v>0</v>
      </c>
      <c r="AL16" s="149" t="n">
        <f aca="false">race_mana_bonus+ 0 + TblImps[[#This Row],[Towers]] + tech_1_2*TblTech[[#This Row],[1-2]] + tech_3_4*TblTech[[#This Row],[3-4]]</f>
        <v>0</v>
      </c>
      <c r="AM16" s="149" t="n">
        <f aca="false">race_ore_bonus + IF(TblMagic[[#This Row],[Active Miner''s Sight]]&gt;0,miners_sight_bonus,IF(TblMagic[[#This Row],[Active Mining Strength]]&gt;0,mining_strength_bonus)) +  tech_1_6*TblTech[[#This Row],[1-6]]</f>
        <v>0.2</v>
      </c>
      <c r="AN16" s="149" t="n">
        <f aca="false">race_gem_bonus+ tech_3_2*TblTech[[#This Row],[3-2]] + tech_4_3*TblTech[[#This Row],[4-3]] + tech_6_2*TblTech[[#This Row],[6-2]]</f>
        <v>0.15</v>
      </c>
      <c r="AO16" s="132"/>
      <c r="AP16" s="69" t="n">
        <f aca="false">TblProd[[#This Row],[Food]]*food_decay * (1 + tech_2_1*TblTech[[#This Row],[2-1]] + tech_2_8*TblTech[[#This Row],[2-8]])</f>
        <v>394.86</v>
      </c>
      <c r="AQ16" s="69" t="n">
        <f aca="false">(1+race_food_consumption)*TblPop[[#This Row],[Total]]*food_per_person*(1+tech_1_10*TblTech[[#This Row],[1-10]]+tech_7_5*TblTech[[#This Row],[7-5]])</f>
        <v>513.75</v>
      </c>
      <c r="AR16" s="69" t="n">
        <f aca="false">TblProd[[#This Row],[Lumber]]*lumber_rot * (1 + tech_2_1*TblTech[[#This Row],[2-1]] + tech_2_8*TblTech[[#This Row],[2-8]] + tech_5_2*TblTech[[#This Row],[5-2]])</f>
        <v>3.95</v>
      </c>
      <c r="AS16" s="69" t="n">
        <f aca="false">TblProd[[#This Row],[Mana]]*mana_drain * (1 + tech_2_1*TblTech[[#This Row],[2-1]] + tech_2_8*TblTech[[#This Row],[2-8]])</f>
        <v>-212.06</v>
      </c>
      <c r="AT16" s="146"/>
      <c r="AU16" s="69" t="n">
        <f aca="false">TblExplore[[#This Row],[Platinum (2)]]+TblConstr[[#This Row],[Total Plat Cost]]+TblMili[[#This Row],[Plat Cost]]+TblRezone[[#This Row],[Platinum cost]]+TblImps[[#This Row],[P1]]-TblProd[[#This Row],[Bank Plat]]</f>
        <v>23850</v>
      </c>
      <c r="AV16" s="69" t="n">
        <f aca="false">TblConstr[[#This Row],[Total Lum Cost]]+TblImps[[#This Row],[L1]]-TblProd[[#This Row],[Bank Lumber]] + Military!$CL$25*TblMili[[#This Row],[Sec. rec. Cost]]</f>
        <v>2860</v>
      </c>
      <c r="AW16" s="69" t="n">
        <f aca="false">TblMagic[[#This Row],[Mana cost]] + Military!$CL$26*TblMili[[#This Row],[Sec. rec. Cost]]</f>
        <v>0</v>
      </c>
      <c r="AX16" s="69" t="n">
        <f aca="false">Military!$CL$24*TblMili[[#This Row],[Sec. rec. Cost]]+TblImps[[#This Row],[O1]]-TblProd[[#This Row],[Bank Ore]]</f>
        <v>0</v>
      </c>
      <c r="AY16" s="69" t="n">
        <f aca="false">TblImps[[#This Row],[G1]]-TblProd[[#This Row],[Bank Gems]]</f>
        <v>0</v>
      </c>
      <c r="AZ16" s="132"/>
      <c r="BA16" s="33" t="n">
        <f aca="false">IF(TblProd[[#This Row],[Set Guard]]&lt;&gt;"",TblProd[[#This Row],[Set Guard]],OFFSET(TblProd[[#This Row],[Guard]],-1,0))</f>
        <v>0</v>
      </c>
      <c r="BB16" s="145"/>
      <c r="BC16" s="151" t="n">
        <f aca="false">TblProd[[#This Row],[Hour]]</f>
        <v>13</v>
      </c>
      <c r="BD16" s="152" t="n">
        <f aca="false">-TblProd[[#This Row],[Bank Lumber]] / 2 + -TblProd[[#This Row],[Bank Gems]] * 2 + -TblProd[[#This Row],[Bank Ore]] / 2</f>
        <v>0</v>
      </c>
      <c r="BE16" s="152"/>
      <c r="BF16" s="152"/>
      <c r="BG16" s="152"/>
      <c r="BH16" s="153" t="n">
        <f aca="false">TblProd[[#This Row],[Time]]</f>
        <v>45430.25</v>
      </c>
      <c r="BI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J16" s="69" t="n">
        <f aca="false">TblProd[[#This Row],[Platinum]]</f>
        <v>39408</v>
      </c>
      <c r="BK16" s="69" t="n">
        <f aca="false">TblProd[[#This Row],[Food]]</f>
        <v>39486</v>
      </c>
      <c r="BL16" s="69" t="n">
        <f aca="false">TblProd[[#This Row],[Lumber]]</f>
        <v>395</v>
      </c>
      <c r="BM16" s="69" t="n">
        <f aca="false">TblProd[[#This Row],[Mana]]</f>
        <v>-10603</v>
      </c>
      <c r="BN16" s="69" t="n">
        <f aca="false">TblProd[[#This Row],[Ore]]</f>
        <v>-357</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c r="H17" s="69" t="e">
        <f aca="false">TblMili[[#This Row],[Networth (2)]]</f>
        <v>#VALUE!</v>
      </c>
      <c r="I17" s="69" t="n">
        <f aca="false">OFFSET(TblProd[[#This Row],[Platinum]],-1,0)+OFFSET(TblProd[[#This Row],[Plat/hr]],-1,0) - TblProd[[#This Row],[Expenses Platinum]] + IF(TblProd[[#This Row],[Plat Bonus]],TblPop[[#This Row],[Peasants]]*4) + SUM(TblConstr[[#This Row],[Dest Hom]:[Dest Doc]])*TblConstr[[#This Row],[CPA Platinum -DB]]*tech_3_3_2*TblTech[[#This Row],[3-3]]</f>
        <v>49346</v>
      </c>
      <c r="J17" s="69" t="n">
        <f aca="false">OFFSET(TblProd[[#This Row],[Food]],-1,0)+OFFSET(TblProd[[#This Row],[Food/hr]],-1,0)+ROUNDUP((TblConstr[[#This Row],[Farms]]*80+TblConstr[[#This Row],[Docks]]*35)*(1+OFFSET(TblProd[[#This Row],[Bonus Food/hr]],-1,0)),0)</f>
        <v>39067</v>
      </c>
      <c r="K17" s="69" t="n">
        <f aca="false">OFFSET(TblProd[[#This Row],[Lumber]],-1,0)+OFFSET(TblProd[[#This Row],[Lumber/hr]],-1,0) - TblProd[[#This Row],[Expenses Lumber]] + SUM(TblConstr[[#This Row],[Dest Hom]:[Dest Doc]])*TblConstr[[#This Row],[CPA Lumber -DB]]*tech_3_3_2*TblTech[[#This Row],[3-3]]</f>
        <v>1391</v>
      </c>
      <c r="L17" s="69" t="n">
        <f aca="false">OFFSET(TblProd[[#This Row],[Mana]],-1,0)+OFFSET(TblProd[[#This Row],[Mana/hr]],-1,0)- TblProd[[#This Row],[Expenses Mana]]</f>
        <v>-10016</v>
      </c>
      <c r="M17" s="69" t="n">
        <f aca="false">OFFSET(TblProd[[#This Row],[Ore]],-1,0)+OFFSET(TblProd[[#This Row],[Ore/hr]],-1,0) -TblProd[[#This Row],[Expenses Ore]]</f>
        <v>-357</v>
      </c>
      <c r="N17" s="69" t="n">
        <f aca="false">OFFSET(TblProd[[#This Row],[Gems]],-1,0)+OFFSET(TblProd[[#This Row],[Gems/hr]],-1,0) - TblProd[[#This Row],[Expenses Gems]]</f>
        <v>-1000</v>
      </c>
      <c r="O17" s="69" t="n">
        <f aca="false">OFFSET(TblProd[[#This Row],[Boats]],-1,0)+OFFSET(TblProd[[#This Row],[Boats/hr]],-1,0)</f>
        <v>0</v>
      </c>
      <c r="P17" s="69" t="n">
        <f aca="false">OFFSET(TblProd[[#This Row],[Prestige]],-1,0)</f>
        <v>250</v>
      </c>
      <c r="Q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7" s="69" t="n">
        <f aca="false">MAX(3750,_xlfn.CEILING.MATH(TblProd[[#This Row],[Land]]*2.5+OFFSET(TblTech[[#This Row],[Sum of tech]],-1,0)*150))</f>
        <v>3750</v>
      </c>
      <c r="S17" s="132"/>
      <c r="T17" s="69" t="n">
        <f aca="false">ROUNDDOWN(TblProd[[#This Row],[Raw Plat/hr]]*(1+TblProd[[#This Row],[Bonus Plat/hr]]),0)</f>
        <v>10217</v>
      </c>
      <c r="U17" s="69" t="n">
        <f aca="false">ROUND(TblProd[[#This Row],[Raw Food/hr]]*(1+TblProd[[#This Row],[Bonus Food/hr]])-TblProd[[#This Row],[Food decay]]-TblProd[[#This Row],[Food eaten]],0)</f>
        <v>-441</v>
      </c>
      <c r="V17" s="69" t="n">
        <f aca="false">ROUND(TblProd[[#This Row],[Raw Lumber/hr]]*(1+TblProd[[#This Row],[Bonus Lumber/hr]])-TblProd[[#This Row],[Lumber rot]],0)</f>
        <v>986</v>
      </c>
      <c r="W17" s="69" t="n">
        <f aca="false">ROUND(TblProd[[#This Row],[Raw Mana/hr]]*(1+TblProd[[#This Row],[Bonus Mana/hr]])-TblProd[[#This Row],[Mana drain]],0)</f>
        <v>575</v>
      </c>
      <c r="X17" s="69" t="n">
        <f aca="false">ROUNDDOWN(TblProd[[#This Row],[Raw Ore/hr]]*(1+TblProd[[#This Row],[Bonux Ore/hr]]),0)</f>
        <v>0</v>
      </c>
      <c r="Y17" s="69" t="n">
        <f aca="false">ROUNDDOWN(TblProd[[#This Row],[Raw Gems/hr]]*(1+TblProd[[#This Row],[Bonus Gems/hr]]),0)</f>
        <v>0</v>
      </c>
      <c r="Z17" s="148" t="n">
        <f aca="false">OFFSET(TblConstr[[#This Row],[Tot Doc]],1,0)*dock_boats_hr * (1 + tech_4_1*TblTech[[#This Row],[4-1]])</f>
        <v>0</v>
      </c>
      <c r="AA17" s="146"/>
      <c r="AB17" s="69" t="n">
        <f aca="false">TblPop[[#This Row],[Peasants]]*tax*TblPop[[#This Row],[Employment]] + (Construction!AZ18+Construction!BX18)*(alch_plat+(Magic!AM17&gt;0)*alchemist_flame_bonus)</f>
        <v>8884.9</v>
      </c>
      <c r="AC17" s="69" t="n">
        <f aca="false">TblConstr[[#This Row],[Tot Farm]]*farm_food + TblConstr[[#This Row],[Tot Doc]]*dock_food</f>
        <v>400</v>
      </c>
      <c r="AD17" s="69" t="n">
        <f aca="false">TblConstr[[#This Row],[Tot Ly]]*ly_lumber + TblConstr[[#This Row],[Tot Hav]]*fh_lumber</f>
        <v>1000</v>
      </c>
      <c r="AE17" s="69" t="n">
        <f aca="false">OFFSET(TblConstr[[#This Row],[Tot Tow]],1,0)*(tower_mana + tech_4_5*TblTech[[#This Row],[4-5]]) + OFFSET(TblConstr[[#This Row],[Tot WG]],1,0)*wg_mana_prod</f>
        <v>375</v>
      </c>
      <c r="AF17" s="69" t="n">
        <f aca="false">OFFSET(TblConstr[[#This Row],[Tot OM]],1,0)*om_ore+IF(race="Dwarf",ROUNDDOWN(TblMili[[#This Row],[Unit 2]]*0.4,0),)</f>
        <v>0</v>
      </c>
      <c r="AG17" s="69" t="n">
        <f aca="false">OFFSET(TblConstr[[#This Row],[Tot DM]],1,0)*dm_gems</f>
        <v>0</v>
      </c>
      <c r="AH17" s="132"/>
      <c r="AI17" s="149" t="n">
        <f aca="false">MIN(race_platinum_bonus + IF(TblMagic[[#This Row],[Active Alch Frost]]&gt;0,alch_frost_bonus,IF(Magic!AD17&gt;0,midas_bonus)) + TblImps[[#This Row],[Science]] - TblProd[[#This Row],[Guard]]*(0.02 + tech_5_7*TblTech[[#This Row],[5-7]]) + tech_1_5*TblTech[[#This Row],[1-5]] + tech_4_4*TblTech[[#This Row],[4-4]], 0.5)</f>
        <v>0.15</v>
      </c>
      <c r="AJ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7" s="149" t="n">
        <f aca="false">race_lumber_bonus+ IF(TblMagic[[#This Row],[Active Gaia''s Blessing]]&gt;0,gaias_blessing_lumber)+ tech_1_3*TblTech[[#This Row],[1-3]] + tech_1_6*TblTech[[#This Row],[1-6]] + tech_3_3*TblTech[[#This Row],[3-3]]</f>
        <v>0</v>
      </c>
      <c r="AL17" s="149" t="n">
        <f aca="false">race_mana_bonus+ 0 + TblImps[[#This Row],[Towers]] + tech_1_2*TblTech[[#This Row],[1-2]] + tech_3_4*TblTech[[#This Row],[3-4]]</f>
        <v>0</v>
      </c>
      <c r="AM17" s="149" t="n">
        <f aca="false">race_ore_bonus + IF(TblMagic[[#This Row],[Active Miner''s Sight]]&gt;0,miners_sight_bonus,IF(TblMagic[[#This Row],[Active Mining Strength]]&gt;0,mining_strength_bonus)) +  tech_1_6*TblTech[[#This Row],[1-6]]</f>
        <v>0</v>
      </c>
      <c r="AN17" s="149" t="n">
        <f aca="false">race_gem_bonus+ tech_3_2*TblTech[[#This Row],[3-2]] + tech_4_3*TblTech[[#This Row],[4-3]] + tech_6_2*TblTech[[#This Row],[6-2]]</f>
        <v>0.15</v>
      </c>
      <c r="AO17" s="132"/>
      <c r="AP17" s="69" t="n">
        <f aca="false">TblProd[[#This Row],[Food]]*food_decay * (1 + tech_2_1*TblTech[[#This Row],[2-1]] + tech_2_8*TblTech[[#This Row],[2-8]])</f>
        <v>390.67</v>
      </c>
      <c r="AQ17" s="69" t="n">
        <f aca="false">(1+race_food_consumption)*TblPop[[#This Row],[Total]]*food_per_person*(1+tech_1_10*TblTech[[#This Row],[1-10]]+tech_7_5*TblTech[[#This Row],[7-5]])</f>
        <v>540.5</v>
      </c>
      <c r="AR17" s="69" t="n">
        <f aca="false">TblProd[[#This Row],[Lumber]]*lumber_rot * (1 + tech_2_1*TblTech[[#This Row],[2-1]] + tech_2_8*TblTech[[#This Row],[2-8]] + tech_5_2*TblTech[[#This Row],[5-2]])</f>
        <v>13.91</v>
      </c>
      <c r="AS17" s="69" t="n">
        <f aca="false">TblProd[[#This Row],[Mana]]*mana_drain * (1 + tech_2_1*TblTech[[#This Row],[2-1]] + tech_2_8*TblTech[[#This Row],[2-8]])</f>
        <v>-200.32</v>
      </c>
      <c r="AT17" s="146"/>
      <c r="AU17" s="69" t="n">
        <f aca="false">TblExplore[[#This Row],[Platinum (2)]]+TblConstr[[#This Row],[Total Plat Cost]]+TblMili[[#This Row],[Plat Cost]]+TblRezone[[#This Row],[Platinum cost]]+TblImps[[#This Row],[P1]]-TblProd[[#This Row],[Bank Plat]]</f>
        <v>0</v>
      </c>
      <c r="AV17" s="69" t="n">
        <f aca="false">TblConstr[[#This Row],[Total Lum Cost]]+TblImps[[#This Row],[L1]]-TblProd[[#This Row],[Bank Lumber]] + Military!$CL$25*TblMili[[#This Row],[Sec. rec. Cost]]</f>
        <v>0</v>
      </c>
      <c r="AW17" s="69" t="n">
        <f aca="false">TblMagic[[#This Row],[Mana cost]] + Military!$CL$26*TblMili[[#This Row],[Sec. rec. Cost]]</f>
        <v>0</v>
      </c>
      <c r="AX17" s="69" t="n">
        <f aca="false">Military!$CL$24*TblMili[[#This Row],[Sec. rec. Cost]]+TblImps[[#This Row],[O1]]-TblProd[[#This Row],[Bank Ore]]</f>
        <v>0</v>
      </c>
      <c r="AY17" s="69" t="n">
        <f aca="false">TblImps[[#This Row],[G1]]-TblProd[[#This Row],[Bank Gems]]</f>
        <v>0</v>
      </c>
      <c r="AZ17" s="132"/>
      <c r="BA17" s="33" t="n">
        <f aca="false">IF(TblProd[[#This Row],[Set Guard]]&lt;&gt;"",TblProd[[#This Row],[Set Guard]],OFFSET(TblProd[[#This Row],[Guard]],-1,0))</f>
        <v>0</v>
      </c>
      <c r="BB17" s="145"/>
      <c r="BC17" s="151" t="n">
        <f aca="false">TblProd[[#This Row],[Hour]]</f>
        <v>14</v>
      </c>
      <c r="BD17" s="152" t="n">
        <f aca="false">-TblProd[[#This Row],[Bank Lumber]] / 2 + -TblProd[[#This Row],[Bank Gems]] * 2 + -TblProd[[#This Row],[Bank Ore]] / 2</f>
        <v>0</v>
      </c>
      <c r="BE17" s="152"/>
      <c r="BF17" s="152"/>
      <c r="BG17" s="152"/>
      <c r="BH17" s="153" t="n">
        <f aca="false">TblProd[[#This Row],[Time]]</f>
        <v>45430.2916666667</v>
      </c>
      <c r="BI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J17" s="69" t="n">
        <f aca="false">TblProd[[#This Row],[Platinum]]</f>
        <v>49346</v>
      </c>
      <c r="BK17" s="69" t="n">
        <f aca="false">TblProd[[#This Row],[Food]]</f>
        <v>39067</v>
      </c>
      <c r="BL17" s="69" t="n">
        <f aca="false">TblProd[[#This Row],[Lumber]]</f>
        <v>1391</v>
      </c>
      <c r="BM17" s="69" t="n">
        <f aca="false">TblProd[[#This Row],[Mana]]</f>
        <v>-10016</v>
      </c>
      <c r="BN17" s="69" t="n">
        <f aca="false">TblProd[[#This Row],[Ore]]</f>
        <v>-357</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c r="H18" s="69" t="e">
        <f aca="false">TblMili[[#This Row],[Networth (2)]]</f>
        <v>#VALUE!</v>
      </c>
      <c r="I18" s="69" t="n">
        <f aca="false">OFFSET(TblProd[[#This Row],[Platinum]],-1,0)+OFFSET(TblProd[[#This Row],[Plat/hr]],-1,0) - TblProd[[#This Row],[Expenses Platinum]] + IF(TblProd[[#This Row],[Plat Bonus]],TblPop[[#This Row],[Peasants]]*4) + SUM(TblConstr[[#This Row],[Dest Hom]:[Dest Doc]])*TblConstr[[#This Row],[CPA Platinum -DB]]*tech_3_3_2*TblTech[[#This Row],[3-3]]</f>
        <v>59563</v>
      </c>
      <c r="J18" s="69" t="n">
        <f aca="false">OFFSET(TblProd[[#This Row],[Food]],-1,0)+OFFSET(TblProd[[#This Row],[Food/hr]],-1,0)+ROUNDUP((TblConstr[[#This Row],[Farms]]*80+TblConstr[[#This Row],[Docks]]*35)*(1+OFFSET(TblProd[[#This Row],[Bonus Food/hr]],-1,0)),0)</f>
        <v>38626</v>
      </c>
      <c r="K18" s="69" t="n">
        <f aca="false">OFFSET(TblProd[[#This Row],[Lumber]],-1,0)+OFFSET(TblProd[[#This Row],[Lumber/hr]],-1,0) - TblProd[[#This Row],[Expenses Lumber]] + SUM(TblConstr[[#This Row],[Dest Hom]:[Dest Doc]])*TblConstr[[#This Row],[CPA Lumber -DB]]*tech_3_3_2*TblTech[[#This Row],[3-3]]</f>
        <v>2377</v>
      </c>
      <c r="L18" s="69" t="n">
        <f aca="false">OFFSET(TblProd[[#This Row],[Mana]],-1,0)+OFFSET(TblProd[[#This Row],[Mana/hr]],-1,0)- TblProd[[#This Row],[Expenses Mana]]</f>
        <v>-9441</v>
      </c>
      <c r="M18" s="69" t="n">
        <f aca="false">OFFSET(TblProd[[#This Row],[Ore]],-1,0)+OFFSET(TblProd[[#This Row],[Ore/hr]],-1,0) -TblProd[[#This Row],[Expenses Ore]]</f>
        <v>-357</v>
      </c>
      <c r="N18" s="69" t="n">
        <f aca="false">OFFSET(TblProd[[#This Row],[Gems]],-1,0)+OFFSET(TblProd[[#This Row],[Gems/hr]],-1,0) - TblProd[[#This Row],[Expenses Gems]]</f>
        <v>-1000</v>
      </c>
      <c r="O18" s="69" t="n">
        <f aca="false">OFFSET(TblProd[[#This Row],[Boats]],-1,0)+OFFSET(TblProd[[#This Row],[Boats/hr]],-1,0)</f>
        <v>0</v>
      </c>
      <c r="P18" s="69" t="n">
        <f aca="false">OFFSET(TblProd[[#This Row],[Prestige]],-1,0)</f>
        <v>250</v>
      </c>
      <c r="Q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8" s="69" t="n">
        <f aca="false">MAX(3750,_xlfn.CEILING.MATH(TblProd[[#This Row],[Land]]*2.5+OFFSET(TblTech[[#This Row],[Sum of tech]],-1,0)*150))</f>
        <v>3750</v>
      </c>
      <c r="S18" s="132"/>
      <c r="T18" s="69" t="n">
        <f aca="false">ROUNDDOWN(TblProd[[#This Row],[Raw Plat/hr]]*(1+TblProd[[#This Row],[Bonus Plat/hr]]),0)</f>
        <v>10512</v>
      </c>
      <c r="U18" s="69" t="n">
        <f aca="false">ROUND(TblProd[[#This Row],[Raw Food/hr]]*(1+TblProd[[#This Row],[Bonus Food/hr]])-TblProd[[#This Row],[Food decay]]-TblProd[[#This Row],[Food eaten]],0)</f>
        <v>-465</v>
      </c>
      <c r="V18" s="69" t="n">
        <f aca="false">ROUND(TblProd[[#This Row],[Raw Lumber/hr]]*(1+TblProd[[#This Row],[Bonus Lumber/hr]])-TblProd[[#This Row],[Lumber rot]],0)</f>
        <v>976</v>
      </c>
      <c r="W18" s="69" t="n">
        <f aca="false">ROUND(TblProd[[#This Row],[Raw Mana/hr]]*(1+TblProd[[#This Row],[Bonus Mana/hr]])-TblProd[[#This Row],[Mana drain]],0)</f>
        <v>564</v>
      </c>
      <c r="X18" s="69" t="n">
        <f aca="false">ROUNDDOWN(TblProd[[#This Row],[Raw Ore/hr]]*(1+TblProd[[#This Row],[Bonux Ore/hr]]),0)</f>
        <v>0</v>
      </c>
      <c r="Y18" s="69" t="n">
        <f aca="false">ROUNDDOWN(TblProd[[#This Row],[Raw Gems/hr]]*(1+TblProd[[#This Row],[Bonus Gems/hr]]),0)</f>
        <v>0</v>
      </c>
      <c r="Z18" s="148" t="n">
        <f aca="false">OFFSET(TblConstr[[#This Row],[Tot Doc]],1,0)*dock_boats_hr * (1 + tech_4_1*TblTech[[#This Row],[4-1]])</f>
        <v>0</v>
      </c>
      <c r="AA18" s="146"/>
      <c r="AB18" s="69" t="n">
        <f aca="false">TblPop[[#This Row],[Peasants]]*tax*TblPop[[#This Row],[Employment]] + (Construction!AZ19+Construction!BX19)*(alch_plat+(Magic!AM18&gt;0)*alchemist_flame_bonus)</f>
        <v>9141.4</v>
      </c>
      <c r="AC18" s="69" t="n">
        <f aca="false">TblConstr[[#This Row],[Tot Farm]]*farm_food + TblConstr[[#This Row],[Tot Doc]]*dock_food</f>
        <v>400</v>
      </c>
      <c r="AD18" s="69" t="n">
        <f aca="false">TblConstr[[#This Row],[Tot Ly]]*ly_lumber + TblConstr[[#This Row],[Tot Hav]]*fh_lumber</f>
        <v>1000</v>
      </c>
      <c r="AE18" s="69" t="n">
        <f aca="false">OFFSET(TblConstr[[#This Row],[Tot Tow]],1,0)*(tower_mana + tech_4_5*TblTech[[#This Row],[4-5]]) + OFFSET(TblConstr[[#This Row],[Tot WG]],1,0)*wg_mana_prod</f>
        <v>375</v>
      </c>
      <c r="AF18" s="69" t="n">
        <f aca="false">OFFSET(TblConstr[[#This Row],[Tot OM]],1,0)*om_ore+IF(race="Dwarf",ROUNDDOWN(TblMili[[#This Row],[Unit 2]]*0.4,0),)</f>
        <v>0</v>
      </c>
      <c r="AG18" s="69" t="n">
        <f aca="false">OFFSET(TblConstr[[#This Row],[Tot DM]],1,0)*dm_gems</f>
        <v>0</v>
      </c>
      <c r="AH18" s="132"/>
      <c r="AI18" s="149" t="n">
        <f aca="false">MIN(race_platinum_bonus + IF(TblMagic[[#This Row],[Active Alch Frost]]&gt;0,alch_frost_bonus,IF(Magic!AD18&gt;0,midas_bonus)) + TblImps[[#This Row],[Science]] - TblProd[[#This Row],[Guard]]*(0.02 + tech_5_7*TblTech[[#This Row],[5-7]]) + tech_1_5*TblTech[[#This Row],[1-5]] + tech_4_4*TblTech[[#This Row],[4-4]], 0.5)</f>
        <v>0.15</v>
      </c>
      <c r="AJ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8" s="149" t="n">
        <f aca="false">race_lumber_bonus+ IF(TblMagic[[#This Row],[Active Gaia''s Blessing]]&gt;0,gaias_blessing_lumber)+ tech_1_3*TblTech[[#This Row],[1-3]] + tech_1_6*TblTech[[#This Row],[1-6]] + tech_3_3*TblTech[[#This Row],[3-3]]</f>
        <v>0</v>
      </c>
      <c r="AL18" s="149" t="n">
        <f aca="false">race_mana_bonus+ 0 + TblImps[[#This Row],[Towers]] + tech_1_2*TblTech[[#This Row],[1-2]] + tech_3_4*TblTech[[#This Row],[3-4]]</f>
        <v>0</v>
      </c>
      <c r="AM18" s="149" t="n">
        <f aca="false">race_ore_bonus + IF(TblMagic[[#This Row],[Active Miner''s Sight]]&gt;0,miners_sight_bonus,IF(TblMagic[[#This Row],[Active Mining Strength]]&gt;0,mining_strength_bonus)) +  tech_1_6*TblTech[[#This Row],[1-6]]</f>
        <v>0</v>
      </c>
      <c r="AN18" s="149" t="n">
        <f aca="false">race_gem_bonus+ tech_3_2*TblTech[[#This Row],[3-2]] + tech_4_3*TblTech[[#This Row],[4-3]] + tech_6_2*TblTech[[#This Row],[6-2]]</f>
        <v>0.15</v>
      </c>
      <c r="AO18" s="132"/>
      <c r="AP18" s="69" t="n">
        <f aca="false">TblProd[[#This Row],[Food]]*food_decay * (1 + tech_2_1*TblTech[[#This Row],[2-1]] + tech_2_8*TblTech[[#This Row],[2-8]])</f>
        <v>386.26</v>
      </c>
      <c r="AQ18" s="69" t="n">
        <f aca="false">(1+race_food_consumption)*TblPop[[#This Row],[Total]]*food_per_person*(1+tech_1_10*TblTech[[#This Row],[1-10]]+tech_7_5*TblTech[[#This Row],[7-5]])</f>
        <v>568.75</v>
      </c>
      <c r="AR18" s="69" t="n">
        <f aca="false">TblProd[[#This Row],[Lumber]]*lumber_rot * (1 + tech_2_1*TblTech[[#This Row],[2-1]] + tech_2_8*TblTech[[#This Row],[2-8]] + tech_5_2*TblTech[[#This Row],[5-2]])</f>
        <v>23.77</v>
      </c>
      <c r="AS18" s="69" t="n">
        <f aca="false">TblProd[[#This Row],[Mana]]*mana_drain * (1 + tech_2_1*TblTech[[#This Row],[2-1]] + tech_2_8*TblTech[[#This Row],[2-8]])</f>
        <v>-188.82</v>
      </c>
      <c r="AT18" s="146"/>
      <c r="AU18" s="69" t="n">
        <f aca="false">TblExplore[[#This Row],[Platinum (2)]]+TblConstr[[#This Row],[Total Plat Cost]]+TblMili[[#This Row],[Plat Cost]]+TblRezone[[#This Row],[Platinum cost]]+TblImps[[#This Row],[P1]]-TblProd[[#This Row],[Bank Plat]]</f>
        <v>0</v>
      </c>
      <c r="AV18" s="69" t="n">
        <f aca="false">TblConstr[[#This Row],[Total Lum Cost]]+TblImps[[#This Row],[L1]]-TblProd[[#This Row],[Bank Lumber]] + Military!$CL$25*TblMili[[#This Row],[Sec. rec. Cost]]</f>
        <v>0</v>
      </c>
      <c r="AW18" s="69" t="n">
        <f aca="false">TblMagic[[#This Row],[Mana cost]] + Military!$CL$26*TblMili[[#This Row],[Sec. rec. Cost]]</f>
        <v>0</v>
      </c>
      <c r="AX18" s="69" t="n">
        <f aca="false">Military!$CL$24*TblMili[[#This Row],[Sec. rec. Cost]]+TblImps[[#This Row],[O1]]-TblProd[[#This Row],[Bank Ore]]</f>
        <v>0</v>
      </c>
      <c r="AY18" s="69" t="n">
        <f aca="false">TblImps[[#This Row],[G1]]-TblProd[[#This Row],[Bank Gems]]</f>
        <v>0</v>
      </c>
      <c r="AZ18" s="132"/>
      <c r="BA18" s="33" t="n">
        <f aca="false">IF(TblProd[[#This Row],[Set Guard]]&lt;&gt;"",TblProd[[#This Row],[Set Guard]],OFFSET(TblProd[[#This Row],[Guard]],-1,0))</f>
        <v>0</v>
      </c>
      <c r="BB18" s="145"/>
      <c r="BC18" s="151" t="n">
        <f aca="false">TblProd[[#This Row],[Hour]]</f>
        <v>15</v>
      </c>
      <c r="BD18" s="152" t="n">
        <f aca="false">-TblProd[[#This Row],[Bank Lumber]] / 2 + -TblProd[[#This Row],[Bank Gems]] * 2 + -TblProd[[#This Row],[Bank Ore]] / 2</f>
        <v>0</v>
      </c>
      <c r="BE18" s="152"/>
      <c r="BF18" s="152"/>
      <c r="BG18" s="152"/>
      <c r="BH18" s="153" t="n">
        <f aca="false">TblProd[[#This Row],[Time]]</f>
        <v>45430.3333333333</v>
      </c>
      <c r="BI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J18" s="69" t="n">
        <f aca="false">TblProd[[#This Row],[Platinum]]</f>
        <v>59563</v>
      </c>
      <c r="BK18" s="69" t="n">
        <f aca="false">TblProd[[#This Row],[Food]]</f>
        <v>38626</v>
      </c>
      <c r="BL18" s="69" t="n">
        <f aca="false">TblProd[[#This Row],[Lumber]]</f>
        <v>2377</v>
      </c>
      <c r="BM18" s="69" t="n">
        <f aca="false">TblProd[[#This Row],[Mana]]</f>
        <v>-9441</v>
      </c>
      <c r="BN18" s="69" t="n">
        <f aca="false">TblProd[[#This Row],[Ore]]</f>
        <v>-357</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c r="H19" s="69" t="e">
        <f aca="false">TblMili[[#This Row],[Networth (2)]]</f>
        <v>#VALUE!</v>
      </c>
      <c r="I19" s="69" t="n">
        <f aca="false">OFFSET(TblProd[[#This Row],[Platinum]],-1,0)+OFFSET(TblProd[[#This Row],[Plat/hr]],-1,0) - TblProd[[#This Row],[Expenses Platinum]] + IF(TblProd[[#This Row],[Plat Bonus]],TblPop[[#This Row],[Peasants]]*4) + SUM(TblConstr[[#This Row],[Dest Hom]:[Dest Doc]])*TblConstr[[#This Row],[CPA Platinum -DB]]*tech_3_3_2*TblTech[[#This Row],[3-3]]</f>
        <v>70075</v>
      </c>
      <c r="J19" s="69" t="n">
        <f aca="false">OFFSET(TblProd[[#This Row],[Food]],-1,0)+OFFSET(TblProd[[#This Row],[Food/hr]],-1,0)+ROUNDUP((TblConstr[[#This Row],[Farms]]*80+TblConstr[[#This Row],[Docks]]*35)*(1+OFFSET(TblProd[[#This Row],[Bonus Food/hr]],-1,0)),0)</f>
        <v>38161</v>
      </c>
      <c r="K19" s="69" t="n">
        <f aca="false">OFFSET(TblProd[[#This Row],[Lumber]],-1,0)+OFFSET(TblProd[[#This Row],[Lumber/hr]],-1,0) - TblProd[[#This Row],[Expenses Lumber]] + SUM(TblConstr[[#This Row],[Dest Hom]:[Dest Doc]])*TblConstr[[#This Row],[CPA Lumber -DB]]*tech_3_3_2*TblTech[[#This Row],[3-3]]</f>
        <v>3353</v>
      </c>
      <c r="L19" s="69" t="n">
        <f aca="false">OFFSET(TblProd[[#This Row],[Mana]],-1,0)+OFFSET(TblProd[[#This Row],[Mana/hr]],-1,0)- TblProd[[#This Row],[Expenses Mana]]</f>
        <v>-8877</v>
      </c>
      <c r="M19" s="69" t="n">
        <f aca="false">OFFSET(TblProd[[#This Row],[Ore]],-1,0)+OFFSET(TblProd[[#This Row],[Ore/hr]],-1,0) -TblProd[[#This Row],[Expenses Ore]]</f>
        <v>-357</v>
      </c>
      <c r="N19" s="69" t="n">
        <f aca="false">OFFSET(TblProd[[#This Row],[Gems]],-1,0)+OFFSET(TblProd[[#This Row],[Gems/hr]],-1,0) - TblProd[[#This Row],[Expenses Gems]]</f>
        <v>-1000</v>
      </c>
      <c r="O19" s="69" t="n">
        <f aca="false">OFFSET(TblProd[[#This Row],[Boats]],-1,0)+OFFSET(TblProd[[#This Row],[Boats/hr]],-1,0)</f>
        <v>0</v>
      </c>
      <c r="P19" s="69" t="n">
        <f aca="false">OFFSET(TblProd[[#This Row],[Prestige]],-1,0)</f>
        <v>250</v>
      </c>
      <c r="Q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19" s="69" t="n">
        <f aca="false">MAX(3750,_xlfn.CEILING.MATH(TblProd[[#This Row],[Land]]*2.5+OFFSET(TblTech[[#This Row],[Sum of tech]],-1,0)*150))</f>
        <v>3750</v>
      </c>
      <c r="S19" s="132"/>
      <c r="T19" s="69" t="n">
        <f aca="false">ROUNDDOWN(TblProd[[#This Row],[Raw Plat/hr]]*(1+TblProd[[#This Row],[Bonus Plat/hr]]),0)</f>
        <v>10823</v>
      </c>
      <c r="U19" s="69" t="n">
        <f aca="false">ROUND(TblProd[[#This Row],[Raw Food/hr]]*(1+TblProd[[#This Row],[Bonus Food/hr]])-TblProd[[#This Row],[Food decay]]-TblProd[[#This Row],[Food eaten]],0)</f>
        <v>-490</v>
      </c>
      <c r="V19" s="69" t="n">
        <f aca="false">ROUND(TblProd[[#This Row],[Raw Lumber/hr]]*(1+TblProd[[#This Row],[Bonus Lumber/hr]])-TblProd[[#This Row],[Lumber rot]],0)</f>
        <v>966</v>
      </c>
      <c r="W19" s="69" t="n">
        <f aca="false">ROUND(TblProd[[#This Row],[Raw Mana/hr]]*(1+TblProd[[#This Row],[Bonus Mana/hr]])-TblProd[[#This Row],[Mana drain]],0)</f>
        <v>553</v>
      </c>
      <c r="X19" s="69" t="n">
        <f aca="false">ROUNDDOWN(TblProd[[#This Row],[Raw Ore/hr]]*(1+TblProd[[#This Row],[Bonux Ore/hr]]),0)</f>
        <v>0</v>
      </c>
      <c r="Y19" s="69" t="n">
        <f aca="false">ROUNDDOWN(TblProd[[#This Row],[Raw Gems/hr]]*(1+TblProd[[#This Row],[Bonus Gems/hr]]),0)</f>
        <v>0</v>
      </c>
      <c r="Z19" s="148" t="n">
        <f aca="false">OFFSET(TblConstr[[#This Row],[Tot Doc]],1,0)*dock_boats_hr * (1 + tech_4_1*TblTech[[#This Row],[4-1]])</f>
        <v>0</v>
      </c>
      <c r="AA19" s="146"/>
      <c r="AB19" s="69" t="n">
        <f aca="false">TblPop[[#This Row],[Peasants]]*tax*TblPop[[#This Row],[Employment]] + (Construction!AZ20+Construction!BX20)*(alch_plat+(Magic!AM19&gt;0)*alchemist_flame_bonus)</f>
        <v>9411.4</v>
      </c>
      <c r="AC19" s="69" t="n">
        <f aca="false">TblConstr[[#This Row],[Tot Farm]]*farm_food + TblConstr[[#This Row],[Tot Doc]]*dock_food</f>
        <v>400</v>
      </c>
      <c r="AD19" s="69" t="n">
        <f aca="false">TblConstr[[#This Row],[Tot Ly]]*ly_lumber + TblConstr[[#This Row],[Tot Hav]]*fh_lumber</f>
        <v>1000</v>
      </c>
      <c r="AE19" s="69" t="n">
        <f aca="false">OFFSET(TblConstr[[#This Row],[Tot Tow]],1,0)*(tower_mana + tech_4_5*TblTech[[#This Row],[4-5]]) + OFFSET(TblConstr[[#This Row],[Tot WG]],1,0)*wg_mana_prod</f>
        <v>375</v>
      </c>
      <c r="AF19" s="69" t="n">
        <f aca="false">OFFSET(TblConstr[[#This Row],[Tot OM]],1,0)*om_ore+IF(race="Dwarf",ROUNDDOWN(TblMili[[#This Row],[Unit 2]]*0.4,0),)</f>
        <v>0</v>
      </c>
      <c r="AG19" s="69" t="n">
        <f aca="false">OFFSET(TblConstr[[#This Row],[Tot DM]],1,0)*dm_gems</f>
        <v>0</v>
      </c>
      <c r="AH19" s="132"/>
      <c r="AI19" s="149" t="n">
        <f aca="false">MIN(race_platinum_bonus + IF(TblMagic[[#This Row],[Active Alch Frost]]&gt;0,alch_frost_bonus,IF(Magic!AD19&gt;0,midas_bonus)) + TblImps[[#This Row],[Science]] - TblProd[[#This Row],[Guard]]*(0.02 + tech_5_7*TblTech[[#This Row],[5-7]]) + tech_1_5*TblTech[[#This Row],[1-5]] + tech_4_4*TblTech[[#This Row],[4-4]], 0.5)</f>
        <v>0.15</v>
      </c>
      <c r="AJ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19" s="149" t="n">
        <f aca="false">race_lumber_bonus+ IF(TblMagic[[#This Row],[Active Gaia''s Blessing]]&gt;0,gaias_blessing_lumber)+ tech_1_3*TblTech[[#This Row],[1-3]] + tech_1_6*TblTech[[#This Row],[1-6]] + tech_3_3*TblTech[[#This Row],[3-3]]</f>
        <v>0</v>
      </c>
      <c r="AL19" s="149" t="n">
        <f aca="false">race_mana_bonus+ 0 + TblImps[[#This Row],[Towers]] + tech_1_2*TblTech[[#This Row],[1-2]] + tech_3_4*TblTech[[#This Row],[3-4]]</f>
        <v>0</v>
      </c>
      <c r="AM19" s="149" t="n">
        <f aca="false">race_ore_bonus + IF(TblMagic[[#This Row],[Active Miner''s Sight]]&gt;0,miners_sight_bonus,IF(TblMagic[[#This Row],[Active Mining Strength]]&gt;0,mining_strength_bonus)) +  tech_1_6*TblTech[[#This Row],[1-6]]</f>
        <v>0</v>
      </c>
      <c r="AN19" s="149" t="n">
        <f aca="false">race_gem_bonus+ tech_3_2*TblTech[[#This Row],[3-2]] + tech_4_3*TblTech[[#This Row],[4-3]] + tech_6_2*TblTech[[#This Row],[6-2]]</f>
        <v>0.15</v>
      </c>
      <c r="AO19" s="132"/>
      <c r="AP19" s="69" t="n">
        <f aca="false">TblProd[[#This Row],[Food]]*food_decay * (1 + tech_2_1*TblTech[[#This Row],[2-1]] + tech_2_8*TblTech[[#This Row],[2-8]])</f>
        <v>381.61</v>
      </c>
      <c r="AQ19" s="69" t="n">
        <f aca="false">(1+race_food_consumption)*TblPop[[#This Row],[Total]]*food_per_person*(1+tech_1_10*TblTech[[#This Row],[1-10]]+tech_7_5*TblTech[[#This Row],[7-5]])</f>
        <v>598.5</v>
      </c>
      <c r="AR19" s="69" t="n">
        <f aca="false">TblProd[[#This Row],[Lumber]]*lumber_rot * (1 + tech_2_1*TblTech[[#This Row],[2-1]] + tech_2_8*TblTech[[#This Row],[2-8]] + tech_5_2*TblTech[[#This Row],[5-2]])</f>
        <v>33.53</v>
      </c>
      <c r="AS19" s="69" t="n">
        <f aca="false">TblProd[[#This Row],[Mana]]*mana_drain * (1 + tech_2_1*TblTech[[#This Row],[2-1]] + tech_2_8*TblTech[[#This Row],[2-8]])</f>
        <v>-177.54</v>
      </c>
      <c r="AT19" s="146"/>
      <c r="AU19" s="69" t="n">
        <f aca="false">TblExplore[[#This Row],[Platinum (2)]]+TblConstr[[#This Row],[Total Plat Cost]]+TblMili[[#This Row],[Plat Cost]]+TblRezone[[#This Row],[Platinum cost]]+TblImps[[#This Row],[P1]]-TblProd[[#This Row],[Bank Plat]]</f>
        <v>0</v>
      </c>
      <c r="AV19" s="69" t="n">
        <f aca="false">TblConstr[[#This Row],[Total Lum Cost]]+TblImps[[#This Row],[L1]]-TblProd[[#This Row],[Bank Lumber]] + Military!$CL$25*TblMili[[#This Row],[Sec. rec. Cost]]</f>
        <v>0</v>
      </c>
      <c r="AW19" s="69" t="n">
        <f aca="false">TblMagic[[#This Row],[Mana cost]] + Military!$CL$26*TblMili[[#This Row],[Sec. rec. Cost]]</f>
        <v>0</v>
      </c>
      <c r="AX19" s="69" t="n">
        <f aca="false">Military!$CL$24*TblMili[[#This Row],[Sec. rec. Cost]]+TblImps[[#This Row],[O1]]-TblProd[[#This Row],[Bank Ore]]</f>
        <v>0</v>
      </c>
      <c r="AY19" s="69" t="n">
        <f aca="false">TblImps[[#This Row],[G1]]-TblProd[[#This Row],[Bank Gems]]</f>
        <v>0</v>
      </c>
      <c r="AZ19" s="132"/>
      <c r="BA19" s="33" t="n">
        <f aca="false">IF(TblProd[[#This Row],[Set Guard]]&lt;&gt;"",TblProd[[#This Row],[Set Guard]],OFFSET(TblProd[[#This Row],[Guard]],-1,0))</f>
        <v>0</v>
      </c>
      <c r="BB19" s="145"/>
      <c r="BC19" s="151" t="n">
        <f aca="false">TblProd[[#This Row],[Hour]]</f>
        <v>16</v>
      </c>
      <c r="BD19" s="152" t="n">
        <f aca="false">-TblProd[[#This Row],[Bank Lumber]] / 2 + -TblProd[[#This Row],[Bank Gems]] * 2 + -TblProd[[#This Row],[Bank Ore]] / 2</f>
        <v>0</v>
      </c>
      <c r="BE19" s="152"/>
      <c r="BF19" s="152"/>
      <c r="BG19" s="152"/>
      <c r="BH19" s="153" t="n">
        <f aca="false">TblProd[[#This Row],[Time]]</f>
        <v>45430.375</v>
      </c>
      <c r="BI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J19" s="69" t="n">
        <f aca="false">TblProd[[#This Row],[Platinum]]</f>
        <v>70075</v>
      </c>
      <c r="BK19" s="69" t="n">
        <f aca="false">TblProd[[#This Row],[Food]]</f>
        <v>38161</v>
      </c>
      <c r="BL19" s="69" t="n">
        <f aca="false">TblProd[[#This Row],[Lumber]]</f>
        <v>3353</v>
      </c>
      <c r="BM19" s="69" t="n">
        <f aca="false">TblProd[[#This Row],[Mana]]</f>
        <v>-8877</v>
      </c>
      <c r="BN19" s="69" t="n">
        <f aca="false">TblProd[[#This Row],[Ore]]</f>
        <v>-357</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c r="H20" s="69" t="e">
        <f aca="false">TblMili[[#This Row],[Networth (2)]]</f>
        <v>#VALUE!</v>
      </c>
      <c r="I20" s="69" t="n">
        <f aca="false">OFFSET(TblProd[[#This Row],[Platinum]],-1,0)+OFFSET(TblProd[[#This Row],[Plat/hr]],-1,0) - TblProd[[#This Row],[Expenses Platinum]] + IF(TblProd[[#This Row],[Plat Bonus]],TblPop[[#This Row],[Peasants]]*4) + SUM(TblConstr[[#This Row],[Dest Hom]:[Dest Doc]])*TblConstr[[#This Row],[CPA Platinum -DB]]*tech_3_3_2*TblTech[[#This Row],[3-3]]</f>
        <v>80898</v>
      </c>
      <c r="J20" s="69" t="n">
        <f aca="false">OFFSET(TblProd[[#This Row],[Food]],-1,0)+OFFSET(TblProd[[#This Row],[Food/hr]],-1,0)+ROUNDUP((TblConstr[[#This Row],[Farms]]*80+TblConstr[[#This Row],[Docks]]*35)*(1+OFFSET(TblProd[[#This Row],[Bonus Food/hr]],-1,0)),0)</f>
        <v>37671</v>
      </c>
      <c r="K20" s="69" t="n">
        <f aca="false">OFFSET(TblProd[[#This Row],[Lumber]],-1,0)+OFFSET(TblProd[[#This Row],[Lumber/hr]],-1,0) - TblProd[[#This Row],[Expenses Lumber]] + SUM(TblConstr[[#This Row],[Dest Hom]:[Dest Doc]])*TblConstr[[#This Row],[CPA Lumber -DB]]*tech_3_3_2*TblTech[[#This Row],[3-3]]</f>
        <v>4319</v>
      </c>
      <c r="L20" s="69" t="n">
        <f aca="false">OFFSET(TblProd[[#This Row],[Mana]],-1,0)+OFFSET(TblProd[[#This Row],[Mana/hr]],-1,0)- TblProd[[#This Row],[Expenses Mana]]</f>
        <v>-8324</v>
      </c>
      <c r="M20" s="69" t="n">
        <f aca="false">OFFSET(TblProd[[#This Row],[Ore]],-1,0)+OFFSET(TblProd[[#This Row],[Ore/hr]],-1,0) -TblProd[[#This Row],[Expenses Ore]]</f>
        <v>-357</v>
      </c>
      <c r="N20" s="69" t="n">
        <f aca="false">OFFSET(TblProd[[#This Row],[Gems]],-1,0)+OFFSET(TblProd[[#This Row],[Gems/hr]],-1,0) - TblProd[[#This Row],[Expenses Gems]]</f>
        <v>-1000</v>
      </c>
      <c r="O20" s="69" t="n">
        <f aca="false">OFFSET(TblProd[[#This Row],[Boats]],-1,0)+OFFSET(TblProd[[#This Row],[Boats/hr]],-1,0)</f>
        <v>0</v>
      </c>
      <c r="P20" s="69" t="n">
        <f aca="false">OFFSET(TblProd[[#This Row],[Prestige]],-1,0)</f>
        <v>250</v>
      </c>
      <c r="Q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0" s="69" t="n">
        <f aca="false">MAX(3750,_xlfn.CEILING.MATH(TblProd[[#This Row],[Land]]*2.5+OFFSET(TblTech[[#This Row],[Sum of tech]],-1,0)*150))</f>
        <v>3750</v>
      </c>
      <c r="S20" s="132"/>
      <c r="T20" s="69" t="n">
        <f aca="false">ROUNDDOWN(TblProd[[#This Row],[Raw Plat/hr]]*(1+TblProd[[#This Row],[Bonus Plat/hr]]),0)</f>
        <v>11149</v>
      </c>
      <c r="U20" s="69" t="n">
        <f aca="false">ROUND(TblProd[[#This Row],[Raw Food/hr]]*(1+TblProd[[#This Row],[Bonus Food/hr]])-TblProd[[#This Row],[Food decay]]-TblProd[[#This Row],[Food eaten]],0)</f>
        <v>-516</v>
      </c>
      <c r="V20" s="69" t="n">
        <f aca="false">ROUND(TblProd[[#This Row],[Raw Lumber/hr]]*(1+TblProd[[#This Row],[Bonus Lumber/hr]])-TblProd[[#This Row],[Lumber rot]],0)</f>
        <v>957</v>
      </c>
      <c r="W20" s="69" t="n">
        <f aca="false">ROUND(TblProd[[#This Row],[Raw Mana/hr]]*(1+TblProd[[#This Row],[Bonus Mana/hr]])-TblProd[[#This Row],[Mana drain]],0)</f>
        <v>541</v>
      </c>
      <c r="X20" s="69" t="n">
        <f aca="false">ROUNDDOWN(TblProd[[#This Row],[Raw Ore/hr]]*(1+TblProd[[#This Row],[Bonux Ore/hr]]),0)</f>
        <v>0</v>
      </c>
      <c r="Y20" s="69" t="n">
        <f aca="false">ROUNDDOWN(TblProd[[#This Row],[Raw Gems/hr]]*(1+TblProd[[#This Row],[Bonus Gems/hr]]),0)</f>
        <v>0</v>
      </c>
      <c r="Z20" s="148" t="n">
        <f aca="false">OFFSET(TblConstr[[#This Row],[Tot Doc]],1,0)*dock_boats_hr * (1 + tech_4_1*TblTech[[#This Row],[4-1]])</f>
        <v>0</v>
      </c>
      <c r="AA20" s="146"/>
      <c r="AB20" s="69" t="n">
        <f aca="false">TblPop[[#This Row],[Peasants]]*tax*TblPop[[#This Row],[Employment]] + (Construction!AZ21+Construction!BX21)*(alch_plat+(Magic!AM20&gt;0)*alchemist_flame_bonus)</f>
        <v>9694.9</v>
      </c>
      <c r="AC20" s="69" t="n">
        <f aca="false">TblConstr[[#This Row],[Tot Farm]]*farm_food + TblConstr[[#This Row],[Tot Doc]]*dock_food</f>
        <v>400</v>
      </c>
      <c r="AD20" s="69" t="n">
        <f aca="false">TblConstr[[#This Row],[Tot Ly]]*ly_lumber + TblConstr[[#This Row],[Tot Hav]]*fh_lumber</f>
        <v>1000</v>
      </c>
      <c r="AE20" s="69" t="n">
        <f aca="false">OFFSET(TblConstr[[#This Row],[Tot Tow]],1,0)*(tower_mana + tech_4_5*TblTech[[#This Row],[4-5]]) + OFFSET(TblConstr[[#This Row],[Tot WG]],1,0)*wg_mana_prod</f>
        <v>375</v>
      </c>
      <c r="AF20" s="69" t="n">
        <f aca="false">OFFSET(TblConstr[[#This Row],[Tot OM]],1,0)*om_ore+IF(race="Dwarf",ROUNDDOWN(TblMili[[#This Row],[Unit 2]]*0.4,0),)</f>
        <v>0</v>
      </c>
      <c r="AG20" s="69" t="n">
        <f aca="false">OFFSET(TblConstr[[#This Row],[Tot DM]],1,0)*dm_gems</f>
        <v>0</v>
      </c>
      <c r="AH20" s="132"/>
      <c r="AI20" s="149" t="n">
        <f aca="false">MIN(race_platinum_bonus + IF(TblMagic[[#This Row],[Active Alch Frost]]&gt;0,alch_frost_bonus,IF(Magic!AD20&gt;0,midas_bonus)) + TblImps[[#This Row],[Science]] - TblProd[[#This Row],[Guard]]*(0.02 + tech_5_7*TblTech[[#This Row],[5-7]]) + tech_1_5*TblTech[[#This Row],[1-5]] + tech_4_4*TblTech[[#This Row],[4-4]], 0.5)</f>
        <v>0.15</v>
      </c>
      <c r="AJ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0.225</v>
      </c>
      <c r="AK20" s="149" t="n">
        <f aca="false">race_lumber_bonus+ IF(TblMagic[[#This Row],[Active Gaia''s Blessing]]&gt;0,gaias_blessing_lumber)+ tech_1_3*TblTech[[#This Row],[1-3]] + tech_1_6*TblTech[[#This Row],[1-6]] + tech_3_3*TblTech[[#This Row],[3-3]]</f>
        <v>0</v>
      </c>
      <c r="AL20" s="149" t="n">
        <f aca="false">race_mana_bonus+ 0 + TblImps[[#This Row],[Towers]] + tech_1_2*TblTech[[#This Row],[1-2]] + tech_3_4*TblTech[[#This Row],[3-4]]</f>
        <v>0</v>
      </c>
      <c r="AM20" s="149" t="n">
        <f aca="false">race_ore_bonus + IF(TblMagic[[#This Row],[Active Miner''s Sight]]&gt;0,miners_sight_bonus,IF(TblMagic[[#This Row],[Active Mining Strength]]&gt;0,mining_strength_bonus)) +  tech_1_6*TblTech[[#This Row],[1-6]]</f>
        <v>0</v>
      </c>
      <c r="AN20" s="149" t="n">
        <f aca="false">race_gem_bonus+ tech_3_2*TblTech[[#This Row],[3-2]] + tech_4_3*TblTech[[#This Row],[4-3]] + tech_6_2*TblTech[[#This Row],[6-2]]</f>
        <v>0.15</v>
      </c>
      <c r="AO20" s="132"/>
      <c r="AP20" s="69" t="n">
        <f aca="false">TblProd[[#This Row],[Food]]*food_decay * (1 + tech_2_1*TblTech[[#This Row],[2-1]] + tech_2_8*TblTech[[#This Row],[2-8]])</f>
        <v>376.71</v>
      </c>
      <c r="AQ20" s="69" t="n">
        <f aca="false">(1+race_food_consumption)*TblPop[[#This Row],[Total]]*food_per_person*(1+tech_1_10*TblTech[[#This Row],[1-10]]+tech_7_5*TblTech[[#This Row],[7-5]])</f>
        <v>629.75</v>
      </c>
      <c r="AR20" s="69" t="n">
        <f aca="false">TblProd[[#This Row],[Lumber]]*lumber_rot * (1 + tech_2_1*TblTech[[#This Row],[2-1]] + tech_2_8*TblTech[[#This Row],[2-8]] + tech_5_2*TblTech[[#This Row],[5-2]])</f>
        <v>43.19</v>
      </c>
      <c r="AS20" s="69" t="n">
        <f aca="false">TblProd[[#This Row],[Mana]]*mana_drain * (1 + tech_2_1*TblTech[[#This Row],[2-1]] + tech_2_8*TblTech[[#This Row],[2-8]])</f>
        <v>-166.48</v>
      </c>
      <c r="AT20" s="146"/>
      <c r="AU20" s="69" t="n">
        <f aca="false">TblExplore[[#This Row],[Platinum (2)]]+TblConstr[[#This Row],[Total Plat Cost]]+TblMili[[#This Row],[Plat Cost]]+TblRezone[[#This Row],[Platinum cost]]+TblImps[[#This Row],[P1]]-TblProd[[#This Row],[Bank Plat]]</f>
        <v>0</v>
      </c>
      <c r="AV20" s="69" t="n">
        <f aca="false">TblConstr[[#This Row],[Total Lum Cost]]+TblImps[[#This Row],[L1]]-TblProd[[#This Row],[Bank Lumber]] + Military!$CL$25*TblMili[[#This Row],[Sec. rec. Cost]]</f>
        <v>0</v>
      </c>
      <c r="AW20" s="69" t="n">
        <f aca="false">TblMagic[[#This Row],[Mana cost]] + Military!$CL$26*TblMili[[#This Row],[Sec. rec. Cost]]</f>
        <v>0</v>
      </c>
      <c r="AX20" s="69" t="n">
        <f aca="false">Military!$CL$24*TblMili[[#This Row],[Sec. rec. Cost]]+TblImps[[#This Row],[O1]]-TblProd[[#This Row],[Bank Ore]]</f>
        <v>0</v>
      </c>
      <c r="AY20" s="69" t="n">
        <f aca="false">TblImps[[#This Row],[G1]]-TblProd[[#This Row],[Bank Gems]]</f>
        <v>0</v>
      </c>
      <c r="AZ20" s="132"/>
      <c r="BA20" s="33" t="n">
        <f aca="false">IF(TblProd[[#This Row],[Set Guard]]&lt;&gt;"",TblProd[[#This Row],[Set Guard]],OFFSET(TblProd[[#This Row],[Guard]],-1,0))</f>
        <v>0</v>
      </c>
      <c r="BB20" s="145"/>
      <c r="BC20" s="151" t="n">
        <f aca="false">TblProd[[#This Row],[Hour]]</f>
        <v>17</v>
      </c>
      <c r="BD20" s="152" t="n">
        <f aca="false">-TblProd[[#This Row],[Bank Lumber]] / 2 + -TblProd[[#This Row],[Bank Gems]] * 2 + -TblProd[[#This Row],[Bank Ore]] / 2</f>
        <v>-0</v>
      </c>
      <c r="BE20" s="152"/>
      <c r="BF20" s="152"/>
      <c r="BG20" s="152"/>
      <c r="BH20" s="153" t="n">
        <f aca="false">TblProd[[#This Row],[Time]]</f>
        <v>45430.4166666667</v>
      </c>
      <c r="BI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J20" s="69" t="n">
        <f aca="false">TblProd[[#This Row],[Platinum]]</f>
        <v>80898</v>
      </c>
      <c r="BK20" s="69" t="n">
        <f aca="false">TblProd[[#This Row],[Food]]</f>
        <v>37671</v>
      </c>
      <c r="BL20" s="69" t="n">
        <f aca="false">TblProd[[#This Row],[Lumber]]</f>
        <v>4319</v>
      </c>
      <c r="BM20" s="69" t="n">
        <f aca="false">TblProd[[#This Row],[Mana]]</f>
        <v>-8324</v>
      </c>
      <c r="BN20" s="69" t="n">
        <f aca="false">TblProd[[#This Row],[Ore]]</f>
        <v>-357</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c r="H21" s="69" t="e">
        <f aca="false">TblMili[[#This Row],[Networth (2)]]</f>
        <v>#VALUE!</v>
      </c>
      <c r="I21" s="69" t="n">
        <f aca="false">OFFSET(TblProd[[#This Row],[Platinum]],-1,0)+OFFSET(TblProd[[#This Row],[Plat/hr]],-1,0) - TblProd[[#This Row],[Expenses Platinum]] + IF(TblProd[[#This Row],[Plat Bonus]],TblPop[[#This Row],[Peasants]]*4) + SUM(TblConstr[[#This Row],[Dest Hom]:[Dest Doc]])*TblConstr[[#This Row],[CPA Platinum -DB]]*tech_3_3_2*TblTech[[#This Row],[3-3]]</f>
        <v>21929</v>
      </c>
      <c r="J21" s="69" t="n">
        <f aca="false">OFFSET(TblProd[[#This Row],[Food]],-1,0)+OFFSET(TblProd[[#This Row],[Food/hr]],-1,0)+ROUNDUP((TblConstr[[#This Row],[Farms]]*80+TblConstr[[#This Row],[Docks]]*35)*(1+OFFSET(TblProd[[#This Row],[Bonus Food/hr]],-1,0)),0)</f>
        <v>37155</v>
      </c>
      <c r="K21" s="69" t="n">
        <f aca="false">OFFSET(TblProd[[#This Row],[Lumber]],-1,0)+OFFSET(TblProd[[#This Row],[Lumber/hr]],-1,0) - TblProd[[#This Row],[Expenses Lumber]] + SUM(TblConstr[[#This Row],[Dest Hom]:[Dest Doc]])*TblConstr[[#This Row],[CPA Lumber -DB]]*tech_3_3_2*TblTech[[#This Row],[3-3]]</f>
        <v>4148</v>
      </c>
      <c r="L21" s="69" t="n">
        <f aca="false">OFFSET(TblProd[[#This Row],[Mana]],-1,0)+OFFSET(TblProd[[#This Row],[Mana/hr]],-1,0)- TblProd[[#This Row],[Expenses Mana]]</f>
        <v>-7783</v>
      </c>
      <c r="M21" s="69" t="n">
        <f aca="false">OFFSET(TblProd[[#This Row],[Ore]],-1,0)+OFFSET(TblProd[[#This Row],[Ore/hr]],-1,0) -TblProd[[#This Row],[Expenses Ore]]</f>
        <v>-357</v>
      </c>
      <c r="N21" s="69" t="n">
        <f aca="false">OFFSET(TblProd[[#This Row],[Gems]],-1,0)+OFFSET(TblProd[[#This Row],[Gems/hr]],-1,0) - TblProd[[#This Row],[Expenses Gems]]</f>
        <v>-1000</v>
      </c>
      <c r="O21" s="69" t="n">
        <f aca="false">OFFSET(TblProd[[#This Row],[Boats]],-1,0)+OFFSET(TblProd[[#This Row],[Boats/hr]],-1,0)</f>
        <v>0</v>
      </c>
      <c r="P21" s="69" t="n">
        <f aca="false">OFFSET(TblProd[[#This Row],[Prestige]],-1,0)</f>
        <v>250</v>
      </c>
      <c r="Q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1" s="69" t="n">
        <f aca="false">MAX(3750,_xlfn.CEILING.MATH(TblProd[[#This Row],[Land]]*2.5+OFFSET(TblTech[[#This Row],[Sum of tech]],-1,0)*150))</f>
        <v>3750</v>
      </c>
      <c r="S21" s="132"/>
      <c r="T21" s="69" t="n">
        <f aca="false">ROUNDDOWN(TblProd[[#This Row],[Raw Plat/hr]]*(1+TblProd[[#This Row],[Bonus Plat/hr]]),0)</f>
        <v>11475</v>
      </c>
      <c r="U21" s="69" t="n">
        <f aca="false">ROUND(TblProd[[#This Row],[Raw Food/hr]]*(1+TblProd[[#This Row],[Bonus Food/hr]])-TblProd[[#This Row],[Food decay]]-TblProd[[#This Row],[Food eaten]],0)</f>
        <v>-553</v>
      </c>
      <c r="V21" s="69" t="n">
        <f aca="false">ROUND(TblProd[[#This Row],[Raw Lumber/hr]]*(1+TblProd[[#This Row],[Bonus Lumber/hr]])-TblProd[[#This Row],[Lumber rot]],0)</f>
        <v>859</v>
      </c>
      <c r="W21" s="69" t="n">
        <f aca="false">ROUND(TblProd[[#This Row],[Raw Mana/hr]]*(1+TblProd[[#This Row],[Bonus Mana/hr]])-TblProd[[#This Row],[Mana drain]],0)</f>
        <v>531</v>
      </c>
      <c r="X21" s="69" t="n">
        <f aca="false">ROUNDDOWN(TblProd[[#This Row],[Raw Ore/hr]]*(1+TblProd[[#This Row],[Bonux Ore/hr]]),0)</f>
        <v>0</v>
      </c>
      <c r="Y21" s="69" t="n">
        <f aca="false">ROUNDDOWN(TblProd[[#This Row],[Raw Gems/hr]]*(1+TblProd[[#This Row],[Bonus Gems/hr]]),0)</f>
        <v>0</v>
      </c>
      <c r="Z21" s="148" t="n">
        <f aca="false">OFFSET(TblConstr[[#This Row],[Tot Doc]],1,0)*dock_boats_hr * (1 + tech_4_1*TblTech[[#This Row],[4-1]])</f>
        <v>0</v>
      </c>
      <c r="AA21" s="146"/>
      <c r="AB21" s="69" t="n">
        <f aca="false">TblPop[[#This Row],[Peasants]]*tax*TblPop[[#This Row],[Employment]] + (Construction!AZ22+Construction!BX22)*(alch_plat+(Magic!AM21&gt;0)*alchemist_flame_bonus)</f>
        <v>9978.4</v>
      </c>
      <c r="AC21" s="69" t="n">
        <f aca="false">TblConstr[[#This Row],[Tot Farm]]*farm_food + TblConstr[[#This Row],[Tot Doc]]*dock_food</f>
        <v>400</v>
      </c>
      <c r="AD21" s="69" t="n">
        <f aca="false">TblConstr[[#This Row],[Tot Ly]]*ly_lumber + TblConstr[[#This Row],[Tot Hav]]*fh_lumber</f>
        <v>1000</v>
      </c>
      <c r="AE21" s="69" t="n">
        <f aca="false">OFFSET(TblConstr[[#This Row],[Tot Tow]],1,0)*(tower_mana + tech_4_5*TblTech[[#This Row],[4-5]]) + OFFSET(TblConstr[[#This Row],[Tot WG]],1,0)*wg_mana_prod</f>
        <v>375</v>
      </c>
      <c r="AF21" s="69" t="n">
        <f aca="false">OFFSET(TblConstr[[#This Row],[Tot OM]],1,0)*om_ore+IF(race="Dwarf",ROUNDDOWN(TblMili[[#This Row],[Unit 2]]*0.4,0),)</f>
        <v>0</v>
      </c>
      <c r="AG21" s="69" t="n">
        <f aca="false">OFFSET(TblConstr[[#This Row],[Tot DM]],1,0)*dm_gems</f>
        <v>0</v>
      </c>
      <c r="AH21" s="132"/>
      <c r="AI21" s="149" t="n">
        <f aca="false">MIN(race_platinum_bonus + IF(TblMagic[[#This Row],[Active Alch Frost]]&gt;0,alch_frost_bonus,IF(Magic!AD21&gt;0,midas_bonus)) + TblImps[[#This Row],[Science]] - TblProd[[#This Row],[Guard]]*(0.02 + tech_5_7*TblTech[[#This Row],[5-7]]) + tech_1_5*TblTech[[#This Row],[1-5]] + tech_4_4*TblTech[[#This Row],[4-4]], 0.5)</f>
        <v>0.15</v>
      </c>
      <c r="AJ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1" s="149" t="n">
        <f aca="false">race_lumber_bonus+ IF(TblMagic[[#This Row],[Active Gaia''s Blessing]]&gt;0,gaias_blessing_lumber)+ tech_1_3*TblTech[[#This Row],[1-3]] + tech_1_6*TblTech[[#This Row],[1-6]] + tech_3_3*TblTech[[#This Row],[3-3]]</f>
        <v>-0.1</v>
      </c>
      <c r="AL21" s="149" t="n">
        <f aca="false">race_mana_bonus+ 0 + TblImps[[#This Row],[Towers]] + tech_1_2*TblTech[[#This Row],[1-2]] + tech_3_4*TblTech[[#This Row],[3-4]]</f>
        <v>0</v>
      </c>
      <c r="AM21" s="149" t="n">
        <f aca="false">race_ore_bonus + IF(TblMagic[[#This Row],[Active Miner''s Sight]]&gt;0,miners_sight_bonus,IF(TblMagic[[#This Row],[Active Mining Strength]]&gt;0,mining_strength_bonus)) +  tech_1_6*TblTech[[#This Row],[1-6]]</f>
        <v>0</v>
      </c>
      <c r="AN21" s="149" t="n">
        <f aca="false">race_gem_bonus+ tech_3_2*TblTech[[#This Row],[3-2]] + tech_4_3*TblTech[[#This Row],[4-3]] + tech_6_2*TblTech[[#This Row],[6-2]]</f>
        <v>0.15</v>
      </c>
      <c r="AO21" s="132"/>
      <c r="AP21" s="69" t="n">
        <f aca="false">TblProd[[#This Row],[Food]]*food_decay * (1 + tech_2_1*TblTech[[#This Row],[2-1]] + tech_2_8*TblTech[[#This Row],[2-8]])</f>
        <v>371.55</v>
      </c>
      <c r="AQ21" s="69" t="n">
        <f aca="false">(1+race_food_consumption)*TblPop[[#This Row],[Total]]*food_per_person*(1+tech_1_10*TblTech[[#This Row],[1-10]]+tech_7_5*TblTech[[#This Row],[7-5]])</f>
        <v>591.25</v>
      </c>
      <c r="AR21" s="69" t="n">
        <f aca="false">TblProd[[#This Row],[Lumber]]*lumber_rot * (1 + tech_2_1*TblTech[[#This Row],[2-1]] + tech_2_8*TblTech[[#This Row],[2-8]] + tech_5_2*TblTech[[#This Row],[5-2]])</f>
        <v>41.48</v>
      </c>
      <c r="AS21" s="69" t="n">
        <f aca="false">TblProd[[#This Row],[Mana]]*mana_drain * (1 + tech_2_1*TblTech[[#This Row],[2-1]] + tech_2_8*TblTech[[#This Row],[2-8]])</f>
        <v>-155.66</v>
      </c>
      <c r="AT21" s="146"/>
      <c r="AU21" s="69" t="n">
        <f aca="false">TblExplore[[#This Row],[Platinum (2)]]+TblConstr[[#This Row],[Total Plat Cost]]+TblMili[[#This Row],[Plat Cost]]+TblRezone[[#This Row],[Platinum cost]]+TblImps[[#This Row],[P1]]-TblProd[[#This Row],[Bank Plat]]</f>
        <v>70118</v>
      </c>
      <c r="AV21" s="69" t="n">
        <f aca="false">TblConstr[[#This Row],[Total Lum Cost]]+TblImps[[#This Row],[L1]]-TblProd[[#This Row],[Bank Lumber]] + Military!$CL$25*TblMili[[#This Row],[Sec. rec. Cost]]</f>
        <v>1128</v>
      </c>
      <c r="AW21" s="69" t="n">
        <f aca="false">TblMagic[[#This Row],[Mana cost]] + Military!$CL$26*TblMili[[#This Row],[Sec. rec. Cost]]</f>
        <v>0</v>
      </c>
      <c r="AX21" s="69" t="n">
        <f aca="false">Military!$CL$24*TblMili[[#This Row],[Sec. rec. Cost]]+TblImps[[#This Row],[O1]]-TblProd[[#This Row],[Bank Ore]]</f>
        <v>0</v>
      </c>
      <c r="AY21" s="69" t="n">
        <f aca="false">TblImps[[#This Row],[G1]]-TblProd[[#This Row],[Bank Gems]]</f>
        <v>0</v>
      </c>
      <c r="AZ21" s="132"/>
      <c r="BA21" s="33" t="n">
        <f aca="false">IF(TblProd[[#This Row],[Set Guard]]&lt;&gt;"",TblProd[[#This Row],[Set Guard]],OFFSET(TblProd[[#This Row],[Guard]],-1,0))</f>
        <v>0</v>
      </c>
      <c r="BB21" s="145"/>
      <c r="BC21" s="151" t="n">
        <f aca="false">TblProd[[#This Row],[Hour]]</f>
        <v>18</v>
      </c>
      <c r="BD21" s="152" t="n">
        <f aca="false">-TblProd[[#This Row],[Bank Lumber]] / 2 + -TblProd[[#This Row],[Bank Gems]] * 2 + -TblProd[[#This Row],[Bank Ore]] / 2</f>
        <v>0</v>
      </c>
      <c r="BE21" s="152"/>
      <c r="BF21" s="152"/>
      <c r="BG21" s="152"/>
      <c r="BH21" s="153" t="n">
        <f aca="false">TblProd[[#This Row],[Time]]</f>
        <v>45430.4583333333</v>
      </c>
      <c r="BI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J21" s="69" t="n">
        <f aca="false">TblProd[[#This Row],[Platinum]]</f>
        <v>21929</v>
      </c>
      <c r="BK21" s="69" t="n">
        <f aca="false">TblProd[[#This Row],[Food]]</f>
        <v>37155</v>
      </c>
      <c r="BL21" s="69" t="n">
        <f aca="false">TblProd[[#This Row],[Lumber]]</f>
        <v>4148</v>
      </c>
      <c r="BM21" s="69" t="n">
        <f aca="false">TblProd[[#This Row],[Mana]]</f>
        <v>-7783</v>
      </c>
      <c r="BN21" s="69" t="n">
        <f aca="false">TblProd[[#This Row],[Ore]]</f>
        <v>-357</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c r="H22" s="69" t="e">
        <f aca="false">TblMili[[#This Row],[Networth (2)]]</f>
        <v>#VALUE!</v>
      </c>
      <c r="I22" s="69" t="n">
        <f aca="false">OFFSET(TblProd[[#This Row],[Platinum]],-1,0)+OFFSET(TblProd[[#This Row],[Plat/hr]],-1,0) - TblProd[[#This Row],[Expenses Platinum]] + IF(TblProd[[#This Row],[Plat Bonus]],TblPop[[#This Row],[Peasants]]*4) + SUM(TblConstr[[#This Row],[Dest Hom]:[Dest Doc]])*TblConstr[[#This Row],[CPA Platinum -DB]]*tech_3_3_2*TblTech[[#This Row],[3-3]]</f>
        <v>23317</v>
      </c>
      <c r="J22" s="69" t="n">
        <f aca="false">OFFSET(TblProd[[#This Row],[Food]],-1,0)+OFFSET(TblProd[[#This Row],[Food/hr]],-1,0)+ROUNDUP((TblConstr[[#This Row],[Farms]]*80+TblConstr[[#This Row],[Docks]]*35)*(1+OFFSET(TblProd[[#This Row],[Bonus Food/hr]],-1,0)),0)</f>
        <v>36602</v>
      </c>
      <c r="K22" s="69" t="n">
        <f aca="false">OFFSET(TblProd[[#This Row],[Lumber]],-1,0)+OFFSET(TblProd[[#This Row],[Lumber/hr]],-1,0) - TblProd[[#This Row],[Expenses Lumber]] + SUM(TblConstr[[#This Row],[Dest Hom]:[Dest Doc]])*TblConstr[[#This Row],[CPA Lumber -DB]]*tech_3_3_2*TblTech[[#This Row],[3-3]]</f>
        <v>4960</v>
      </c>
      <c r="L22" s="69" t="n">
        <f aca="false">OFFSET(TblProd[[#This Row],[Mana]],-1,0)+OFFSET(TblProd[[#This Row],[Mana/hr]],-1,0)- TblProd[[#This Row],[Expenses Mana]]</f>
        <v>-7252</v>
      </c>
      <c r="M22" s="69" t="n">
        <f aca="false">OFFSET(TblProd[[#This Row],[Ore]],-1,0)+OFFSET(TblProd[[#This Row],[Ore/hr]],-1,0) -TblProd[[#This Row],[Expenses Ore]]</f>
        <v>-357</v>
      </c>
      <c r="N22" s="69" t="n">
        <f aca="false">OFFSET(TblProd[[#This Row],[Gems]],-1,0)+OFFSET(TblProd[[#This Row],[Gems/hr]],-1,0) - TblProd[[#This Row],[Expenses Gems]]</f>
        <v>-1000</v>
      </c>
      <c r="O22" s="69" t="n">
        <f aca="false">OFFSET(TblProd[[#This Row],[Boats]],-1,0)+OFFSET(TblProd[[#This Row],[Boats/hr]],-1,0)</f>
        <v>0</v>
      </c>
      <c r="P22" s="69" t="n">
        <f aca="false">OFFSET(TblProd[[#This Row],[Prestige]],-1,0)</f>
        <v>250</v>
      </c>
      <c r="Q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2" s="69" t="n">
        <f aca="false">MAX(3750,_xlfn.CEILING.MATH(TblProd[[#This Row],[Land]]*2.5+OFFSET(TblTech[[#This Row],[Sum of tech]],-1,0)*150))</f>
        <v>3750</v>
      </c>
      <c r="S22" s="132"/>
      <c r="T22" s="69" t="n">
        <f aca="false">ROUNDDOWN(TblProd[[#This Row],[Raw Plat/hr]]*(1+TblProd[[#This Row],[Bonus Plat/hr]]),0)</f>
        <v>11816</v>
      </c>
      <c r="U22" s="69" t="n">
        <f aca="false">ROUND(TblProd[[#This Row],[Raw Food/hr]]*(1+TblProd[[#This Row],[Bonus Food/hr]])-TblProd[[#This Row],[Food decay]]-TblProd[[#This Row],[Food eaten]],0)</f>
        <v>-569</v>
      </c>
      <c r="V22" s="69" t="n">
        <f aca="false">ROUND(TblProd[[#This Row],[Raw Lumber/hr]]*(1+TblProd[[#This Row],[Bonus Lumber/hr]])-TblProd[[#This Row],[Lumber rot]],0)</f>
        <v>850</v>
      </c>
      <c r="W22" s="69" t="n">
        <f aca="false">ROUND(TblProd[[#This Row],[Raw Mana/hr]]*(1+TblProd[[#This Row],[Bonus Mana/hr]])-TblProd[[#This Row],[Mana drain]],0)</f>
        <v>520</v>
      </c>
      <c r="X22" s="69" t="n">
        <f aca="false">ROUNDDOWN(TblProd[[#This Row],[Raw Ore/hr]]*(1+TblProd[[#This Row],[Bonux Ore/hr]]),0)</f>
        <v>0</v>
      </c>
      <c r="Y22" s="69" t="n">
        <f aca="false">ROUNDDOWN(TblProd[[#This Row],[Raw Gems/hr]]*(1+TblProd[[#This Row],[Bonus Gems/hr]]),0)</f>
        <v>0</v>
      </c>
      <c r="Z22" s="148" t="n">
        <f aca="false">OFFSET(TblConstr[[#This Row],[Tot Doc]],1,0)*dock_boats_hr * (1 + tech_4_1*TblTech[[#This Row],[4-1]])</f>
        <v>0</v>
      </c>
      <c r="AA22" s="146"/>
      <c r="AB22" s="69" t="n">
        <f aca="false">TblPop[[#This Row],[Peasants]]*tax*TblPop[[#This Row],[Employment]] + (Construction!AZ23+Construction!BX23)*(alch_plat+(Magic!AM22&gt;0)*alchemist_flame_bonus)</f>
        <v>10275.4</v>
      </c>
      <c r="AC22" s="69" t="n">
        <f aca="false">TblConstr[[#This Row],[Tot Farm]]*farm_food + TblConstr[[#This Row],[Tot Doc]]*dock_food</f>
        <v>400</v>
      </c>
      <c r="AD22" s="69" t="n">
        <f aca="false">TblConstr[[#This Row],[Tot Ly]]*ly_lumber + TblConstr[[#This Row],[Tot Hav]]*fh_lumber</f>
        <v>1000</v>
      </c>
      <c r="AE22" s="69" t="n">
        <f aca="false">OFFSET(TblConstr[[#This Row],[Tot Tow]],1,0)*(tower_mana + tech_4_5*TblTech[[#This Row],[4-5]]) + OFFSET(TblConstr[[#This Row],[Tot WG]],1,0)*wg_mana_prod</f>
        <v>375</v>
      </c>
      <c r="AF22" s="69" t="n">
        <f aca="false">OFFSET(TblConstr[[#This Row],[Tot OM]],1,0)*om_ore+IF(race="Dwarf",ROUNDDOWN(TblMili[[#This Row],[Unit 2]]*0.4,0),)</f>
        <v>0</v>
      </c>
      <c r="AG22" s="69" t="n">
        <f aca="false">OFFSET(TblConstr[[#This Row],[Tot DM]],1,0)*dm_gems</f>
        <v>0</v>
      </c>
      <c r="AH22" s="132"/>
      <c r="AI22" s="149" t="n">
        <f aca="false">MIN(race_platinum_bonus + IF(TblMagic[[#This Row],[Active Alch Frost]]&gt;0,alch_frost_bonus,IF(Magic!AD22&gt;0,midas_bonus)) + TblImps[[#This Row],[Science]] - TblProd[[#This Row],[Guard]]*(0.02 + tech_5_7*TblTech[[#This Row],[5-7]]) + tech_1_5*TblTech[[#This Row],[1-5]] + tech_4_4*TblTech[[#This Row],[4-4]], 0.5)</f>
        <v>0.15</v>
      </c>
      <c r="AJ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2" s="149" t="n">
        <f aca="false">race_lumber_bonus+ IF(TblMagic[[#This Row],[Active Gaia''s Blessing]]&gt;0,gaias_blessing_lumber)+ tech_1_3*TblTech[[#This Row],[1-3]] + tech_1_6*TblTech[[#This Row],[1-6]] + tech_3_3*TblTech[[#This Row],[3-3]]</f>
        <v>-0.1</v>
      </c>
      <c r="AL22" s="149" t="n">
        <f aca="false">race_mana_bonus+ 0 + TblImps[[#This Row],[Towers]] + tech_1_2*TblTech[[#This Row],[1-2]] + tech_3_4*TblTech[[#This Row],[3-4]]</f>
        <v>0</v>
      </c>
      <c r="AM22" s="149" t="n">
        <f aca="false">race_ore_bonus + IF(TblMagic[[#This Row],[Active Miner''s Sight]]&gt;0,miners_sight_bonus,IF(TblMagic[[#This Row],[Active Mining Strength]]&gt;0,mining_strength_bonus)) +  tech_1_6*TblTech[[#This Row],[1-6]]</f>
        <v>0</v>
      </c>
      <c r="AN22" s="149" t="n">
        <f aca="false">race_gem_bonus+ tech_3_2*TblTech[[#This Row],[3-2]] + tech_4_3*TblTech[[#This Row],[4-3]] + tech_6_2*TblTech[[#This Row],[6-2]]</f>
        <v>0.15</v>
      </c>
      <c r="AO22" s="132"/>
      <c r="AP22" s="69" t="n">
        <f aca="false">TblProd[[#This Row],[Food]]*food_decay * (1 + tech_2_1*TblTech[[#This Row],[2-1]] + tech_2_8*TblTech[[#This Row],[2-8]])</f>
        <v>366.02</v>
      </c>
      <c r="AQ22" s="69" t="n">
        <f aca="false">(1+race_food_consumption)*TblPop[[#This Row],[Total]]*food_per_person*(1+tech_1_10*TblTech[[#This Row],[1-10]]+tech_7_5*TblTech[[#This Row],[7-5]])</f>
        <v>613.25</v>
      </c>
      <c r="AR22" s="69" t="n">
        <f aca="false">TblProd[[#This Row],[Lumber]]*lumber_rot * (1 + tech_2_1*TblTech[[#This Row],[2-1]] + tech_2_8*TblTech[[#This Row],[2-8]] + tech_5_2*TblTech[[#This Row],[5-2]])</f>
        <v>49.6</v>
      </c>
      <c r="AS22" s="69" t="n">
        <f aca="false">TblProd[[#This Row],[Mana]]*mana_drain * (1 + tech_2_1*TblTech[[#This Row],[2-1]] + tech_2_8*TblTech[[#This Row],[2-8]])</f>
        <v>-145.04</v>
      </c>
      <c r="AT22" s="146"/>
      <c r="AU22" s="69" t="n">
        <f aca="false">TblExplore[[#This Row],[Platinum (2)]]+TblConstr[[#This Row],[Total Plat Cost]]+TblMili[[#This Row],[Plat Cost]]+TblRezone[[#This Row],[Platinum cost]]+TblImps[[#This Row],[P1]]-TblProd[[#This Row],[Bank Plat]]</f>
        <v>10087</v>
      </c>
      <c r="AV22" s="69" t="n">
        <f aca="false">TblConstr[[#This Row],[Total Lum Cost]]+TblImps[[#This Row],[L1]]-TblProd[[#This Row],[Bank Lumber]] + Military!$CL$25*TblMili[[#This Row],[Sec. rec. Cost]]</f>
        <v>47</v>
      </c>
      <c r="AW22" s="69" t="n">
        <f aca="false">TblMagic[[#This Row],[Mana cost]] + Military!$CL$26*TblMili[[#This Row],[Sec. rec. Cost]]</f>
        <v>0</v>
      </c>
      <c r="AX22" s="69" t="n">
        <f aca="false">Military!$CL$24*TblMili[[#This Row],[Sec. rec. Cost]]+TblImps[[#This Row],[O1]]-TblProd[[#This Row],[Bank Ore]]</f>
        <v>0</v>
      </c>
      <c r="AY22" s="69" t="n">
        <f aca="false">TblImps[[#This Row],[G1]]-TblProd[[#This Row],[Bank Gems]]</f>
        <v>0</v>
      </c>
      <c r="AZ22" s="132"/>
      <c r="BA22" s="33" t="n">
        <f aca="false">IF(TblProd[[#This Row],[Set Guard]]&lt;&gt;"",TblProd[[#This Row],[Set Guard]],OFFSET(TblProd[[#This Row],[Guard]],-1,0))</f>
        <v>0</v>
      </c>
      <c r="BB22" s="145"/>
      <c r="BC22" s="151" t="n">
        <f aca="false">TblProd[[#This Row],[Hour]]</f>
        <v>19</v>
      </c>
      <c r="BD22" s="152" t="n">
        <f aca="false">-TblProd[[#This Row],[Bank Lumber]] / 2 + -TblProd[[#This Row],[Bank Gems]] * 2 + -TblProd[[#This Row],[Bank Ore]] / 2</f>
        <v>0</v>
      </c>
      <c r="BE22" s="152"/>
      <c r="BF22" s="152"/>
      <c r="BG22" s="152"/>
      <c r="BH22" s="153" t="n">
        <f aca="false">TblProd[[#This Row],[Time]]</f>
        <v>45430.5</v>
      </c>
      <c r="BI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J22" s="69" t="n">
        <f aca="false">TblProd[[#This Row],[Platinum]]</f>
        <v>23317</v>
      </c>
      <c r="BK22" s="69" t="n">
        <f aca="false">TblProd[[#This Row],[Food]]</f>
        <v>36602</v>
      </c>
      <c r="BL22" s="69" t="n">
        <f aca="false">TblProd[[#This Row],[Lumber]]</f>
        <v>4960</v>
      </c>
      <c r="BM22" s="69" t="n">
        <f aca="false">TblProd[[#This Row],[Mana]]</f>
        <v>-7252</v>
      </c>
      <c r="BN22" s="69" t="n">
        <f aca="false">TblProd[[#This Row],[Ore]]</f>
        <v>-357</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c r="H23" s="69" t="e">
        <f aca="false">TblMili[[#This Row],[Networth (2)]]</f>
        <v>#VALUE!</v>
      </c>
      <c r="I23" s="69" t="n">
        <f aca="false">OFFSET(TblProd[[#This Row],[Platinum]],-1,0)+OFFSET(TblProd[[#This Row],[Plat/hr]],-1,0) - TblProd[[#This Row],[Expenses Platinum]] + IF(TblProd[[#This Row],[Plat Bonus]],TblPop[[#This Row],[Peasants]]*4) + SUM(TblConstr[[#This Row],[Dest Hom]:[Dest Doc]])*TblConstr[[#This Row],[CPA Platinum -DB]]*tech_3_3_2*TblTech[[#This Row],[3-3]]</f>
        <v>24112</v>
      </c>
      <c r="J23" s="69" t="n">
        <f aca="false">OFFSET(TblProd[[#This Row],[Food]],-1,0)+OFFSET(TblProd[[#This Row],[Food/hr]],-1,0)+ROUNDUP((TblConstr[[#This Row],[Farms]]*80+TblConstr[[#This Row],[Docks]]*35)*(1+OFFSET(TblProd[[#This Row],[Bonus Food/hr]],-1,0)),0)</f>
        <v>36033</v>
      </c>
      <c r="K23" s="69" t="n">
        <f aca="false">OFFSET(TblProd[[#This Row],[Lumber]],-1,0)+OFFSET(TblProd[[#This Row],[Lumber/hr]],-1,0) - TblProd[[#This Row],[Expenses Lumber]] + SUM(TblConstr[[#This Row],[Dest Hom]:[Dest Doc]])*TblConstr[[#This Row],[CPA Lumber -DB]]*tech_3_3_2*TblTech[[#This Row],[3-3]]</f>
        <v>5763</v>
      </c>
      <c r="L23" s="69" t="n">
        <f aca="false">OFFSET(TblProd[[#This Row],[Mana]],-1,0)+OFFSET(TblProd[[#This Row],[Mana/hr]],-1,0)- TblProd[[#This Row],[Expenses Mana]]</f>
        <v>-6732</v>
      </c>
      <c r="M23" s="69" t="n">
        <f aca="false">OFFSET(TblProd[[#This Row],[Ore]],-1,0)+OFFSET(TblProd[[#This Row],[Ore/hr]],-1,0) -TblProd[[#This Row],[Expenses Ore]]</f>
        <v>-357</v>
      </c>
      <c r="N23" s="69" t="n">
        <f aca="false">OFFSET(TblProd[[#This Row],[Gems]],-1,0)+OFFSET(TblProd[[#This Row],[Gems/hr]],-1,0) - TblProd[[#This Row],[Expenses Gems]]</f>
        <v>-1000</v>
      </c>
      <c r="O23" s="69" t="n">
        <f aca="false">OFFSET(TblProd[[#This Row],[Boats]],-1,0)+OFFSET(TblProd[[#This Row],[Boats/hr]],-1,0)</f>
        <v>0</v>
      </c>
      <c r="P23" s="69" t="n">
        <f aca="false">OFFSET(TblProd[[#This Row],[Prestige]],-1,0)</f>
        <v>250</v>
      </c>
      <c r="Q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3" s="69" t="n">
        <f aca="false">MAX(3750,_xlfn.CEILING.MATH(TblProd[[#This Row],[Land]]*2.5+OFFSET(TblTech[[#This Row],[Sum of tech]],-1,0)*150))</f>
        <v>3750</v>
      </c>
      <c r="S23" s="132"/>
      <c r="T23" s="69" t="n">
        <f aca="false">ROUNDDOWN(TblProd[[#This Row],[Raw Plat/hr]]*(1+TblProd[[#This Row],[Bonus Plat/hr]]),0)</f>
        <v>10585</v>
      </c>
      <c r="U23" s="69" t="n">
        <f aca="false">ROUND(TblProd[[#This Row],[Raw Food/hr]]*(1+TblProd[[#This Row],[Bonus Food/hr]])-TblProd[[#This Row],[Food decay]]-TblProd[[#This Row],[Food eaten]],0)</f>
        <v>-586</v>
      </c>
      <c r="V23" s="69" t="n">
        <f aca="false">ROUND(TblProd[[#This Row],[Raw Lumber/hr]]*(1+TblProd[[#This Row],[Bonus Lumber/hr]])-TblProd[[#This Row],[Lumber rot]],0)</f>
        <v>842</v>
      </c>
      <c r="W23" s="69" t="n">
        <f aca="false">ROUND(TblProd[[#This Row],[Raw Mana/hr]]*(1+TblProd[[#This Row],[Bonus Mana/hr]])-TblProd[[#This Row],[Mana drain]],0)</f>
        <v>510</v>
      </c>
      <c r="X23" s="69" t="n">
        <f aca="false">ROUNDDOWN(TblProd[[#This Row],[Raw Ore/hr]]*(1+TblProd[[#This Row],[Bonux Ore/hr]]),0)</f>
        <v>0</v>
      </c>
      <c r="Y23" s="69" t="n">
        <f aca="false">ROUNDDOWN(TblProd[[#This Row],[Raw Gems/hr]]*(1+TblProd[[#This Row],[Bonus Gems/hr]]),0)</f>
        <v>0</v>
      </c>
      <c r="Z23" s="148" t="n">
        <f aca="false">OFFSET(TblConstr[[#This Row],[Tot Doc]],1,0)*dock_boats_hr * (1 + tech_4_1*TblTech[[#This Row],[4-1]])</f>
        <v>0</v>
      </c>
      <c r="AA23" s="146"/>
      <c r="AB23" s="69" t="n">
        <f aca="false">TblPop[[#This Row],[Peasants]]*tax*TblPop[[#This Row],[Employment]] + (Construction!AZ24+Construction!BX24)*(alch_plat+(Magic!AM23&gt;0)*alchemist_flame_bonus)</f>
        <v>10585.9</v>
      </c>
      <c r="AC23" s="69" t="n">
        <f aca="false">TblConstr[[#This Row],[Tot Farm]]*farm_food + TblConstr[[#This Row],[Tot Doc]]*dock_food</f>
        <v>400</v>
      </c>
      <c r="AD23" s="69" t="n">
        <f aca="false">TblConstr[[#This Row],[Tot Ly]]*ly_lumber + TblConstr[[#This Row],[Tot Hav]]*fh_lumber</f>
        <v>1000</v>
      </c>
      <c r="AE23" s="69" t="n">
        <f aca="false">OFFSET(TblConstr[[#This Row],[Tot Tow]],1,0)*(tower_mana + tech_4_5*TblTech[[#This Row],[4-5]]) + OFFSET(TblConstr[[#This Row],[Tot WG]],1,0)*wg_mana_prod</f>
        <v>375</v>
      </c>
      <c r="AF23" s="69" t="n">
        <f aca="false">OFFSET(TblConstr[[#This Row],[Tot OM]],1,0)*om_ore+IF(race="Dwarf",ROUNDDOWN(TblMili[[#This Row],[Unit 2]]*0.4,0),)</f>
        <v>0</v>
      </c>
      <c r="AG23" s="69" t="n">
        <f aca="false">OFFSET(TblConstr[[#This Row],[Tot DM]],1,0)*dm_gems</f>
        <v>0</v>
      </c>
      <c r="AH23" s="132"/>
      <c r="AI23" s="149" t="n">
        <f aca="false">MIN(race_platinum_bonus + IF(TblMagic[[#This Row],[Active Alch Frost]]&gt;0,alch_frost_bonus,IF(Magic!AD23&gt;0,midas_bonus)) + TblImps[[#This Row],[Science]] - TblProd[[#This Row],[Guard]]*(0.02 + tech_5_7*TblTech[[#This Row],[5-7]]) + tech_1_5*TblTech[[#This Row],[1-5]] + tech_4_4*TblTech[[#This Row],[4-4]], 0.5)</f>
        <v>0</v>
      </c>
      <c r="AJ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3" s="149" t="n">
        <f aca="false">race_lumber_bonus+ IF(TblMagic[[#This Row],[Active Gaia''s Blessing]]&gt;0,gaias_blessing_lumber)+ tech_1_3*TblTech[[#This Row],[1-3]] + tech_1_6*TblTech[[#This Row],[1-6]] + tech_3_3*TblTech[[#This Row],[3-3]]</f>
        <v>-0.1</v>
      </c>
      <c r="AL23" s="149" t="n">
        <f aca="false">race_mana_bonus+ 0 + TblImps[[#This Row],[Towers]] + tech_1_2*TblTech[[#This Row],[1-2]] + tech_3_4*TblTech[[#This Row],[3-4]]</f>
        <v>0</v>
      </c>
      <c r="AM23" s="149" t="n">
        <f aca="false">race_ore_bonus + IF(TblMagic[[#This Row],[Active Miner''s Sight]]&gt;0,miners_sight_bonus,IF(TblMagic[[#This Row],[Active Mining Strength]]&gt;0,mining_strength_bonus)) +  tech_1_6*TblTech[[#This Row],[1-6]]</f>
        <v>0</v>
      </c>
      <c r="AN23" s="149" t="n">
        <f aca="false">race_gem_bonus+ tech_3_2*TblTech[[#This Row],[3-2]] + tech_4_3*TblTech[[#This Row],[4-3]] + tech_6_2*TblTech[[#This Row],[6-2]]</f>
        <v>0.15</v>
      </c>
      <c r="AO23" s="132"/>
      <c r="AP23" s="69" t="n">
        <f aca="false">TblProd[[#This Row],[Food]]*food_decay * (1 + tech_2_1*TblTech[[#This Row],[2-1]] + tech_2_8*TblTech[[#This Row],[2-8]])</f>
        <v>360.33</v>
      </c>
      <c r="AQ23" s="69" t="n">
        <f aca="false">(1+race_food_consumption)*TblPop[[#This Row],[Total]]*food_per_person*(1+tech_1_10*TblTech[[#This Row],[1-10]]+tech_7_5*TblTech[[#This Row],[7-5]])</f>
        <v>635.75</v>
      </c>
      <c r="AR23" s="69" t="n">
        <f aca="false">TblProd[[#This Row],[Lumber]]*lumber_rot * (1 + tech_2_1*TblTech[[#This Row],[2-1]] + tech_2_8*TblTech[[#This Row],[2-8]] + tech_5_2*TblTech[[#This Row],[5-2]])</f>
        <v>57.63</v>
      </c>
      <c r="AS23" s="69" t="n">
        <f aca="false">TblProd[[#This Row],[Mana]]*mana_drain * (1 + tech_2_1*TblTech[[#This Row],[2-1]] + tech_2_8*TblTech[[#This Row],[2-8]])</f>
        <v>-134.64</v>
      </c>
      <c r="AT23" s="146"/>
      <c r="AU23" s="69" t="n">
        <f aca="false">TblExplore[[#This Row],[Platinum (2)]]+TblConstr[[#This Row],[Total Plat Cost]]+TblMili[[#This Row],[Plat Cost]]+TblRezone[[#This Row],[Platinum cost]]+TblImps[[#This Row],[P1]]-TblProd[[#This Row],[Bank Plat]]</f>
        <v>11021</v>
      </c>
      <c r="AV23" s="69" t="n">
        <f aca="false">TblConstr[[#This Row],[Total Lum Cost]]+TblImps[[#This Row],[L1]]-TblProd[[#This Row],[Bank Lumber]] + Military!$CL$25*TblMili[[#This Row],[Sec. rec. Cost]]</f>
        <v>47</v>
      </c>
      <c r="AW23" s="69" t="n">
        <f aca="false">TblMagic[[#This Row],[Mana cost]] + Military!$CL$26*TblMili[[#This Row],[Sec. rec. Cost]]</f>
        <v>0</v>
      </c>
      <c r="AX23" s="69" t="n">
        <f aca="false">Military!$CL$24*TblMili[[#This Row],[Sec. rec. Cost]]+TblImps[[#This Row],[O1]]-TblProd[[#This Row],[Bank Ore]]</f>
        <v>0</v>
      </c>
      <c r="AY23" s="69" t="n">
        <f aca="false">TblImps[[#This Row],[G1]]-TblProd[[#This Row],[Bank Gems]]</f>
        <v>0</v>
      </c>
      <c r="AZ23" s="132"/>
      <c r="BA23" s="33" t="n">
        <f aca="false">IF(TblProd[[#This Row],[Set Guard]]&lt;&gt;"",TblProd[[#This Row],[Set Guard]],OFFSET(TblProd[[#This Row],[Guard]],-1,0))</f>
        <v>0</v>
      </c>
      <c r="BB23" s="145"/>
      <c r="BC23" s="151" t="n">
        <f aca="false">TblProd[[#This Row],[Hour]]</f>
        <v>20</v>
      </c>
      <c r="BD23" s="152" t="n">
        <f aca="false">-TblProd[[#This Row],[Bank Lumber]] / 2 + -TblProd[[#This Row],[Bank Gems]] * 2 + -TblProd[[#This Row],[Bank Ore]] / 2</f>
        <v>0</v>
      </c>
      <c r="BE23" s="152"/>
      <c r="BF23" s="152"/>
      <c r="BG23" s="152"/>
      <c r="BH23" s="153" t="n">
        <f aca="false">TblProd[[#This Row],[Time]]</f>
        <v>45430.5416666667</v>
      </c>
      <c r="BI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J23" s="69" t="n">
        <f aca="false">TblProd[[#This Row],[Platinum]]</f>
        <v>24112</v>
      </c>
      <c r="BK23" s="69" t="n">
        <f aca="false">TblProd[[#This Row],[Food]]</f>
        <v>36033</v>
      </c>
      <c r="BL23" s="69" t="n">
        <f aca="false">TblProd[[#This Row],[Lumber]]</f>
        <v>5763</v>
      </c>
      <c r="BM23" s="69" t="n">
        <f aca="false">TblProd[[#This Row],[Mana]]</f>
        <v>-6732</v>
      </c>
      <c r="BN23" s="69" t="n">
        <f aca="false">TblProd[[#This Row],[Ore]]</f>
        <v>-357</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c r="H24" s="69" t="e">
        <f aca="false">TblMili[[#This Row],[Networth (2)]]</f>
        <v>#VALUE!</v>
      </c>
      <c r="I24" s="69" t="n">
        <f aca="false">OFFSET(TblProd[[#This Row],[Platinum]],-1,0)+OFFSET(TblProd[[#This Row],[Plat/hr]],-1,0) - TblProd[[#This Row],[Expenses Platinum]] + IF(TblProd[[#This Row],[Plat Bonus]],TblPop[[#This Row],[Peasants]]*4) + SUM(TblConstr[[#This Row],[Dest Hom]:[Dest Doc]])*TblConstr[[#This Row],[CPA Platinum -DB]]*tech_3_3_2*TblTech[[#This Row],[3-3]]</f>
        <v>23628</v>
      </c>
      <c r="J24" s="69" t="n">
        <f aca="false">OFFSET(TblProd[[#This Row],[Food]],-1,0)+OFFSET(TblProd[[#This Row],[Food/hr]],-1,0)+ROUNDUP((TblConstr[[#This Row],[Farms]]*80+TblConstr[[#This Row],[Docks]]*35)*(1+OFFSET(TblProd[[#This Row],[Bonus Food/hr]],-1,0)),0)</f>
        <v>35447</v>
      </c>
      <c r="K24" s="69" t="n">
        <f aca="false">OFFSET(TblProd[[#This Row],[Lumber]],-1,0)+OFFSET(TblProd[[#This Row],[Lumber/hr]],-1,0) - TblProd[[#This Row],[Expenses Lumber]] + SUM(TblConstr[[#This Row],[Dest Hom]:[Dest Doc]])*TblConstr[[#This Row],[CPA Lumber -DB]]*tech_3_3_2*TblTech[[#This Row],[3-3]]</f>
        <v>6558</v>
      </c>
      <c r="L24" s="69" t="n">
        <f aca="false">OFFSET(TblProd[[#This Row],[Mana]],-1,0)+OFFSET(TblProd[[#This Row],[Mana/hr]],-1,0)- TblProd[[#This Row],[Expenses Mana]]</f>
        <v>-6222</v>
      </c>
      <c r="M24" s="69" t="n">
        <f aca="false">OFFSET(TblProd[[#This Row],[Ore]],-1,0)+OFFSET(TblProd[[#This Row],[Ore/hr]],-1,0) -TblProd[[#This Row],[Expenses Ore]]</f>
        <v>-357</v>
      </c>
      <c r="N24" s="69" t="n">
        <f aca="false">OFFSET(TblProd[[#This Row],[Gems]],-1,0)+OFFSET(TblProd[[#This Row],[Gems/hr]],-1,0) - TblProd[[#This Row],[Expenses Gems]]</f>
        <v>-1000</v>
      </c>
      <c r="O24" s="69" t="n">
        <f aca="false">OFFSET(TblProd[[#This Row],[Boats]],-1,0)+OFFSET(TblProd[[#This Row],[Boats/hr]],-1,0)</f>
        <v>0</v>
      </c>
      <c r="P24" s="69" t="n">
        <f aca="false">OFFSET(TblProd[[#This Row],[Prestige]],-1,0)</f>
        <v>250</v>
      </c>
      <c r="Q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4" s="69" t="n">
        <f aca="false">MAX(3750,_xlfn.CEILING.MATH(TblProd[[#This Row],[Land]]*2.5+OFFSET(TblTech[[#This Row],[Sum of tech]],-1,0)*150))</f>
        <v>3750</v>
      </c>
      <c r="S24" s="132"/>
      <c r="T24" s="69" t="n">
        <f aca="false">ROUNDDOWN(TblProd[[#This Row],[Raw Plat/hr]]*(1+TblProd[[#This Row],[Bonus Plat/hr]]),0)</f>
        <v>10002</v>
      </c>
      <c r="U24" s="69" t="n">
        <f aca="false">ROUND(TblProd[[#This Row],[Raw Food/hr]]*(1+TblProd[[#This Row],[Bonus Food/hr]])-TblProd[[#This Row],[Food decay]]-TblProd[[#This Row],[Food eaten]],0)</f>
        <v>-604</v>
      </c>
      <c r="V24" s="69" t="n">
        <f aca="false">ROUND(TblProd[[#This Row],[Raw Lumber/hr]]*(1+TblProd[[#This Row],[Bonus Lumber/hr]])-TblProd[[#This Row],[Lumber rot]],0)</f>
        <v>834</v>
      </c>
      <c r="W24" s="69" t="n">
        <f aca="false">ROUND(TblProd[[#This Row],[Raw Mana/hr]]*(1+TblProd[[#This Row],[Bonus Mana/hr]])-TblProd[[#This Row],[Mana drain]],0)</f>
        <v>499</v>
      </c>
      <c r="X24" s="69" t="n">
        <f aca="false">ROUNDDOWN(TblProd[[#This Row],[Raw Ore/hr]]*(1+TblProd[[#This Row],[Bonux Ore/hr]]),0)</f>
        <v>0</v>
      </c>
      <c r="Y24" s="69" t="n">
        <f aca="false">ROUNDDOWN(TblProd[[#This Row],[Raw Gems/hr]]*(1+TblProd[[#This Row],[Bonus Gems/hr]]),0)</f>
        <v>0</v>
      </c>
      <c r="Z24" s="148" t="n">
        <f aca="false">OFFSET(TblConstr[[#This Row],[Tot Doc]],1,0)*dock_boats_hr * (1 + tech_4_1*TblTech[[#This Row],[4-1]])</f>
        <v>0</v>
      </c>
      <c r="AA24" s="146"/>
      <c r="AB24" s="69" t="n">
        <f aca="false">TblPop[[#This Row],[Peasants]]*tax*TblPop[[#This Row],[Employment]] + (Construction!AZ25+Construction!BX25)*(alch_plat+(Magic!AM24&gt;0)*alchemist_flame_bonus)</f>
        <v>10002.6</v>
      </c>
      <c r="AC24" s="69" t="n">
        <f aca="false">TblConstr[[#This Row],[Tot Farm]]*farm_food + TblConstr[[#This Row],[Tot Doc]]*dock_food</f>
        <v>400</v>
      </c>
      <c r="AD24" s="69" t="n">
        <f aca="false">TblConstr[[#This Row],[Tot Ly]]*ly_lumber + TblConstr[[#This Row],[Tot Hav]]*fh_lumber</f>
        <v>1000</v>
      </c>
      <c r="AE24" s="69" t="n">
        <f aca="false">OFFSET(TblConstr[[#This Row],[Tot Tow]],1,0)*(tower_mana + tech_4_5*TblTech[[#This Row],[4-5]]) + OFFSET(TblConstr[[#This Row],[Tot WG]],1,0)*wg_mana_prod</f>
        <v>375</v>
      </c>
      <c r="AF24" s="69" t="n">
        <f aca="false">OFFSET(TblConstr[[#This Row],[Tot OM]],1,0)*om_ore+IF(race="Dwarf",ROUNDDOWN(TblMili[[#This Row],[Unit 2]]*0.4,0),)</f>
        <v>0</v>
      </c>
      <c r="AG24" s="69" t="n">
        <f aca="false">OFFSET(TblConstr[[#This Row],[Tot DM]],1,0)*dm_gems</f>
        <v>0</v>
      </c>
      <c r="AH24" s="132"/>
      <c r="AI24" s="149" t="n">
        <f aca="false">MIN(race_platinum_bonus + IF(TblMagic[[#This Row],[Active Alch Frost]]&gt;0,alch_frost_bonus,IF(Magic!AD24&gt;0,midas_bonus)) + TblImps[[#This Row],[Science]] - TblProd[[#This Row],[Guard]]*(0.02 + tech_5_7*TblTech[[#This Row],[5-7]]) + tech_1_5*TblTech[[#This Row],[1-5]] + tech_4_4*TblTech[[#This Row],[4-4]], 0.5)</f>
        <v>0</v>
      </c>
      <c r="AJ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4" s="149" t="n">
        <f aca="false">race_lumber_bonus+ IF(TblMagic[[#This Row],[Active Gaia''s Blessing]]&gt;0,gaias_blessing_lumber)+ tech_1_3*TblTech[[#This Row],[1-3]] + tech_1_6*TblTech[[#This Row],[1-6]] + tech_3_3*TblTech[[#This Row],[3-3]]</f>
        <v>-0.1</v>
      </c>
      <c r="AL24" s="149" t="n">
        <f aca="false">race_mana_bonus+ 0 + TblImps[[#This Row],[Towers]] + tech_1_2*TblTech[[#This Row],[1-2]] + tech_3_4*TblTech[[#This Row],[3-4]]</f>
        <v>0</v>
      </c>
      <c r="AM24" s="149" t="n">
        <f aca="false">race_ore_bonus + IF(TblMagic[[#This Row],[Active Miner''s Sight]]&gt;0,miners_sight_bonus,IF(TblMagic[[#This Row],[Active Mining Strength]]&gt;0,mining_strength_bonus)) +  tech_1_6*TblTech[[#This Row],[1-6]]</f>
        <v>0</v>
      </c>
      <c r="AN24" s="149" t="n">
        <f aca="false">race_gem_bonus+ tech_3_2*TblTech[[#This Row],[3-2]] + tech_4_3*TblTech[[#This Row],[4-3]] + tech_6_2*TblTech[[#This Row],[6-2]]</f>
        <v>0.15</v>
      </c>
      <c r="AO24" s="132"/>
      <c r="AP24" s="69" t="n">
        <f aca="false">TblProd[[#This Row],[Food]]*food_decay * (1 + tech_2_1*TblTech[[#This Row],[2-1]] + tech_2_8*TblTech[[#This Row],[2-8]])</f>
        <v>354.47</v>
      </c>
      <c r="AQ24" s="69" t="n">
        <f aca="false">(1+race_food_consumption)*TblPop[[#This Row],[Total]]*food_per_person*(1+tech_1_10*TblTech[[#This Row],[1-10]]+tech_7_5*TblTech[[#This Row],[7-5]])</f>
        <v>660</v>
      </c>
      <c r="AR24" s="69" t="n">
        <f aca="false">TblProd[[#This Row],[Lumber]]*lumber_rot * (1 + tech_2_1*TblTech[[#This Row],[2-1]] + tech_2_8*TblTech[[#This Row],[2-8]] + tech_5_2*TblTech[[#This Row],[5-2]])</f>
        <v>65.58</v>
      </c>
      <c r="AS24" s="69" t="n">
        <f aca="false">TblProd[[#This Row],[Mana]]*mana_drain * (1 + tech_2_1*TblTech[[#This Row],[2-1]] + tech_2_8*TblTech[[#This Row],[2-8]])</f>
        <v>-124.44</v>
      </c>
      <c r="AT24" s="146"/>
      <c r="AU24" s="69" t="n">
        <f aca="false">TblExplore[[#This Row],[Platinum (2)]]+TblConstr[[#This Row],[Total Plat Cost]]+TblMili[[#This Row],[Plat Cost]]+TblRezone[[#This Row],[Platinum cost]]+TblImps[[#This Row],[P1]]-TblProd[[#This Row],[Bank Plat]]</f>
        <v>11069</v>
      </c>
      <c r="AV24" s="69" t="n">
        <f aca="false">TblConstr[[#This Row],[Total Lum Cost]]+TblImps[[#This Row],[L1]]-TblProd[[#This Row],[Bank Lumber]] + Military!$CL$25*TblMili[[#This Row],[Sec. rec. Cost]]</f>
        <v>47</v>
      </c>
      <c r="AW24" s="69" t="n">
        <f aca="false">TblMagic[[#This Row],[Mana cost]] + Military!$CL$26*TblMili[[#This Row],[Sec. rec. Cost]]</f>
        <v>0</v>
      </c>
      <c r="AX24" s="69" t="n">
        <f aca="false">Military!$CL$24*TblMili[[#This Row],[Sec. rec. Cost]]+TblImps[[#This Row],[O1]]-TblProd[[#This Row],[Bank Ore]]</f>
        <v>0</v>
      </c>
      <c r="AY24" s="69" t="n">
        <f aca="false">TblImps[[#This Row],[G1]]-TblProd[[#This Row],[Bank Gems]]</f>
        <v>0</v>
      </c>
      <c r="AZ24" s="132"/>
      <c r="BA24" s="33" t="n">
        <f aca="false">IF(TblProd[[#This Row],[Set Guard]]&lt;&gt;"",TblProd[[#This Row],[Set Guard]],OFFSET(TblProd[[#This Row],[Guard]],-1,0))</f>
        <v>0</v>
      </c>
      <c r="BB24" s="145"/>
      <c r="BC24" s="151" t="n">
        <f aca="false">TblProd[[#This Row],[Hour]]</f>
        <v>21</v>
      </c>
      <c r="BD24" s="152" t="n">
        <f aca="false">-TblProd[[#This Row],[Bank Lumber]] / 2 + -TblProd[[#This Row],[Bank Gems]] * 2 + -TblProd[[#This Row],[Bank Ore]] / 2</f>
        <v>0</v>
      </c>
      <c r="BE24" s="152"/>
      <c r="BF24" s="152"/>
      <c r="BG24" s="152"/>
      <c r="BH24" s="153" t="n">
        <f aca="false">TblProd[[#This Row],[Time]]</f>
        <v>45430.5833333333</v>
      </c>
      <c r="BI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J24" s="69" t="n">
        <f aca="false">TblProd[[#This Row],[Platinum]]</f>
        <v>23628</v>
      </c>
      <c r="BK24" s="69" t="n">
        <f aca="false">TblProd[[#This Row],[Food]]</f>
        <v>35447</v>
      </c>
      <c r="BL24" s="69" t="n">
        <f aca="false">TblProd[[#This Row],[Lumber]]</f>
        <v>6558</v>
      </c>
      <c r="BM24" s="69" t="n">
        <f aca="false">TblProd[[#This Row],[Mana]]</f>
        <v>-6222</v>
      </c>
      <c r="BN24" s="69" t="n">
        <f aca="false">TblProd[[#This Row],[Ore]]</f>
        <v>-357</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c r="H25" s="69" t="e">
        <f aca="false">TblMili[[#This Row],[Networth (2)]]</f>
        <v>#VALUE!</v>
      </c>
      <c r="I25" s="69" t="n">
        <f aca="false">OFFSET(TblProd[[#This Row],[Platinum]],-1,0)+OFFSET(TblProd[[#This Row],[Plat/hr]],-1,0) - TblProd[[#This Row],[Expenses Platinum]] + IF(TblProd[[#This Row],[Plat Bonus]],TblPop[[#This Row],[Peasants]]*4) + SUM(TblConstr[[#This Row],[Dest Hom]:[Dest Doc]])*TblConstr[[#This Row],[CPA Platinum -DB]]*tech_3_3_2*TblTech[[#This Row],[3-3]]</f>
        <v>30585</v>
      </c>
      <c r="J25" s="69" t="n">
        <f aca="false">OFFSET(TblProd[[#This Row],[Food]],-1,0)+OFFSET(TblProd[[#This Row],[Food/hr]],-1,0)+ROUNDUP((TblConstr[[#This Row],[Farms]]*80+TblConstr[[#This Row],[Docks]]*35)*(1+OFFSET(TblProd[[#This Row],[Bonus Food/hr]],-1,0)),0)</f>
        <v>34843</v>
      </c>
      <c r="K25" s="69" t="n">
        <f aca="false">OFFSET(TblProd[[#This Row],[Lumber]],-1,0)+OFFSET(TblProd[[#This Row],[Lumber/hr]],-1,0) - TblProd[[#This Row],[Expenses Lumber]] + SUM(TblConstr[[#This Row],[Dest Hom]:[Dest Doc]])*TblConstr[[#This Row],[CPA Lumber -DB]]*tech_3_3_2*TblTech[[#This Row],[3-3]]</f>
        <v>7345</v>
      </c>
      <c r="L25" s="69" t="n">
        <f aca="false">OFFSET(TblProd[[#This Row],[Mana]],-1,0)+OFFSET(TblProd[[#This Row],[Mana/hr]],-1,0)- TblProd[[#This Row],[Expenses Mana]]</f>
        <v>-5723</v>
      </c>
      <c r="M25" s="69" t="n">
        <f aca="false">OFFSET(TblProd[[#This Row],[Ore]],-1,0)+OFFSET(TblProd[[#This Row],[Ore/hr]],-1,0) -TblProd[[#This Row],[Expenses Ore]]</f>
        <v>-357</v>
      </c>
      <c r="N25" s="69" t="n">
        <f aca="false">OFFSET(TblProd[[#This Row],[Gems]],-1,0)+OFFSET(TblProd[[#This Row],[Gems/hr]],-1,0) - TblProd[[#This Row],[Expenses Gems]]</f>
        <v>-1000</v>
      </c>
      <c r="O25" s="69" t="n">
        <f aca="false">OFFSET(TblProd[[#This Row],[Boats]],-1,0)+OFFSET(TblProd[[#This Row],[Boats/hr]],-1,0)</f>
        <v>0</v>
      </c>
      <c r="P25" s="69" t="n">
        <f aca="false">OFFSET(TblProd[[#This Row],[Prestige]],-1,0)</f>
        <v>250</v>
      </c>
      <c r="Q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5" s="69" t="n">
        <f aca="false">MAX(3750,_xlfn.CEILING.MATH(TblProd[[#This Row],[Land]]*2.5+OFFSET(TblTech[[#This Row],[Sum of tech]],-1,0)*150))</f>
        <v>3750</v>
      </c>
      <c r="S25" s="132"/>
      <c r="T25" s="69" t="n">
        <f aca="false">ROUNDDOWN(TblProd[[#This Row],[Raw Plat/hr]]*(1+TblProd[[#This Row],[Bonus Plat/hr]]),0)</f>
        <v>10345</v>
      </c>
      <c r="U25" s="69" t="n">
        <f aca="false">ROUND(TblProd[[#This Row],[Raw Food/hr]]*(1+TblProd[[#This Row],[Bonus Food/hr]])-TblProd[[#This Row],[Food decay]]-TblProd[[#This Row],[Food eaten]],0)</f>
        <v>-633</v>
      </c>
      <c r="V25" s="69" t="n">
        <f aca="false">ROUND(TblProd[[#This Row],[Raw Lumber/hr]]*(1+TblProd[[#This Row],[Bonus Lumber/hr]])-TblProd[[#This Row],[Lumber rot]],0)</f>
        <v>827</v>
      </c>
      <c r="W25" s="69" t="n">
        <f aca="false">ROUND(TblProd[[#This Row],[Raw Mana/hr]]*(1+TblProd[[#This Row],[Bonus Mana/hr]])-TblProd[[#This Row],[Mana drain]],0)</f>
        <v>489</v>
      </c>
      <c r="X25" s="69" t="n">
        <f aca="false">ROUNDDOWN(TblProd[[#This Row],[Raw Ore/hr]]*(1+TblProd[[#This Row],[Bonux Ore/hr]]),0)</f>
        <v>0</v>
      </c>
      <c r="Y25" s="69" t="n">
        <f aca="false">ROUNDDOWN(TblProd[[#This Row],[Raw Gems/hr]]*(1+TblProd[[#This Row],[Bonus Gems/hr]]),0)</f>
        <v>0</v>
      </c>
      <c r="Z25" s="148" t="n">
        <f aca="false">OFFSET(TblConstr[[#This Row],[Tot Doc]],1,0)*dock_boats_hr * (1 + tech_4_1*TblTech[[#This Row],[4-1]])</f>
        <v>0</v>
      </c>
      <c r="AA25" s="146"/>
      <c r="AB25" s="69" t="n">
        <f aca="false">TblPop[[#This Row],[Peasants]]*tax*TblPop[[#This Row],[Employment]] + (Construction!AZ26+Construction!BX26)*(alch_plat+(Magic!AM25&gt;0)*alchemist_flame_bonus)</f>
        <v>10345.5</v>
      </c>
      <c r="AC25" s="69" t="n">
        <f aca="false">TblConstr[[#This Row],[Tot Farm]]*farm_food + TblConstr[[#This Row],[Tot Doc]]*dock_food</f>
        <v>400</v>
      </c>
      <c r="AD25" s="69" t="n">
        <f aca="false">TblConstr[[#This Row],[Tot Ly]]*ly_lumber + TblConstr[[#This Row],[Tot Hav]]*fh_lumber</f>
        <v>1000</v>
      </c>
      <c r="AE25" s="69" t="n">
        <f aca="false">OFFSET(TblConstr[[#This Row],[Tot Tow]],1,0)*(tower_mana + tech_4_5*TblTech[[#This Row],[4-5]]) + OFFSET(TblConstr[[#This Row],[Tot WG]],1,0)*wg_mana_prod</f>
        <v>375</v>
      </c>
      <c r="AF25" s="69" t="n">
        <f aca="false">OFFSET(TblConstr[[#This Row],[Tot OM]],1,0)*om_ore+IF(race="Dwarf",ROUNDDOWN(TblMili[[#This Row],[Unit 2]]*0.4,0),)</f>
        <v>0</v>
      </c>
      <c r="AG25" s="69" t="n">
        <f aca="false">OFFSET(TblConstr[[#This Row],[Tot DM]],1,0)*dm_gems</f>
        <v>0</v>
      </c>
      <c r="AH25" s="132"/>
      <c r="AI25" s="149" t="n">
        <f aca="false">MIN(race_platinum_bonus + IF(TblMagic[[#This Row],[Active Alch Frost]]&gt;0,alch_frost_bonus,IF(Magic!AD25&gt;0,midas_bonus)) + TblImps[[#This Row],[Science]] - TblProd[[#This Row],[Guard]]*(0.02 + tech_5_7*TblTech[[#This Row],[5-7]]) + tech_1_5*TblTech[[#This Row],[1-5]] + tech_4_4*TblTech[[#This Row],[4-4]], 0.5)</f>
        <v>0</v>
      </c>
      <c r="AJ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5" s="149" t="n">
        <f aca="false">race_lumber_bonus+ IF(TblMagic[[#This Row],[Active Gaia''s Blessing]]&gt;0,gaias_blessing_lumber)+ tech_1_3*TblTech[[#This Row],[1-3]] + tech_1_6*TblTech[[#This Row],[1-6]] + tech_3_3*TblTech[[#This Row],[3-3]]</f>
        <v>-0.1</v>
      </c>
      <c r="AL25" s="149" t="n">
        <f aca="false">race_mana_bonus+ 0 + TblImps[[#This Row],[Towers]] + tech_1_2*TblTech[[#This Row],[1-2]] + tech_3_4*TblTech[[#This Row],[3-4]]</f>
        <v>0</v>
      </c>
      <c r="AM25" s="149" t="n">
        <f aca="false">race_ore_bonus + IF(TblMagic[[#This Row],[Active Miner''s Sight]]&gt;0,miners_sight_bonus,IF(TblMagic[[#This Row],[Active Mining Strength]]&gt;0,mining_strength_bonus)) +  tech_1_6*TblTech[[#This Row],[1-6]]</f>
        <v>0</v>
      </c>
      <c r="AN25" s="149" t="n">
        <f aca="false">race_gem_bonus+ tech_3_2*TblTech[[#This Row],[3-2]] + tech_4_3*TblTech[[#This Row],[4-3]] + tech_6_2*TblTech[[#This Row],[6-2]]</f>
        <v>0.15</v>
      </c>
      <c r="AO25" s="132"/>
      <c r="AP25" s="69" t="n">
        <f aca="false">TblProd[[#This Row],[Food]]*food_decay * (1 + tech_2_1*TblTech[[#This Row],[2-1]] + tech_2_8*TblTech[[#This Row],[2-8]])</f>
        <v>348.43</v>
      </c>
      <c r="AQ25" s="69" t="n">
        <f aca="false">(1+race_food_consumption)*TblPop[[#This Row],[Total]]*food_per_person*(1+tech_1_10*TblTech[[#This Row],[1-10]]+tech_7_5*TblTech[[#This Row],[7-5]])</f>
        <v>695</v>
      </c>
      <c r="AR25" s="69" t="n">
        <f aca="false">TblProd[[#This Row],[Lumber]]*lumber_rot * (1 + tech_2_1*TblTech[[#This Row],[2-1]] + tech_2_8*TblTech[[#This Row],[2-8]] + tech_5_2*TblTech[[#This Row],[5-2]])</f>
        <v>73.45</v>
      </c>
      <c r="AS25" s="69" t="n">
        <f aca="false">TblProd[[#This Row],[Mana]]*mana_drain * (1 + tech_2_1*TblTech[[#This Row],[2-1]] + tech_2_8*TblTech[[#This Row],[2-8]])</f>
        <v>-114.46</v>
      </c>
      <c r="AT25" s="146"/>
      <c r="AU25" s="69" t="n">
        <f aca="false">TblExplore[[#This Row],[Platinum (2)]]+TblConstr[[#This Row],[Total Plat Cost]]+TblMili[[#This Row],[Plat Cost]]+TblRezone[[#This Row],[Platinum cost]]+TblImps[[#This Row],[P1]]-TblProd[[#This Row],[Bank Plat]]</f>
        <v>3045</v>
      </c>
      <c r="AV25" s="69" t="n">
        <f aca="false">TblConstr[[#This Row],[Total Lum Cost]]+TblImps[[#This Row],[L1]]-TblProd[[#This Row],[Bank Lumber]] + Military!$CL$25*TblMili[[#This Row],[Sec. rec. Cost]]</f>
        <v>47</v>
      </c>
      <c r="AW25" s="69" t="n">
        <f aca="false">TblMagic[[#This Row],[Mana cost]] + Military!$CL$26*TblMili[[#This Row],[Sec. rec. Cost]]</f>
        <v>0</v>
      </c>
      <c r="AX25" s="69" t="n">
        <f aca="false">Military!$CL$24*TblMili[[#This Row],[Sec. rec. Cost]]+TblImps[[#This Row],[O1]]-TblProd[[#This Row],[Bank Ore]]</f>
        <v>0</v>
      </c>
      <c r="AY25" s="69" t="n">
        <f aca="false">TblImps[[#This Row],[G1]]-TblProd[[#This Row],[Bank Gems]]</f>
        <v>0</v>
      </c>
      <c r="AZ25" s="132"/>
      <c r="BA25" s="33" t="n">
        <f aca="false">IF(TblProd[[#This Row],[Set Guard]]&lt;&gt;"",TblProd[[#This Row],[Set Guard]],OFFSET(TblProd[[#This Row],[Guard]],-1,0))</f>
        <v>0</v>
      </c>
      <c r="BB25" s="145"/>
      <c r="BC25" s="151" t="n">
        <f aca="false">TblProd[[#This Row],[Hour]]</f>
        <v>22</v>
      </c>
      <c r="BD25" s="152" t="n">
        <f aca="false">-TblProd[[#This Row],[Bank Lumber]] / 2 + -TblProd[[#This Row],[Bank Gems]] * 2 + -TblProd[[#This Row],[Bank Ore]] / 2</f>
        <v>0</v>
      </c>
      <c r="BE25" s="152"/>
      <c r="BF25" s="152"/>
      <c r="BG25" s="152"/>
      <c r="BH25" s="153" t="n">
        <f aca="false">TblProd[[#This Row],[Time]]</f>
        <v>45430.625</v>
      </c>
      <c r="BI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J25" s="69" t="n">
        <f aca="false">TblProd[[#This Row],[Platinum]]</f>
        <v>30585</v>
      </c>
      <c r="BK25" s="69" t="n">
        <f aca="false">TblProd[[#This Row],[Food]]</f>
        <v>34843</v>
      </c>
      <c r="BL25" s="69" t="n">
        <f aca="false">TblProd[[#This Row],[Lumber]]</f>
        <v>7345</v>
      </c>
      <c r="BM25" s="69" t="n">
        <f aca="false">TblProd[[#This Row],[Mana]]</f>
        <v>-5723</v>
      </c>
      <c r="BN25" s="69" t="n">
        <f aca="false">TblProd[[#This Row],[Ore]]</f>
        <v>-357</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c r="H26" s="69" t="e">
        <f aca="false">TblMili[[#This Row],[Networth (2)]]</f>
        <v>#VALUE!</v>
      </c>
      <c r="I26" s="69" t="n">
        <f aca="false">OFFSET(TblProd[[#This Row],[Platinum]],-1,0)+OFFSET(TblProd[[#This Row],[Plat/hr]],-1,0) - TblProd[[#This Row],[Expenses Platinum]] + IF(TblProd[[#This Row],[Plat Bonus]],TblPop[[#This Row],[Peasants]]*4) + SUM(TblConstr[[#This Row],[Dest Hom]:[Dest Doc]])*TblConstr[[#This Row],[CPA Platinum -DB]]*tech_3_3_2*TblTech[[#This Row],[3-3]]</f>
        <v>38772</v>
      </c>
      <c r="J26" s="69" t="n">
        <f aca="false">OFFSET(TblProd[[#This Row],[Food]],-1,0)+OFFSET(TblProd[[#This Row],[Food/hr]],-1,0)+ROUNDUP((TblConstr[[#This Row],[Farms]]*80+TblConstr[[#This Row],[Docks]]*35)*(1+OFFSET(TblProd[[#This Row],[Bonus Food/hr]],-1,0)),0)</f>
        <v>34210</v>
      </c>
      <c r="K26" s="69" t="n">
        <f aca="false">OFFSET(TblProd[[#This Row],[Lumber]],-1,0)+OFFSET(TblProd[[#This Row],[Lumber/hr]],-1,0) - TblProd[[#This Row],[Expenses Lumber]] + SUM(TblConstr[[#This Row],[Dest Hom]:[Dest Doc]])*TblConstr[[#This Row],[CPA Lumber -DB]]*tech_3_3_2*TblTech[[#This Row],[3-3]]</f>
        <v>8124</v>
      </c>
      <c r="L26" s="69" t="n">
        <f aca="false">OFFSET(TblProd[[#This Row],[Mana]],-1,0)+OFFSET(TblProd[[#This Row],[Mana/hr]],-1,0)- TblProd[[#This Row],[Expenses Mana]]</f>
        <v>-5234</v>
      </c>
      <c r="M26" s="69" t="n">
        <f aca="false">OFFSET(TblProd[[#This Row],[Ore]],-1,0)+OFFSET(TblProd[[#This Row],[Ore/hr]],-1,0) -TblProd[[#This Row],[Expenses Ore]]</f>
        <v>-357</v>
      </c>
      <c r="N26" s="69" t="n">
        <f aca="false">OFFSET(TblProd[[#This Row],[Gems]],-1,0)+OFFSET(TblProd[[#This Row],[Gems/hr]],-1,0) - TblProd[[#This Row],[Expenses Gems]]</f>
        <v>-1000</v>
      </c>
      <c r="O26" s="69" t="n">
        <f aca="false">OFFSET(TblProd[[#This Row],[Boats]],-1,0)+OFFSET(TblProd[[#This Row],[Boats/hr]],-1,0)</f>
        <v>0</v>
      </c>
      <c r="P26" s="69" t="n">
        <f aca="false">OFFSET(TblProd[[#This Row],[Prestige]],-1,0)</f>
        <v>250</v>
      </c>
      <c r="Q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R26" s="69" t="n">
        <f aca="false">MAX(3750,_xlfn.CEILING.MATH(TblProd[[#This Row],[Land]]*2.5+OFFSET(TblTech[[#This Row],[Sum of tech]],-1,0)*150))</f>
        <v>3750</v>
      </c>
      <c r="S26" s="132"/>
      <c r="T26" s="69" t="n">
        <f aca="false">ROUNDDOWN(TblProd[[#This Row],[Raw Plat/hr]]*(1+TblProd[[#This Row],[Bonus Plat/hr]]),0)</f>
        <v>10701</v>
      </c>
      <c r="U26" s="69" t="n">
        <f aca="false">ROUND(TblProd[[#This Row],[Raw Food/hr]]*(1+TblProd[[#This Row],[Bonus Food/hr]])-TblProd[[#This Row],[Food decay]]-TblProd[[#This Row],[Food eaten]],0)</f>
        <v>-665</v>
      </c>
      <c r="V26" s="69" t="n">
        <f aca="false">ROUND(TblProd[[#This Row],[Raw Lumber/hr]]*(1+TblProd[[#This Row],[Bonus Lumber/hr]])-TblProd[[#This Row],[Lumber rot]],0)</f>
        <v>819</v>
      </c>
      <c r="W26" s="69" t="n">
        <f aca="false">ROUND(TblProd[[#This Row],[Raw Mana/hr]]*(1+TblProd[[#This Row],[Bonus Mana/hr]])-TblProd[[#This Row],[Mana drain]],0)</f>
        <v>480</v>
      </c>
      <c r="X26" s="69" t="n">
        <f aca="false">ROUNDDOWN(TblProd[[#This Row],[Raw Ore/hr]]*(1+TblProd[[#This Row],[Bonux Ore/hr]]),0)</f>
        <v>0</v>
      </c>
      <c r="Y26" s="69" t="n">
        <f aca="false">ROUNDDOWN(TblProd[[#This Row],[Raw Gems/hr]]*(1+TblProd[[#This Row],[Bonus Gems/hr]]),0)</f>
        <v>0</v>
      </c>
      <c r="Z26" s="148" t="n">
        <f aca="false">OFFSET(TblConstr[[#This Row],[Tot Doc]],1,0)*dock_boats_hr * (1 + tech_4_1*TblTech[[#This Row],[4-1]])</f>
        <v>0</v>
      </c>
      <c r="AA26" s="146"/>
      <c r="AB26" s="69" t="n">
        <f aca="false">TblPop[[#This Row],[Peasants]]*tax*TblPop[[#This Row],[Employment]] + (Construction!AZ27+Construction!BX27)*(alch_plat+(Magic!AM26&gt;0)*alchemist_flame_bonus)</f>
        <v>10701.9</v>
      </c>
      <c r="AC26" s="69" t="n">
        <f aca="false">TblConstr[[#This Row],[Tot Farm]]*farm_food + TblConstr[[#This Row],[Tot Doc]]*dock_food</f>
        <v>400</v>
      </c>
      <c r="AD26" s="69" t="n">
        <f aca="false">TblConstr[[#This Row],[Tot Ly]]*ly_lumber + TblConstr[[#This Row],[Tot Hav]]*fh_lumber</f>
        <v>1000</v>
      </c>
      <c r="AE26" s="69" t="n">
        <f aca="false">OFFSET(TblConstr[[#This Row],[Tot Tow]],1,0)*(tower_mana + tech_4_5*TblTech[[#This Row],[4-5]]) + OFFSET(TblConstr[[#This Row],[Tot WG]],1,0)*wg_mana_prod</f>
        <v>375</v>
      </c>
      <c r="AF26" s="69" t="n">
        <f aca="false">OFFSET(TblConstr[[#This Row],[Tot OM]],1,0)*om_ore+IF(race="Dwarf",ROUNDDOWN(TblMili[[#This Row],[Unit 2]]*0.4,0),)</f>
        <v>0</v>
      </c>
      <c r="AG26" s="69" t="n">
        <f aca="false">OFFSET(TblConstr[[#This Row],[Tot DM]],1,0)*dm_gems</f>
        <v>0</v>
      </c>
      <c r="AH26" s="132"/>
      <c r="AI26" s="149" t="n">
        <f aca="false">MIN(race_platinum_bonus + IF(TblMagic[[#This Row],[Active Alch Frost]]&gt;0,alch_frost_bonus,IF(Magic!AD26&gt;0,midas_bonus)) + TblImps[[#This Row],[Science]] - TblProd[[#This Row],[Guard]]*(0.02 + tech_5_7*TblTech[[#This Row],[5-7]]) + tech_1_5*TblTech[[#This Row],[1-5]] + tech_4_4*TblTech[[#This Row],[4-4]], 0.5)</f>
        <v>0</v>
      </c>
      <c r="AJ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6" s="149" t="n">
        <f aca="false">race_lumber_bonus+ IF(TblMagic[[#This Row],[Active Gaia''s Blessing]]&gt;0,gaias_blessing_lumber)+ tech_1_3*TblTech[[#This Row],[1-3]] + tech_1_6*TblTech[[#This Row],[1-6]] + tech_3_3*TblTech[[#This Row],[3-3]]</f>
        <v>-0.1</v>
      </c>
      <c r="AL26" s="149" t="n">
        <f aca="false">race_mana_bonus+ 0 + TblImps[[#This Row],[Towers]] + tech_1_2*TblTech[[#This Row],[1-2]] + tech_3_4*TblTech[[#This Row],[3-4]]</f>
        <v>0</v>
      </c>
      <c r="AM26" s="149" t="n">
        <f aca="false">race_ore_bonus + IF(TblMagic[[#This Row],[Active Miner''s Sight]]&gt;0,miners_sight_bonus,IF(TblMagic[[#This Row],[Active Mining Strength]]&gt;0,mining_strength_bonus)) +  tech_1_6*TblTech[[#This Row],[1-6]]</f>
        <v>0</v>
      </c>
      <c r="AN26" s="149" t="n">
        <f aca="false">race_gem_bonus+ tech_3_2*TblTech[[#This Row],[3-2]] + tech_4_3*TblTech[[#This Row],[4-3]] + tech_6_2*TblTech[[#This Row],[6-2]]</f>
        <v>0.15</v>
      </c>
      <c r="AO26" s="132"/>
      <c r="AP26" s="69" t="n">
        <f aca="false">TblProd[[#This Row],[Food]]*food_decay * (1 + tech_2_1*TblTech[[#This Row],[2-1]] + tech_2_8*TblTech[[#This Row],[2-8]])</f>
        <v>342.1</v>
      </c>
      <c r="AQ26" s="69" t="n">
        <f aca="false">(1+race_food_consumption)*TblPop[[#This Row],[Total]]*food_per_person*(1+tech_1_10*TblTech[[#This Row],[1-10]]+tech_7_5*TblTech[[#This Row],[7-5]])</f>
        <v>732.75</v>
      </c>
      <c r="AR26" s="69" t="n">
        <f aca="false">TblProd[[#This Row],[Lumber]]*lumber_rot * (1 + tech_2_1*TblTech[[#This Row],[2-1]] + tech_2_8*TblTech[[#This Row],[2-8]] + tech_5_2*TblTech[[#This Row],[5-2]])</f>
        <v>81.24</v>
      </c>
      <c r="AS26" s="69" t="n">
        <f aca="false">TblProd[[#This Row],[Mana]]*mana_drain * (1 + tech_2_1*TblTech[[#This Row],[2-1]] + tech_2_8*TblTech[[#This Row],[2-8]])</f>
        <v>-104.68</v>
      </c>
      <c r="AT26" s="146"/>
      <c r="AU26" s="69" t="n">
        <f aca="false">TblExplore[[#This Row],[Platinum (2)]]+TblConstr[[#This Row],[Total Plat Cost]]+TblMili[[#This Row],[Plat Cost]]+TblRezone[[#This Row],[Platinum cost]]+TblImps[[#This Row],[P1]]-TblProd[[#This Row],[Bank Plat]]</f>
        <v>2158</v>
      </c>
      <c r="AV26" s="69" t="n">
        <f aca="false">TblConstr[[#This Row],[Total Lum Cost]]+TblImps[[#This Row],[L1]]-TblProd[[#This Row],[Bank Lumber]] + Military!$CL$25*TblMili[[#This Row],[Sec. rec. Cost]]</f>
        <v>48</v>
      </c>
      <c r="AW26" s="69" t="n">
        <f aca="false">TblMagic[[#This Row],[Mana cost]] + Military!$CL$26*TblMili[[#This Row],[Sec. rec. Cost]]</f>
        <v>0</v>
      </c>
      <c r="AX26" s="69" t="n">
        <f aca="false">Military!$CL$24*TblMili[[#This Row],[Sec. rec. Cost]]+TblImps[[#This Row],[O1]]-TblProd[[#This Row],[Bank Ore]]</f>
        <v>0</v>
      </c>
      <c r="AY26" s="69" t="n">
        <f aca="false">TblImps[[#This Row],[G1]]-TblProd[[#This Row],[Bank Gems]]</f>
        <v>0</v>
      </c>
      <c r="AZ26" s="132"/>
      <c r="BA26" s="33" t="n">
        <f aca="false">IF(TblProd[[#This Row],[Set Guard]]&lt;&gt;"",TblProd[[#This Row],[Set Guard]],OFFSET(TblProd[[#This Row],[Guard]],-1,0))</f>
        <v>0</v>
      </c>
      <c r="BB26" s="145"/>
      <c r="BC26" s="151" t="n">
        <f aca="false">TblProd[[#This Row],[Hour]]</f>
        <v>23</v>
      </c>
      <c r="BD26" s="152" t="n">
        <f aca="false">-TblProd[[#This Row],[Bank Lumber]] / 2 + -TblProd[[#This Row],[Bank Gems]] * 2 + -TblProd[[#This Row],[Bank Ore]] / 2</f>
        <v>0</v>
      </c>
      <c r="BE26" s="152"/>
      <c r="BF26" s="152"/>
      <c r="BG26" s="152"/>
      <c r="BH26" s="153" t="n">
        <f aca="false">TblProd[[#This Row],[Time]]</f>
        <v>45430.6666666667</v>
      </c>
      <c r="BI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J26" s="69" t="n">
        <f aca="false">TblProd[[#This Row],[Platinum]]</f>
        <v>38772</v>
      </c>
      <c r="BK26" s="69" t="n">
        <f aca="false">TblProd[[#This Row],[Food]]</f>
        <v>34210</v>
      </c>
      <c r="BL26" s="69" t="n">
        <f aca="false">TblProd[[#This Row],[Lumber]]</f>
        <v>8124</v>
      </c>
      <c r="BM26" s="69" t="n">
        <f aca="false">TblProd[[#This Row],[Mana]]</f>
        <v>-5234</v>
      </c>
      <c r="BN26" s="69" t="n">
        <f aca="false">TblProd[[#This Row],[Ore]]</f>
        <v>-357</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n">
        <f aca="false">F27-1</f>
        <v>2935</v>
      </c>
      <c r="H27" s="69" t="e">
        <f aca="false">TblMili[[#This Row],[Networth (2)]]</f>
        <v>#VALUE!</v>
      </c>
      <c r="I27" s="69" t="n">
        <f aca="false">OFFSET(TblProd[[#This Row],[Platinum]],-1,0)+OFFSET(TblProd[[#This Row],[Plat/hr]],-1,0) - TblProd[[#This Row],[Expenses Platinum]] + IF(TblProd[[#This Row],[Plat Bonus]],TblPop[[#This Row],[Peasants]]*4) + SUM(TblConstr[[#This Row],[Dest Hom]:[Dest Doc]])*TblConstr[[#This Row],[CPA Platinum -DB]]*tech_3_3_2*TblTech[[#This Row],[3-3]]</f>
        <v>41357</v>
      </c>
      <c r="J27" s="69" t="n">
        <f aca="false">OFFSET(TblProd[[#This Row],[Food]],-1,0)+OFFSET(TblProd[[#This Row],[Food/hr]],-1,0)+ROUNDUP((TblConstr[[#This Row],[Farms]]*80+TblConstr[[#This Row],[Docks]]*35)*(1+OFFSET(TblProd[[#This Row],[Bonus Food/hr]],-1,0)),0)</f>
        <v>33545</v>
      </c>
      <c r="K27" s="69" t="n">
        <f aca="false">OFFSET(TblProd[[#This Row],[Lumber]],-1,0)+OFFSET(TblProd[[#This Row],[Lumber/hr]],-1,0) - TblProd[[#This Row],[Expenses Lumber]] + SUM(TblConstr[[#This Row],[Dest Hom]:[Dest Doc]])*TblConstr[[#This Row],[CPA Lumber -DB]]*tech_3_3_2*TblTech[[#This Row],[3-3]]</f>
        <v>7883</v>
      </c>
      <c r="L27" s="69" t="n">
        <f aca="false">OFFSET(TblProd[[#This Row],[Mana]],-1,0)+OFFSET(TblProd[[#This Row],[Mana/hr]],-1,0)- TblProd[[#This Row],[Expenses Mana]]</f>
        <v>-5451.5</v>
      </c>
      <c r="M27" s="69" t="n">
        <f aca="false">OFFSET(TblProd[[#This Row],[Ore]],-1,0)+OFFSET(TblProd[[#This Row],[Ore/hr]],-1,0) -TblProd[[#This Row],[Expenses Ore]]</f>
        <v>-357</v>
      </c>
      <c r="N27" s="69" t="n">
        <f aca="false">OFFSET(TblProd[[#This Row],[Gems]],-1,0)+OFFSET(TblProd[[#This Row],[Gems/hr]],-1,0) - TblProd[[#This Row],[Expenses Gems]]</f>
        <v>-1000</v>
      </c>
      <c r="O27" s="69" t="n">
        <f aca="false">OFFSET(TblProd[[#This Row],[Boats]],-1,0)+OFFSET(TblProd[[#This Row],[Boats/hr]],-1,0)</f>
        <v>0</v>
      </c>
      <c r="P27" s="69" t="n">
        <f aca="false">OFFSET(TblProd[[#This Row],[Prestige]],-1,0)</f>
        <v>250</v>
      </c>
      <c r="Q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7" s="69" t="n">
        <f aca="false">MAX(3750,_xlfn.CEILING.MATH(TblProd[[#This Row],[Land]]*2.5+OFFSET(TblTech[[#This Row],[Sum of tech]],-1,0)*150))</f>
        <v>3750</v>
      </c>
      <c r="S27" s="132"/>
      <c r="T27" s="69" t="n">
        <f aca="false">ROUNDDOWN(TblProd[[#This Row],[Raw Plat/hr]]*(1+TblProd[[#This Row],[Bonus Plat/hr]]),0)</f>
        <v>13552</v>
      </c>
      <c r="U27" s="69" t="n">
        <f aca="false">ROUND(TblProd[[#This Row],[Raw Food/hr]]*(1+TblProd[[#This Row],[Bonus Food/hr]])-TblProd[[#This Row],[Food decay]]-TblProd[[#This Row],[Food eaten]],0)</f>
        <v>-690</v>
      </c>
      <c r="V27" s="69" t="n">
        <f aca="false">ROUND(TblProd[[#This Row],[Raw Lumber/hr]]*(1+TblProd[[#This Row],[Bonus Lumber/hr]])-TblProd[[#This Row],[Lumber rot]],0)</f>
        <v>821</v>
      </c>
      <c r="W27" s="69" t="n">
        <f aca="false">ROUND(TblProd[[#This Row],[Raw Mana/hr]]*(1+TblProd[[#This Row],[Bonus Mana/hr]])-TblProd[[#This Row],[Mana drain]],0)</f>
        <v>559</v>
      </c>
      <c r="X27" s="69" t="n">
        <f aca="false">ROUNDDOWN(TblProd[[#This Row],[Raw Ore/hr]]*(1+TblProd[[#This Row],[Bonux Ore/hr]]),0)</f>
        <v>0</v>
      </c>
      <c r="Y27" s="69" t="n">
        <f aca="false">ROUNDDOWN(TblProd[[#This Row],[Raw Gems/hr]]*(1+TblProd[[#This Row],[Bonus Gems/hr]]),0)</f>
        <v>0</v>
      </c>
      <c r="Z27" s="148" t="n">
        <f aca="false">OFFSET(TblConstr[[#This Row],[Tot Doc]],1,0)*dock_boats_hr * (1 + tech_4_1*TblTech[[#This Row],[4-1]])</f>
        <v>0.25</v>
      </c>
      <c r="AA27" s="146"/>
      <c r="AB27" s="69" t="n">
        <f aca="false">TblPop[[#This Row],[Peasants]]*tax*TblPop[[#This Row],[Employment]] + (Construction!AZ28+Construction!BX28)*(alch_plat+(Magic!AM27&gt;0)*alchemist_flame_bonus)</f>
        <v>13552.2</v>
      </c>
      <c r="AC27" s="69" t="n">
        <f aca="false">TblConstr[[#This Row],[Tot Farm]]*farm_food + TblConstr[[#This Row],[Tot Doc]]*dock_food</f>
        <v>400</v>
      </c>
      <c r="AD27" s="69" t="n">
        <f aca="false">TblConstr[[#This Row],[Tot Ly]]*ly_lumber + TblConstr[[#This Row],[Tot Hav]]*fh_lumber</f>
        <v>1000</v>
      </c>
      <c r="AE27" s="69" t="n">
        <f aca="false">OFFSET(TblConstr[[#This Row],[Tot Tow]],1,0)*(tower_mana + tech_4_5*TblTech[[#This Row],[4-5]]) + OFFSET(TblConstr[[#This Row],[Tot WG]],1,0)*wg_mana_prod</f>
        <v>450</v>
      </c>
      <c r="AF27" s="69" t="n">
        <f aca="false">OFFSET(TblConstr[[#This Row],[Tot OM]],1,0)*om_ore+IF(race="Dwarf",ROUNDDOWN(TblMili[[#This Row],[Unit 2]]*0.4,0),)</f>
        <v>0</v>
      </c>
      <c r="AG27" s="69" t="n">
        <f aca="false">OFFSET(TblConstr[[#This Row],[Tot DM]],1,0)*dm_gems</f>
        <v>0</v>
      </c>
      <c r="AH27" s="132"/>
      <c r="AI27" s="149" t="n">
        <f aca="false">MIN(race_platinum_bonus + IF(TblMagic[[#This Row],[Active Alch Frost]]&gt;0,alch_frost_bonus,IF(Magic!AD27&gt;0,midas_bonus)) + TblImps[[#This Row],[Science]] - TblProd[[#This Row],[Guard]]*(0.02 + tech_5_7*TblTech[[#This Row],[5-7]]) + tech_1_5*TblTech[[#This Row],[1-5]] + tech_4_4*TblTech[[#This Row],[4-4]], 0.5)</f>
        <v>0</v>
      </c>
      <c r="AJ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7" s="149" t="n">
        <f aca="false">race_lumber_bonus+ IF(TblMagic[[#This Row],[Active Gaia''s Blessing]]&gt;0,gaias_blessing_lumber)+ tech_1_3*TblTech[[#This Row],[1-3]] + tech_1_6*TblTech[[#This Row],[1-6]] + tech_3_3*TblTech[[#This Row],[3-3]]</f>
        <v>-0.1</v>
      </c>
      <c r="AL27" s="149" t="n">
        <f aca="false">race_mana_bonus+ 0 + TblImps[[#This Row],[Towers]] + tech_1_2*TblTech[[#This Row],[1-2]] + tech_3_4*TblTech[[#This Row],[3-4]]</f>
        <v>0</v>
      </c>
      <c r="AM27" s="149" t="n">
        <f aca="false">race_ore_bonus + IF(TblMagic[[#This Row],[Active Miner''s Sight]]&gt;0,miners_sight_bonus,IF(TblMagic[[#This Row],[Active Mining Strength]]&gt;0,mining_strength_bonus)) +  tech_1_6*TblTech[[#This Row],[1-6]]</f>
        <v>0</v>
      </c>
      <c r="AN27" s="149" t="n">
        <f aca="false">race_gem_bonus+ tech_3_2*TblTech[[#This Row],[3-2]] + tech_4_3*TblTech[[#This Row],[4-3]] + tech_6_2*TblTech[[#This Row],[6-2]]</f>
        <v>0.15</v>
      </c>
      <c r="AO27" s="132"/>
      <c r="AP27" s="69" t="n">
        <f aca="false">TblProd[[#This Row],[Food]]*food_decay * (1 + tech_2_1*TblTech[[#This Row],[2-1]] + tech_2_8*TblTech[[#This Row],[2-8]])</f>
        <v>335.45</v>
      </c>
      <c r="AQ27" s="69" t="n">
        <f aca="false">(1+race_food_consumption)*TblPop[[#This Row],[Total]]*food_per_person*(1+tech_1_10*TblTech[[#This Row],[1-10]]+tech_7_5*TblTech[[#This Row],[7-5]])</f>
        <v>764.5</v>
      </c>
      <c r="AR27" s="69" t="n">
        <f aca="false">TblProd[[#This Row],[Lumber]]*lumber_rot * (1 + tech_2_1*TblTech[[#This Row],[2-1]] + tech_2_8*TblTech[[#This Row],[2-8]] + tech_5_2*TblTech[[#This Row],[5-2]])</f>
        <v>78.83</v>
      </c>
      <c r="AS27" s="69" t="n">
        <f aca="false">TblProd[[#This Row],[Mana]]*mana_drain * (1 + tech_2_1*TblTech[[#This Row],[2-1]] + tech_2_8*TblTech[[#This Row],[2-8]])</f>
        <v>-109.03</v>
      </c>
      <c r="AT27" s="146"/>
      <c r="AU27" s="69" t="n">
        <f aca="false">TblExplore[[#This Row],[Platinum (2)]]+TblConstr[[#This Row],[Total Plat Cost]]+TblMili[[#This Row],[Plat Cost]]+TblRezone[[#This Row],[Platinum cost]]+TblImps[[#This Row],[P1]]-TblProd[[#This Row],[Bank Plat]]</f>
        <v>19860</v>
      </c>
      <c r="AV27" s="69" t="n">
        <f aca="false">TblConstr[[#This Row],[Total Lum Cost]]+TblImps[[#This Row],[L1]]-TblProd[[#This Row],[Bank Lumber]] + Military!$CL$25*TblMili[[#This Row],[Sec. rec. Cost]]</f>
        <v>1060</v>
      </c>
      <c r="AW27" s="69" t="n">
        <f aca="false">TblMagic[[#This Row],[Mana cost]] + Military!$CL$26*TblMili[[#This Row],[Sec. rec. Cost]]</f>
        <v>697.5</v>
      </c>
      <c r="AX27" s="69" t="n">
        <f aca="false">Military!$CL$24*TblMili[[#This Row],[Sec. rec. Cost]]+TblImps[[#This Row],[O1]]-TblProd[[#This Row],[Bank Ore]]</f>
        <v>0</v>
      </c>
      <c r="AY27" s="69" t="n">
        <f aca="false">TblImps[[#This Row],[G1]]-TblProd[[#This Row],[Bank Gems]]</f>
        <v>0</v>
      </c>
      <c r="AZ27" s="132"/>
      <c r="BA27" s="33" t="n">
        <f aca="false">IF(TblProd[[#This Row],[Set Guard]]&lt;&gt;"",TblProd[[#This Row],[Set Guard]],OFFSET(TblProd[[#This Row],[Guard]],-1,0))</f>
        <v>0</v>
      </c>
      <c r="BB27" s="145"/>
      <c r="BC27" s="151" t="n">
        <f aca="false">TblProd[[#This Row],[Hour]]</f>
        <v>24</v>
      </c>
      <c r="BD27" s="152" t="n">
        <f aca="false">-TblProd[[#This Row],[Bank Lumber]] / 2 + -TblProd[[#This Row],[Bank Gems]] * 2 + -TblProd[[#This Row],[Bank Ore]] / 2</f>
        <v>0</v>
      </c>
      <c r="BE27" s="152"/>
      <c r="BF27" s="152"/>
      <c r="BG27" s="152"/>
      <c r="BH27" s="153" t="n">
        <f aca="false">TblProd[[#This Row],[Time]]</f>
        <v>45430.7083333333</v>
      </c>
      <c r="BI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J27" s="69" t="n">
        <f aca="false">TblProd[[#This Row],[Platinum]]</f>
        <v>41357</v>
      </c>
      <c r="BK27" s="69" t="n">
        <f aca="false">TblProd[[#This Row],[Food]]</f>
        <v>33545</v>
      </c>
      <c r="BL27" s="69" t="n">
        <f aca="false">TblProd[[#This Row],[Lumber]]</f>
        <v>7883</v>
      </c>
      <c r="BM27" s="69" t="n">
        <f aca="false">TblProd[[#This Row],[Mana]]</f>
        <v>-5451.5</v>
      </c>
      <c r="BN27" s="69" t="n">
        <f aca="false">TblProd[[#This Row],[Ore]]</f>
        <v>-357</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c r="H28" s="69" t="e">
        <f aca="false">TblMili[[#This Row],[Networth (2)]]</f>
        <v>#VALUE!</v>
      </c>
      <c r="I28" s="69" t="n">
        <f aca="false">OFFSET(TblProd[[#This Row],[Platinum]],-1,0)+OFFSET(TblProd[[#This Row],[Plat/hr]],-1,0) - TblProd[[#This Row],[Expenses Platinum]] + IF(TblProd[[#This Row],[Plat Bonus]],TblPop[[#This Row],[Peasants]]*4) + SUM(TblConstr[[#This Row],[Dest Hom]:[Dest Doc]])*TblConstr[[#This Row],[CPA Platinum -DB]]*tech_3_3_2*TblTech[[#This Row],[3-3]]</f>
        <v>54909</v>
      </c>
      <c r="J28" s="69" t="n">
        <f aca="false">OFFSET(TblProd[[#This Row],[Food]],-1,0)+OFFSET(TblProd[[#This Row],[Food/hr]],-1,0)+ROUNDUP((TblConstr[[#This Row],[Farms]]*80+TblConstr[[#This Row],[Docks]]*35)*(1+OFFSET(TblProd[[#This Row],[Bonus Food/hr]],-1,0)),0)</f>
        <v>33035</v>
      </c>
      <c r="K28" s="69" t="n">
        <f aca="false">OFFSET(TblProd[[#This Row],[Lumber]],-1,0)+OFFSET(TblProd[[#This Row],[Lumber/hr]],-1,0) - TblProd[[#This Row],[Expenses Lumber]] + SUM(TblConstr[[#This Row],[Dest Hom]:[Dest Doc]])*TblConstr[[#This Row],[CPA Lumber -DB]]*tech_3_3_2*TblTech[[#This Row],[3-3]]</f>
        <v>8704</v>
      </c>
      <c r="L28" s="69" t="n">
        <f aca="false">OFFSET(TblProd[[#This Row],[Mana]],-1,0)+OFFSET(TblProd[[#This Row],[Mana/hr]],-1,0)- TblProd[[#This Row],[Expenses Mana]]</f>
        <v>-4892.5</v>
      </c>
      <c r="M28" s="69" t="n">
        <f aca="false">OFFSET(TblProd[[#This Row],[Ore]],-1,0)+OFFSET(TblProd[[#This Row],[Ore/hr]],-1,0) -TblProd[[#This Row],[Expenses Ore]]</f>
        <v>-357</v>
      </c>
      <c r="N28" s="69" t="n">
        <f aca="false">OFFSET(TblProd[[#This Row],[Gems]],-1,0)+OFFSET(TblProd[[#This Row],[Gems/hr]],-1,0) - TblProd[[#This Row],[Expenses Gems]]</f>
        <v>-1000</v>
      </c>
      <c r="O28" s="69" t="n">
        <f aca="false">OFFSET(TblProd[[#This Row],[Boats]],-1,0)+OFFSET(TblProd[[#This Row],[Boats/hr]],-1,0)</f>
        <v>0.25</v>
      </c>
      <c r="P28" s="69" t="n">
        <f aca="false">OFFSET(TblProd[[#This Row],[Prestige]],-1,0)</f>
        <v>250</v>
      </c>
      <c r="Q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8" s="69" t="n">
        <f aca="false">MAX(3750,_xlfn.CEILING.MATH(TblProd[[#This Row],[Land]]*2.5+OFFSET(TblTech[[#This Row],[Sum of tech]],-1,0)*150))</f>
        <v>3750</v>
      </c>
      <c r="S28" s="132"/>
      <c r="T28" s="69" t="n">
        <f aca="false">ROUNDDOWN(TblProd[[#This Row],[Raw Plat/hr]]*(1+TblProd[[#This Row],[Bonus Plat/hr]]),0)</f>
        <v>14049</v>
      </c>
      <c r="U28" s="69" t="n">
        <f aca="false">ROUND(TblProd[[#This Row],[Raw Food/hr]]*(1+TblProd[[#This Row],[Bonus Food/hr]])-TblProd[[#This Row],[Food decay]]-TblProd[[#This Row],[Food eaten]],0)</f>
        <v>-533</v>
      </c>
      <c r="V28" s="69" t="n">
        <f aca="false">ROUND(TblProd[[#This Row],[Raw Lumber/hr]]*(1+TblProd[[#This Row],[Bonus Lumber/hr]])-TblProd[[#This Row],[Lumber rot]],0)</f>
        <v>813</v>
      </c>
      <c r="W28" s="69" t="n">
        <f aca="false">ROUND(TblProd[[#This Row],[Raw Mana/hr]]*(1+TblProd[[#This Row],[Bonus Mana/hr]])-TblProd[[#This Row],[Mana drain]],0)</f>
        <v>548</v>
      </c>
      <c r="X28" s="69" t="n">
        <f aca="false">ROUNDDOWN(TblProd[[#This Row],[Raw Ore/hr]]*(1+TblProd[[#This Row],[Bonux Ore/hr]]),0)</f>
        <v>0</v>
      </c>
      <c r="Y28" s="69" t="n">
        <f aca="false">ROUNDDOWN(TblProd[[#This Row],[Raw Gems/hr]]*(1+TblProd[[#This Row],[Bonus Gems/hr]]),0)</f>
        <v>0</v>
      </c>
      <c r="Z28" s="148" t="n">
        <f aca="false">OFFSET(TblConstr[[#This Row],[Tot Doc]],1,0)*dock_boats_hr * (1 + tech_4_1*TblTech[[#This Row],[4-1]])</f>
        <v>0.25</v>
      </c>
      <c r="AA28" s="146"/>
      <c r="AB28" s="69" t="n">
        <f aca="false">TblPop[[#This Row],[Peasants]]*tax*TblPop[[#This Row],[Employment]] + (Construction!AZ29+Construction!BX29)*(alch_plat+(Magic!AM28&gt;0)*alchemist_flame_bonus)</f>
        <v>14049</v>
      </c>
      <c r="AC28" s="69" t="n">
        <f aca="false">TblConstr[[#This Row],[Tot Farm]]*farm_food + TblConstr[[#This Row],[Tot Doc]]*dock_food</f>
        <v>600</v>
      </c>
      <c r="AD28" s="69" t="n">
        <f aca="false">TblConstr[[#This Row],[Tot Ly]]*ly_lumber + TblConstr[[#This Row],[Tot Hav]]*fh_lumber</f>
        <v>1000</v>
      </c>
      <c r="AE28" s="69" t="n">
        <f aca="false">OFFSET(TblConstr[[#This Row],[Tot Tow]],1,0)*(tower_mana + tech_4_5*TblTech[[#This Row],[4-5]]) + OFFSET(TblConstr[[#This Row],[Tot WG]],1,0)*wg_mana_prod</f>
        <v>450</v>
      </c>
      <c r="AF28" s="69" t="n">
        <f aca="false">OFFSET(TblConstr[[#This Row],[Tot OM]],1,0)*om_ore+IF(race="Dwarf",ROUNDDOWN(TblMili[[#This Row],[Unit 2]]*0.4,0),)</f>
        <v>0</v>
      </c>
      <c r="AG28" s="69" t="n">
        <f aca="false">OFFSET(TblConstr[[#This Row],[Tot DM]],1,0)*dm_gems</f>
        <v>0</v>
      </c>
      <c r="AH28" s="132"/>
      <c r="AI28" s="149" t="n">
        <f aca="false">MIN(race_platinum_bonus + IF(TblMagic[[#This Row],[Active Alch Frost]]&gt;0,alch_frost_bonus,IF(Magic!AD28&gt;0,midas_bonus)) + TblImps[[#This Row],[Science]] - TblProd[[#This Row],[Guard]]*(0.02 + tech_5_7*TblTech[[#This Row],[5-7]]) + tech_1_5*TblTech[[#This Row],[1-5]] + tech_4_4*TblTech[[#This Row],[4-4]], 0.5)</f>
        <v>0</v>
      </c>
      <c r="AJ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8" s="149" t="n">
        <f aca="false">race_lumber_bonus+ IF(TblMagic[[#This Row],[Active Gaia''s Blessing]]&gt;0,gaias_blessing_lumber)+ tech_1_3*TblTech[[#This Row],[1-3]] + tech_1_6*TblTech[[#This Row],[1-6]] + tech_3_3*TblTech[[#This Row],[3-3]]</f>
        <v>-0.1</v>
      </c>
      <c r="AL28" s="149" t="n">
        <f aca="false">race_mana_bonus+ 0 + TblImps[[#This Row],[Towers]] + tech_1_2*TblTech[[#This Row],[1-2]] + tech_3_4*TblTech[[#This Row],[3-4]]</f>
        <v>0</v>
      </c>
      <c r="AM28" s="149" t="n">
        <f aca="false">race_ore_bonus + IF(TblMagic[[#This Row],[Active Miner''s Sight]]&gt;0,miners_sight_bonus,IF(TblMagic[[#This Row],[Active Mining Strength]]&gt;0,mining_strength_bonus)) +  tech_1_6*TblTech[[#This Row],[1-6]]</f>
        <v>0</v>
      </c>
      <c r="AN28" s="149" t="n">
        <f aca="false">race_gem_bonus+ tech_3_2*TblTech[[#This Row],[3-2]] + tech_4_3*TblTech[[#This Row],[4-3]] + tech_6_2*TblTech[[#This Row],[6-2]]</f>
        <v>0.15</v>
      </c>
      <c r="AO28" s="132"/>
      <c r="AP28" s="69" t="n">
        <f aca="false">TblProd[[#This Row],[Food]]*food_decay * (1 + tech_2_1*TblTech[[#This Row],[2-1]] + tech_2_8*TblTech[[#This Row],[2-8]])</f>
        <v>330.35</v>
      </c>
      <c r="AQ28" s="69" t="n">
        <f aca="false">(1+race_food_consumption)*TblPop[[#This Row],[Total]]*food_per_person*(1+tech_1_10*TblTech[[#This Row],[1-10]]+tech_7_5*TblTech[[#This Row],[7-5]])</f>
        <v>817.75</v>
      </c>
      <c r="AR28" s="69" t="n">
        <f aca="false">TblProd[[#This Row],[Lumber]]*lumber_rot * (1 + tech_2_1*TblTech[[#This Row],[2-1]] + tech_2_8*TblTech[[#This Row],[2-8]] + tech_5_2*TblTech[[#This Row],[5-2]])</f>
        <v>87.04</v>
      </c>
      <c r="AS28" s="69" t="n">
        <f aca="false">TblProd[[#This Row],[Mana]]*mana_drain * (1 + tech_2_1*TblTech[[#This Row],[2-1]] + tech_2_8*TblTech[[#This Row],[2-8]])</f>
        <v>-97.85</v>
      </c>
      <c r="AT28" s="146"/>
      <c r="AU28" s="69" t="n">
        <f aca="false">TblExplore[[#This Row],[Platinum (2)]]+TblConstr[[#This Row],[Total Plat Cost]]+TblMili[[#This Row],[Plat Cost]]+TblRezone[[#This Row],[Platinum cost]]+TblImps[[#This Row],[P1]]-TblProd[[#This Row],[Bank Plat]]</f>
        <v>0</v>
      </c>
      <c r="AV28" s="69" t="n">
        <f aca="false">TblConstr[[#This Row],[Total Lum Cost]]+TblImps[[#This Row],[L1]]-TblProd[[#This Row],[Bank Lumber]] + Military!$CL$25*TblMili[[#This Row],[Sec. rec. Cost]]</f>
        <v>0</v>
      </c>
      <c r="AW28" s="69" t="n">
        <f aca="false">TblMagic[[#This Row],[Mana cost]] + Military!$CL$26*TblMili[[#This Row],[Sec. rec. Cost]]</f>
        <v>0</v>
      </c>
      <c r="AX28" s="69" t="n">
        <f aca="false">Military!$CL$24*TblMili[[#This Row],[Sec. rec. Cost]]+TblImps[[#This Row],[O1]]-TblProd[[#This Row],[Bank Ore]]</f>
        <v>0</v>
      </c>
      <c r="AY28" s="69" t="n">
        <f aca="false">TblImps[[#This Row],[G1]]-TblProd[[#This Row],[Bank Gems]]</f>
        <v>0</v>
      </c>
      <c r="AZ28" s="132"/>
      <c r="BA28" s="33" t="n">
        <f aca="false">IF(TblProd[[#This Row],[Set Guard]]&lt;&gt;"",TblProd[[#This Row],[Set Guard]],OFFSET(TblProd[[#This Row],[Guard]],-1,0))</f>
        <v>0</v>
      </c>
      <c r="BB28" s="145"/>
      <c r="BC28" s="151" t="n">
        <f aca="false">TblProd[[#This Row],[Hour]]</f>
        <v>25</v>
      </c>
      <c r="BD28" s="152" t="n">
        <f aca="false">-TblProd[[#This Row],[Bank Lumber]] / 2 + -TblProd[[#This Row],[Bank Gems]] * 2 + -TblProd[[#This Row],[Bank Ore]] / 2</f>
        <v>0</v>
      </c>
      <c r="BE28" s="152"/>
      <c r="BF28" s="152"/>
      <c r="BG28" s="152"/>
      <c r="BH28" s="153" t="n">
        <f aca="false">TblProd[[#This Row],[Time]]</f>
        <v>45430.75</v>
      </c>
      <c r="BI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J28" s="69" t="n">
        <f aca="false">TblProd[[#This Row],[Platinum]]</f>
        <v>54909</v>
      </c>
      <c r="BK28" s="69" t="n">
        <f aca="false">TblProd[[#This Row],[Food]]</f>
        <v>33035</v>
      </c>
      <c r="BL28" s="69" t="n">
        <f aca="false">TblProd[[#This Row],[Lumber]]</f>
        <v>8704</v>
      </c>
      <c r="BM28" s="69" t="n">
        <f aca="false">TblProd[[#This Row],[Mana]]</f>
        <v>-4892.5</v>
      </c>
      <c r="BN28" s="69" t="n">
        <f aca="false">TblProd[[#This Row],[Ore]]</f>
        <v>-357</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c r="H29" s="69" t="e">
        <f aca="false">TblMili[[#This Row],[Networth (2)]]</f>
        <v>#VALUE!</v>
      </c>
      <c r="I29" s="69" t="n">
        <f aca="false">OFFSET(TblProd[[#This Row],[Platinum]],-1,0)+OFFSET(TblProd[[#This Row],[Plat/hr]],-1,0) - TblProd[[#This Row],[Expenses Platinum]] + IF(TblProd[[#This Row],[Plat Bonus]],TblPop[[#This Row],[Peasants]]*4) + SUM(TblConstr[[#This Row],[Dest Hom]:[Dest Doc]])*TblConstr[[#This Row],[CPA Platinum -DB]]*tech_3_3_2*TblTech[[#This Row],[3-3]]</f>
        <v>68958</v>
      </c>
      <c r="J29" s="69" t="n">
        <f aca="false">OFFSET(TblProd[[#This Row],[Food]],-1,0)+OFFSET(TblProd[[#This Row],[Food/hr]],-1,0)+ROUNDUP((TblConstr[[#This Row],[Farms]]*80+TblConstr[[#This Row],[Docks]]*35)*(1+OFFSET(TblProd[[#This Row],[Bonus Food/hr]],-1,0)),0)</f>
        <v>32502</v>
      </c>
      <c r="K29" s="69" t="n">
        <f aca="false">OFFSET(TblProd[[#This Row],[Lumber]],-1,0)+OFFSET(TblProd[[#This Row],[Lumber/hr]],-1,0) - TblProd[[#This Row],[Expenses Lumber]] + SUM(TblConstr[[#This Row],[Dest Hom]:[Dest Doc]])*TblConstr[[#This Row],[CPA Lumber -DB]]*tech_3_3_2*TblTech[[#This Row],[3-3]]</f>
        <v>9517</v>
      </c>
      <c r="L29" s="69" t="n">
        <f aca="false">OFFSET(TblProd[[#This Row],[Mana]],-1,0)+OFFSET(TblProd[[#This Row],[Mana/hr]],-1,0)- TblProd[[#This Row],[Expenses Mana]]</f>
        <v>-6587</v>
      </c>
      <c r="M29" s="69" t="n">
        <f aca="false">OFFSET(TblProd[[#This Row],[Ore]],-1,0)+OFFSET(TblProd[[#This Row],[Ore/hr]],-1,0) -TblProd[[#This Row],[Expenses Ore]]</f>
        <v>-357</v>
      </c>
      <c r="N29" s="69" t="n">
        <f aca="false">OFFSET(TblProd[[#This Row],[Gems]],-1,0)+OFFSET(TblProd[[#This Row],[Gems/hr]],-1,0) - TblProd[[#This Row],[Expenses Gems]]</f>
        <v>-1000</v>
      </c>
      <c r="O29" s="69" t="n">
        <f aca="false">OFFSET(TblProd[[#This Row],[Boats]],-1,0)+OFFSET(TblProd[[#This Row],[Boats/hr]],-1,0)</f>
        <v>0.5</v>
      </c>
      <c r="P29" s="69" t="n">
        <f aca="false">OFFSET(TblProd[[#This Row],[Prestige]],-1,0)</f>
        <v>250</v>
      </c>
      <c r="Q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29" s="69" t="n">
        <f aca="false">MAX(3750,_xlfn.CEILING.MATH(TblProd[[#This Row],[Land]]*2.5+OFFSET(TblTech[[#This Row],[Sum of tech]],-1,0)*150))</f>
        <v>3750</v>
      </c>
      <c r="S29" s="132"/>
      <c r="T29" s="69" t="n">
        <f aca="false">ROUNDDOWN(TblProd[[#This Row],[Raw Plat/hr]]*(1+TblProd[[#This Row],[Bonus Plat/hr]]),0)</f>
        <v>16200</v>
      </c>
      <c r="U29" s="69" t="n">
        <f aca="false">ROUND(TblProd[[#This Row],[Raw Food/hr]]*(1+TblProd[[#This Row],[Bonus Food/hr]])-TblProd[[#This Row],[Food decay]]-TblProd[[#This Row],[Food eaten]],0)</f>
        <v>-584</v>
      </c>
      <c r="V29" s="69" t="n">
        <f aca="false">ROUND(TblProd[[#This Row],[Raw Lumber/hr]]*(1+TblProd[[#This Row],[Bonus Lumber/hr]])-TblProd[[#This Row],[Lumber rot]],0)</f>
        <v>805</v>
      </c>
      <c r="W29" s="69" t="n">
        <f aca="false">ROUND(TblProd[[#This Row],[Raw Mana/hr]]*(1+TblProd[[#This Row],[Bonus Mana/hr]])-TblProd[[#This Row],[Mana drain]],0)</f>
        <v>582</v>
      </c>
      <c r="X29" s="69" t="n">
        <f aca="false">ROUNDDOWN(TblProd[[#This Row],[Raw Ore/hr]]*(1+TblProd[[#This Row],[Bonux Ore/hr]]),0)</f>
        <v>0</v>
      </c>
      <c r="Y29" s="69" t="n">
        <f aca="false">ROUNDDOWN(TblProd[[#This Row],[Raw Gems/hr]]*(1+TblProd[[#This Row],[Bonus Gems/hr]]),0)</f>
        <v>0</v>
      </c>
      <c r="Z29" s="148" t="n">
        <f aca="false">OFFSET(TblConstr[[#This Row],[Tot Doc]],1,0)*dock_boats_hr * (1 + tech_4_1*TblTech[[#This Row],[4-1]])</f>
        <v>0.25</v>
      </c>
      <c r="AA29" s="146"/>
      <c r="AB29" s="69" t="n">
        <f aca="false">TblPop[[#This Row],[Peasants]]*tax*TblPop[[#This Row],[Employment]] + (Construction!AZ30+Construction!BX30)*(alch_plat+(Magic!AM29&gt;0)*alchemist_flame_bonus)</f>
        <v>16200.5</v>
      </c>
      <c r="AC29" s="69" t="n">
        <f aca="false">TblConstr[[#This Row],[Tot Farm]]*farm_food + TblConstr[[#This Row],[Tot Doc]]*dock_food</f>
        <v>600</v>
      </c>
      <c r="AD29" s="69" t="n">
        <f aca="false">TblConstr[[#This Row],[Tot Ly]]*ly_lumber + TblConstr[[#This Row],[Tot Hav]]*fh_lumber</f>
        <v>1000</v>
      </c>
      <c r="AE29" s="69" t="n">
        <f aca="false">OFFSET(TblConstr[[#This Row],[Tot Tow]],1,0)*(tower_mana + tech_4_5*TblTech[[#This Row],[4-5]]) + OFFSET(TblConstr[[#This Row],[Tot WG]],1,0)*wg_mana_prod</f>
        <v>450</v>
      </c>
      <c r="AF29" s="69" t="n">
        <f aca="false">OFFSET(TblConstr[[#This Row],[Tot OM]],1,0)*om_ore+IF(race="Dwarf",ROUNDDOWN(TblMili[[#This Row],[Unit 2]]*0.4,0),)</f>
        <v>0</v>
      </c>
      <c r="AG29" s="69" t="n">
        <f aca="false">OFFSET(TblConstr[[#This Row],[Tot DM]],1,0)*dm_gems</f>
        <v>0</v>
      </c>
      <c r="AH29" s="132"/>
      <c r="AI29" s="149" t="n">
        <f aca="false">MIN(race_platinum_bonus + IF(TblMagic[[#This Row],[Active Alch Frost]]&gt;0,alch_frost_bonus,IF(Magic!AD29&gt;0,midas_bonus)) + TblImps[[#This Row],[Science]] - TblProd[[#This Row],[Guard]]*(0.02 + tech_5_7*TblTech[[#This Row],[5-7]]) + tech_1_5*TblTech[[#This Row],[1-5]] + tech_4_4*TblTech[[#This Row],[4-4]], 0.5)</f>
        <v>0</v>
      </c>
      <c r="AJ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29" s="149" t="n">
        <f aca="false">race_lumber_bonus+ IF(TblMagic[[#This Row],[Active Gaia''s Blessing]]&gt;0,gaias_blessing_lumber)+ tech_1_3*TblTech[[#This Row],[1-3]] + tech_1_6*TblTech[[#This Row],[1-6]] + tech_3_3*TblTech[[#This Row],[3-3]]</f>
        <v>-0.1</v>
      </c>
      <c r="AL29" s="149" t="n">
        <f aca="false">race_mana_bonus+ 0 + TblImps[[#This Row],[Towers]] + tech_1_2*TblTech[[#This Row],[1-2]] + tech_3_4*TblTech[[#This Row],[3-4]]</f>
        <v>0</v>
      </c>
      <c r="AM29" s="149" t="n">
        <f aca="false">race_ore_bonus + IF(TblMagic[[#This Row],[Active Miner''s Sight]]&gt;0,miners_sight_bonus,IF(TblMagic[[#This Row],[Active Mining Strength]]&gt;0,mining_strength_bonus)) +  tech_1_6*TblTech[[#This Row],[1-6]]</f>
        <v>0</v>
      </c>
      <c r="AN29" s="149" t="n">
        <f aca="false">race_gem_bonus+ tech_3_2*TblTech[[#This Row],[3-2]] + tech_4_3*TblTech[[#This Row],[4-3]] + tech_6_2*TblTech[[#This Row],[6-2]]</f>
        <v>0.15</v>
      </c>
      <c r="AO29" s="132"/>
      <c r="AP29" s="69" t="n">
        <f aca="false">TblProd[[#This Row],[Food]]*food_decay * (1 + tech_2_1*TblTech[[#This Row],[2-1]] + tech_2_8*TblTech[[#This Row],[2-8]])</f>
        <v>325.02</v>
      </c>
      <c r="AQ29" s="69" t="n">
        <f aca="false">(1+race_food_consumption)*TblPop[[#This Row],[Total]]*food_per_person*(1+tech_1_10*TblTech[[#This Row],[1-10]]+tech_7_5*TblTech[[#This Row],[7-5]])</f>
        <v>874.25</v>
      </c>
      <c r="AR29" s="69" t="n">
        <f aca="false">TblProd[[#This Row],[Lumber]]*lumber_rot * (1 + tech_2_1*TblTech[[#This Row],[2-1]] + tech_2_8*TblTech[[#This Row],[2-8]] + tech_5_2*TblTech[[#This Row],[5-2]])</f>
        <v>95.17</v>
      </c>
      <c r="AS29" s="69" t="n">
        <f aca="false">TblProd[[#This Row],[Mana]]*mana_drain * (1 + tech_2_1*TblTech[[#This Row],[2-1]] + tech_2_8*TblTech[[#This Row],[2-8]])</f>
        <v>-131.74</v>
      </c>
      <c r="AT29" s="146"/>
      <c r="AU29" s="69" t="n">
        <f aca="false">TblExplore[[#This Row],[Platinum (2)]]+TblConstr[[#This Row],[Total Plat Cost]]+TblMili[[#This Row],[Plat Cost]]+TblRezone[[#This Row],[Platinum cost]]+TblImps[[#This Row],[P1]]-TblProd[[#This Row],[Bank Plat]]</f>
        <v>0</v>
      </c>
      <c r="AV29" s="69" t="n">
        <f aca="false">TblConstr[[#This Row],[Total Lum Cost]]+TblImps[[#This Row],[L1]]-TblProd[[#This Row],[Bank Lumber]] + Military!$CL$25*TblMili[[#This Row],[Sec. rec. Cost]]</f>
        <v>0</v>
      </c>
      <c r="AW29" s="69" t="n">
        <f aca="false">TblMagic[[#This Row],[Mana cost]] + Military!$CL$26*TblMili[[#This Row],[Sec. rec. Cost]]</f>
        <v>2242.5</v>
      </c>
      <c r="AX29" s="69" t="n">
        <f aca="false">Military!$CL$24*TblMili[[#This Row],[Sec. rec. Cost]]+TblImps[[#This Row],[O1]]-TblProd[[#This Row],[Bank Ore]]</f>
        <v>0</v>
      </c>
      <c r="AY29" s="69" t="n">
        <f aca="false">TblImps[[#This Row],[G1]]-TblProd[[#This Row],[Bank Gems]]</f>
        <v>0</v>
      </c>
      <c r="AZ29" s="132"/>
      <c r="BA29" s="33" t="n">
        <f aca="false">IF(TblProd[[#This Row],[Set Guard]]&lt;&gt;"",TblProd[[#This Row],[Set Guard]],OFFSET(TblProd[[#This Row],[Guard]],-1,0))</f>
        <v>0</v>
      </c>
      <c r="BB29" s="145"/>
      <c r="BC29" s="151" t="n">
        <f aca="false">TblProd[[#This Row],[Hour]]</f>
        <v>26</v>
      </c>
      <c r="BD29" s="152" t="n">
        <f aca="false">-TblProd[[#This Row],[Bank Lumber]] / 2 + -TblProd[[#This Row],[Bank Gems]] * 2 + -TblProd[[#This Row],[Bank Ore]] / 2</f>
        <v>0</v>
      </c>
      <c r="BE29" s="152"/>
      <c r="BF29" s="152"/>
      <c r="BG29" s="152"/>
      <c r="BH29" s="153" t="n">
        <f aca="false">TblProd[[#This Row],[Time]]</f>
        <v>45430.7916666667</v>
      </c>
      <c r="BI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J29" s="69" t="n">
        <f aca="false">TblProd[[#This Row],[Platinum]]</f>
        <v>68958</v>
      </c>
      <c r="BK29" s="69" t="n">
        <f aca="false">TblProd[[#This Row],[Food]]</f>
        <v>32502</v>
      </c>
      <c r="BL29" s="69" t="n">
        <f aca="false">TblProd[[#This Row],[Lumber]]</f>
        <v>9517</v>
      </c>
      <c r="BM29" s="69" t="n">
        <f aca="false">TblProd[[#This Row],[Mana]]</f>
        <v>-6587</v>
      </c>
      <c r="BN29" s="69" t="n">
        <f aca="false">TblProd[[#This Row],[Ore]]</f>
        <v>-357</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c r="H30" s="69" t="e">
        <f aca="false">TblMili[[#This Row],[Networth (2)]]</f>
        <v>#VALUE!</v>
      </c>
      <c r="I30" s="69" t="n">
        <f aca="false">OFFSET(TblProd[[#This Row],[Platinum]],-1,0)+OFFSET(TblProd[[#This Row],[Plat/hr]],-1,0) - TblProd[[#This Row],[Expenses Platinum]] + IF(TblProd[[#This Row],[Plat Bonus]],TblPop[[#This Row],[Peasants]]*4) + SUM(TblConstr[[#This Row],[Dest Hom]:[Dest Doc]])*TblConstr[[#This Row],[CPA Platinum -DB]]*tech_3_3_2*TblTech[[#This Row],[3-3]]</f>
        <v>85158</v>
      </c>
      <c r="J30" s="69" t="n">
        <f aca="false">OFFSET(TblProd[[#This Row],[Food]],-1,0)+OFFSET(TblProd[[#This Row],[Food/hr]],-1,0)+ROUNDUP((TblConstr[[#This Row],[Farms]]*80+TblConstr[[#This Row],[Docks]]*35)*(1+OFFSET(TblProd[[#This Row],[Bonus Food/hr]],-1,0)),0)</f>
        <v>31918</v>
      </c>
      <c r="K30" s="69" t="n">
        <f aca="false">OFFSET(TblProd[[#This Row],[Lumber]],-1,0)+OFFSET(TblProd[[#This Row],[Lumber/hr]],-1,0) - TblProd[[#This Row],[Expenses Lumber]] + SUM(TblConstr[[#This Row],[Dest Hom]:[Dest Doc]])*TblConstr[[#This Row],[CPA Lumber -DB]]*tech_3_3_2*TblTech[[#This Row],[3-3]]</f>
        <v>10322</v>
      </c>
      <c r="L30" s="69" t="n">
        <f aca="false">OFFSET(TblProd[[#This Row],[Mana]],-1,0)+OFFSET(TblProd[[#This Row],[Mana/hr]],-1,0)- TblProd[[#This Row],[Expenses Mana]]</f>
        <v>-6005</v>
      </c>
      <c r="M30" s="69" t="n">
        <f aca="false">OFFSET(TblProd[[#This Row],[Ore]],-1,0)+OFFSET(TblProd[[#This Row],[Ore/hr]],-1,0) -TblProd[[#This Row],[Expenses Ore]]</f>
        <v>-357</v>
      </c>
      <c r="N30" s="69" t="n">
        <f aca="false">OFFSET(TblProd[[#This Row],[Gems]],-1,0)+OFFSET(TblProd[[#This Row],[Gems/hr]],-1,0) - TblProd[[#This Row],[Expenses Gems]]</f>
        <v>-1000</v>
      </c>
      <c r="O30" s="69" t="n">
        <f aca="false">OFFSET(TblProd[[#This Row],[Boats]],-1,0)+OFFSET(TblProd[[#This Row],[Boats/hr]],-1,0)</f>
        <v>0.75</v>
      </c>
      <c r="P30" s="69" t="n">
        <f aca="false">OFFSET(TblProd[[#This Row],[Prestige]],-1,0)</f>
        <v>250</v>
      </c>
      <c r="Q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0" s="69" t="n">
        <f aca="false">MAX(3750,_xlfn.CEILING.MATH(TblProd[[#This Row],[Land]]*2.5+OFFSET(TblTech[[#This Row],[Sum of tech]],-1,0)*150))</f>
        <v>3750</v>
      </c>
      <c r="S30" s="132"/>
      <c r="T30" s="69" t="n">
        <f aca="false">ROUNDDOWN(TblProd[[#This Row],[Raw Plat/hr]]*(1+TblProd[[#This Row],[Bonus Plat/hr]]),0)</f>
        <v>16762</v>
      </c>
      <c r="U30" s="69" t="n">
        <f aca="false">ROUND(TblProd[[#This Row],[Raw Food/hr]]*(1+TblProd[[#This Row],[Bonus Food/hr]])-TblProd[[#This Row],[Food decay]]-TblProd[[#This Row],[Food eaten]],0)</f>
        <v>-639</v>
      </c>
      <c r="V30" s="69" t="n">
        <f aca="false">ROUND(TblProd[[#This Row],[Raw Lumber/hr]]*(1+TblProd[[#This Row],[Bonus Lumber/hr]])-TblProd[[#This Row],[Lumber rot]],0)</f>
        <v>797</v>
      </c>
      <c r="W30" s="69" t="n">
        <f aca="false">ROUND(TblProd[[#This Row],[Raw Mana/hr]]*(1+TblProd[[#This Row],[Bonus Mana/hr]])-TblProd[[#This Row],[Mana drain]],0)</f>
        <v>570</v>
      </c>
      <c r="X30" s="69" t="n">
        <f aca="false">ROUNDDOWN(TblProd[[#This Row],[Raw Ore/hr]]*(1+TblProd[[#This Row],[Bonux Ore/hr]]),0)</f>
        <v>0</v>
      </c>
      <c r="Y30" s="69" t="n">
        <f aca="false">ROUNDDOWN(TblProd[[#This Row],[Raw Gems/hr]]*(1+TblProd[[#This Row],[Bonus Gems/hr]]),0)</f>
        <v>0</v>
      </c>
      <c r="Z30" s="148" t="n">
        <f aca="false">OFFSET(TblConstr[[#This Row],[Tot Doc]],1,0)*dock_boats_hr * (1 + tech_4_1*TblTech[[#This Row],[4-1]])</f>
        <v>0.25</v>
      </c>
      <c r="AA30" s="146"/>
      <c r="AB30" s="69" t="n">
        <f aca="false">TblPop[[#This Row],[Peasants]]*tax*TblPop[[#This Row],[Employment]] + (Construction!AZ31+Construction!BX31)*(alch_plat+(Magic!AM30&gt;0)*alchemist_flame_bonus)</f>
        <v>16762.1</v>
      </c>
      <c r="AC30" s="69" t="n">
        <f aca="false">TblConstr[[#This Row],[Tot Farm]]*farm_food + TblConstr[[#This Row],[Tot Doc]]*dock_food</f>
        <v>600</v>
      </c>
      <c r="AD30" s="69" t="n">
        <f aca="false">TblConstr[[#This Row],[Tot Ly]]*ly_lumber + TblConstr[[#This Row],[Tot Hav]]*fh_lumber</f>
        <v>1000</v>
      </c>
      <c r="AE30" s="69" t="n">
        <f aca="false">OFFSET(TblConstr[[#This Row],[Tot Tow]],1,0)*(tower_mana + tech_4_5*TblTech[[#This Row],[4-5]]) + OFFSET(TblConstr[[#This Row],[Tot WG]],1,0)*wg_mana_prod</f>
        <v>450</v>
      </c>
      <c r="AF30" s="69" t="n">
        <f aca="false">OFFSET(TblConstr[[#This Row],[Tot OM]],1,0)*om_ore+IF(race="Dwarf",ROUNDDOWN(TblMili[[#This Row],[Unit 2]]*0.4,0),)</f>
        <v>0</v>
      </c>
      <c r="AG30" s="69" t="n">
        <f aca="false">OFFSET(TblConstr[[#This Row],[Tot DM]],1,0)*dm_gems</f>
        <v>0</v>
      </c>
      <c r="AH30" s="132"/>
      <c r="AI30" s="149" t="n">
        <f aca="false">MIN(race_platinum_bonus + IF(TblMagic[[#This Row],[Active Alch Frost]]&gt;0,alch_frost_bonus,IF(Magic!AD30&gt;0,midas_bonus)) + TblImps[[#This Row],[Science]] - TblProd[[#This Row],[Guard]]*(0.02 + tech_5_7*TblTech[[#This Row],[5-7]]) + tech_1_5*TblTech[[#This Row],[1-5]] + tech_4_4*TblTech[[#This Row],[4-4]], 0.5)</f>
        <v>0</v>
      </c>
      <c r="AJ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0" s="149" t="n">
        <f aca="false">race_lumber_bonus+ IF(TblMagic[[#This Row],[Active Gaia''s Blessing]]&gt;0,gaias_blessing_lumber)+ tech_1_3*TblTech[[#This Row],[1-3]] + tech_1_6*TblTech[[#This Row],[1-6]] + tech_3_3*TblTech[[#This Row],[3-3]]</f>
        <v>-0.1</v>
      </c>
      <c r="AL30" s="149" t="n">
        <f aca="false">race_mana_bonus+ 0 + TblImps[[#This Row],[Towers]] + tech_1_2*TblTech[[#This Row],[1-2]] + tech_3_4*TblTech[[#This Row],[3-4]]</f>
        <v>0</v>
      </c>
      <c r="AM30" s="149" t="n">
        <f aca="false">race_ore_bonus + IF(TblMagic[[#This Row],[Active Miner''s Sight]]&gt;0,miners_sight_bonus,IF(TblMagic[[#This Row],[Active Mining Strength]]&gt;0,mining_strength_bonus)) +  tech_1_6*TblTech[[#This Row],[1-6]]</f>
        <v>0</v>
      </c>
      <c r="AN30" s="149" t="n">
        <f aca="false">race_gem_bonus+ tech_3_2*TblTech[[#This Row],[3-2]] + tech_4_3*TblTech[[#This Row],[4-3]] + tech_6_2*TblTech[[#This Row],[6-2]]</f>
        <v>0.15</v>
      </c>
      <c r="AO30" s="132"/>
      <c r="AP30" s="69" t="n">
        <f aca="false">TblProd[[#This Row],[Food]]*food_decay * (1 + tech_2_1*TblTech[[#This Row],[2-1]] + tech_2_8*TblTech[[#This Row],[2-8]])</f>
        <v>319.18</v>
      </c>
      <c r="AQ30" s="69" t="n">
        <f aca="false">(1+race_food_consumption)*TblPop[[#This Row],[Total]]*food_per_person*(1+tech_1_10*TblTech[[#This Row],[1-10]]+tech_7_5*TblTech[[#This Row],[7-5]])</f>
        <v>934.5</v>
      </c>
      <c r="AR30" s="69" t="n">
        <f aca="false">TblProd[[#This Row],[Lumber]]*lumber_rot * (1 + tech_2_1*TblTech[[#This Row],[2-1]] + tech_2_8*TblTech[[#This Row],[2-8]] + tech_5_2*TblTech[[#This Row],[5-2]])</f>
        <v>103.22</v>
      </c>
      <c r="AS30" s="69" t="n">
        <f aca="false">TblProd[[#This Row],[Mana]]*mana_drain * (1 + tech_2_1*TblTech[[#This Row],[2-1]] + tech_2_8*TblTech[[#This Row],[2-8]])</f>
        <v>-120.1</v>
      </c>
      <c r="AT30" s="146"/>
      <c r="AU30" s="69" t="n">
        <f aca="false">TblExplore[[#This Row],[Platinum (2)]]+TblConstr[[#This Row],[Total Plat Cost]]+TblMili[[#This Row],[Plat Cost]]+TblRezone[[#This Row],[Platinum cost]]+TblImps[[#This Row],[P1]]-TblProd[[#This Row],[Bank Plat]]</f>
        <v>0</v>
      </c>
      <c r="AV30" s="69" t="n">
        <f aca="false">TblConstr[[#This Row],[Total Lum Cost]]+TblImps[[#This Row],[L1]]-TblProd[[#This Row],[Bank Lumber]] + Military!$CL$25*TblMili[[#This Row],[Sec. rec. Cost]]</f>
        <v>0</v>
      </c>
      <c r="AW30" s="69" t="n">
        <f aca="false">TblMagic[[#This Row],[Mana cost]] + Military!$CL$26*TblMili[[#This Row],[Sec. rec. Cost]]</f>
        <v>0</v>
      </c>
      <c r="AX30" s="69" t="n">
        <f aca="false">Military!$CL$24*TblMili[[#This Row],[Sec. rec. Cost]]+TblImps[[#This Row],[O1]]-TblProd[[#This Row],[Bank Ore]]</f>
        <v>0</v>
      </c>
      <c r="AY30" s="69" t="n">
        <f aca="false">TblImps[[#This Row],[G1]]-TblProd[[#This Row],[Bank Gems]]</f>
        <v>0</v>
      </c>
      <c r="AZ30" s="132"/>
      <c r="BA30" s="33" t="n">
        <f aca="false">IF(TblProd[[#This Row],[Set Guard]]&lt;&gt;"",TblProd[[#This Row],[Set Guard]],OFFSET(TblProd[[#This Row],[Guard]],-1,0))</f>
        <v>0</v>
      </c>
      <c r="BB30" s="145"/>
      <c r="BC30" s="151" t="n">
        <f aca="false">TblProd[[#This Row],[Hour]]</f>
        <v>27</v>
      </c>
      <c r="BD30" s="152" t="n">
        <f aca="false">-TblProd[[#This Row],[Bank Lumber]] / 2 + -TblProd[[#This Row],[Bank Gems]] * 2 + -TblProd[[#This Row],[Bank Ore]] / 2</f>
        <v>0</v>
      </c>
      <c r="BE30" s="152"/>
      <c r="BF30" s="152"/>
      <c r="BG30" s="152"/>
      <c r="BH30" s="153" t="n">
        <f aca="false">TblProd[[#This Row],[Time]]</f>
        <v>45430.8333333333</v>
      </c>
      <c r="BI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J30" s="69" t="n">
        <f aca="false">TblProd[[#This Row],[Platinum]]</f>
        <v>85158</v>
      </c>
      <c r="BK30" s="69" t="n">
        <f aca="false">TblProd[[#This Row],[Food]]</f>
        <v>31918</v>
      </c>
      <c r="BL30" s="69" t="n">
        <f aca="false">TblProd[[#This Row],[Lumber]]</f>
        <v>10322</v>
      </c>
      <c r="BM30" s="69" t="n">
        <f aca="false">TblProd[[#This Row],[Mana]]</f>
        <v>-6005</v>
      </c>
      <c r="BN30" s="69" t="n">
        <f aca="false">TblProd[[#This Row],[Ore]]</f>
        <v>-357</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c r="H31" s="69" t="e">
        <f aca="false">TblMili[[#This Row],[Networth (2)]]</f>
        <v>#VALUE!</v>
      </c>
      <c r="I31" s="69" t="n">
        <f aca="false">OFFSET(TblProd[[#This Row],[Platinum]],-1,0)+OFFSET(TblProd[[#This Row],[Plat/hr]],-1,0) - TblProd[[#This Row],[Expenses Platinum]] + IF(TblProd[[#This Row],[Plat Bonus]],TblPop[[#This Row],[Peasants]]*4) + SUM(TblConstr[[#This Row],[Dest Hom]:[Dest Doc]])*TblConstr[[#This Row],[CPA Platinum -DB]]*tech_3_3_2*TblTech[[#This Row],[3-3]]</f>
        <v>101920</v>
      </c>
      <c r="J31" s="69" t="n">
        <f aca="false">OFFSET(TblProd[[#This Row],[Food]],-1,0)+OFFSET(TblProd[[#This Row],[Food/hr]],-1,0)+ROUNDUP((TblConstr[[#This Row],[Farms]]*80+TblConstr[[#This Row],[Docks]]*35)*(1+OFFSET(TblProd[[#This Row],[Bonus Food/hr]],-1,0)),0)</f>
        <v>31279</v>
      </c>
      <c r="K31" s="69" t="n">
        <f aca="false">OFFSET(TblProd[[#This Row],[Lumber]],-1,0)+OFFSET(TblProd[[#This Row],[Lumber/hr]],-1,0) - TblProd[[#This Row],[Expenses Lumber]] + SUM(TblConstr[[#This Row],[Dest Hom]:[Dest Doc]])*TblConstr[[#This Row],[CPA Lumber -DB]]*tech_3_3_2*TblTech[[#This Row],[3-3]]</f>
        <v>11119</v>
      </c>
      <c r="L31" s="69" t="n">
        <f aca="false">OFFSET(TblProd[[#This Row],[Mana]],-1,0)+OFFSET(TblProd[[#This Row],[Mana/hr]],-1,0)- TblProd[[#This Row],[Expenses Mana]]</f>
        <v>-6182.5</v>
      </c>
      <c r="M31" s="69" t="n">
        <f aca="false">OFFSET(TblProd[[#This Row],[Ore]],-1,0)+OFFSET(TblProd[[#This Row],[Ore/hr]],-1,0) -TblProd[[#This Row],[Expenses Ore]]</f>
        <v>-357</v>
      </c>
      <c r="N31" s="69" t="n">
        <f aca="false">OFFSET(TblProd[[#This Row],[Gems]],-1,0)+OFFSET(TblProd[[#This Row],[Gems/hr]],-1,0) - TblProd[[#This Row],[Expenses Gems]]</f>
        <v>-1000</v>
      </c>
      <c r="O31" s="69" t="n">
        <f aca="false">OFFSET(TblProd[[#This Row],[Boats]],-1,0)+OFFSET(TblProd[[#This Row],[Boats/hr]],-1,0)</f>
        <v>1</v>
      </c>
      <c r="P31" s="69" t="n">
        <f aca="false">OFFSET(TblProd[[#This Row],[Prestige]],-1,0)</f>
        <v>250</v>
      </c>
      <c r="Q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1" s="69" t="n">
        <f aca="false">MAX(3750,_xlfn.CEILING.MATH(TblProd[[#This Row],[Land]]*2.5+OFFSET(TblTech[[#This Row],[Sum of tech]],-1,0)*150))</f>
        <v>3750</v>
      </c>
      <c r="S31" s="132"/>
      <c r="T31" s="69" t="n">
        <f aca="false">ROUNDDOWN(TblProd[[#This Row],[Raw Plat/hr]]*(1+TblProd[[#This Row],[Bonus Plat/hr]]),0)</f>
        <v>19094</v>
      </c>
      <c r="U31" s="69" t="n">
        <f aca="false">ROUND(TblProd[[#This Row],[Raw Food/hr]]*(1+TblProd[[#This Row],[Bonus Food/hr]])-TblProd[[#This Row],[Food decay]]-TblProd[[#This Row],[Food eaten]],0)</f>
        <v>678684</v>
      </c>
      <c r="V31" s="69" t="n">
        <f aca="false">ROUND(TblProd[[#This Row],[Raw Lumber/hr]]*(1+TblProd[[#This Row],[Bonus Lumber/hr]])-TblProd[[#This Row],[Lumber rot]],0)</f>
        <v>789</v>
      </c>
      <c r="W31" s="69" t="n">
        <f aca="false">ROUND(TblProd[[#This Row],[Raw Mana/hr]]*(1+TblProd[[#This Row],[Bonus Mana/hr]])-TblProd[[#This Row],[Mana drain]],0)</f>
        <v>1019666</v>
      </c>
      <c r="X31" s="69" t="n">
        <f aca="false">ROUNDDOWN(TblProd[[#This Row],[Raw Ore/hr]]*(1+TblProd[[#This Row],[Bonux Ore/hr]]),0)</f>
        <v>0</v>
      </c>
      <c r="Y31" s="69" t="n">
        <f aca="false">ROUNDDOWN(TblProd[[#This Row],[Raw Gems/hr]]*(1+TblProd[[#This Row],[Bonus Gems/hr]]),0)</f>
        <v>0</v>
      </c>
      <c r="Z31" s="148" t="n">
        <f aca="false">OFFSET(TblConstr[[#This Row],[Tot Doc]],1,0)*dock_boats_hr * (1 + tech_4_1*TblTech[[#This Row],[4-1]])</f>
        <v>0.25</v>
      </c>
      <c r="AA31" s="146"/>
      <c r="AB31" s="69" t="n">
        <f aca="false">TblPop[[#This Row],[Peasants]]*tax*TblPop[[#This Row],[Employment]] + (Construction!AZ32+Construction!BX32)*(alch_plat+(Magic!AM31&gt;0)*alchemist_flame_bonus)</f>
        <v>17358.8</v>
      </c>
      <c r="AC31" s="69" t="n">
        <f aca="false">TblConstr[[#This Row],[Tot Farm]]*farm_food + TblConstr[[#This Row],[Tot Doc]]*dock_food</f>
        <v>600</v>
      </c>
      <c r="AD31" s="69" t="n">
        <f aca="false">TblConstr[[#This Row],[Tot Ly]]*ly_lumber + TblConstr[[#This Row],[Tot Hav]]*fh_lumber</f>
        <v>1000</v>
      </c>
      <c r="AE31" s="69" t="n">
        <f aca="false">OFFSET(TblConstr[[#This Row],[Tot Tow]],1,0)*(tower_mana + tech_4_5*TblTech[[#This Row],[4-5]]) + OFFSET(TblConstr[[#This Row],[Tot WG]],1,0)*wg_mana_prod</f>
        <v>450</v>
      </c>
      <c r="AF31" s="69" t="n">
        <f aca="false">OFFSET(TblConstr[[#This Row],[Tot OM]],1,0)*om_ore+IF(race="Dwarf",ROUNDDOWN(TblMili[[#This Row],[Unit 2]]*0.4,0),)</f>
        <v>0</v>
      </c>
      <c r="AG31" s="69" t="n">
        <f aca="false">OFFSET(TblConstr[[#This Row],[Tot DM]],1,0)*dm_gems</f>
        <v>0</v>
      </c>
      <c r="AH31" s="132"/>
      <c r="AI31" s="149" t="n">
        <f aca="false">MIN(race_platinum_bonus + IF(TblMagic[[#This Row],[Active Alch Frost]]&gt;0,alch_frost_bonus,IF(Magic!AD31&gt;0,midas_bonus)) + TblImps[[#This Row],[Science]] - TblProd[[#This Row],[Guard]]*(0.02 + tech_5_7*TblTech[[#This Row],[5-7]]) + tech_1_5*TblTech[[#This Row],[1-5]] + tech_4_4*TblTech[[#This Row],[4-4]], 0.5)</f>
        <v>0.1</v>
      </c>
      <c r="AJ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1132.325</v>
      </c>
      <c r="AK31" s="149" t="n">
        <f aca="false">race_lumber_bonus+ IF(TblMagic[[#This Row],[Active Gaia''s Blessing]]&gt;0,gaias_blessing_lumber)+ tech_1_3*TblTech[[#This Row],[1-3]] + tech_1_6*TblTech[[#This Row],[1-6]] + tech_3_3*TblTech[[#This Row],[3-3]]</f>
        <v>-0.1</v>
      </c>
      <c r="AL31" s="149" t="n">
        <f aca="false">race_mana_bonus+ 0 + TblImps[[#This Row],[Towers]] + tech_1_2*TblTech[[#This Row],[1-2]] + tech_3_4*TblTech[[#This Row],[3-4]]</f>
        <v>2264.65</v>
      </c>
      <c r="AM31" s="149" t="n">
        <f aca="false">race_ore_bonus + IF(TblMagic[[#This Row],[Active Miner''s Sight]]&gt;0,miners_sight_bonus,IF(TblMagic[[#This Row],[Active Mining Strength]]&gt;0,mining_strength_bonus)) +  tech_1_6*TblTech[[#This Row],[1-6]]</f>
        <v>0</v>
      </c>
      <c r="AN31" s="149" t="n">
        <f aca="false">race_gem_bonus+ tech_3_2*TblTech[[#This Row],[3-2]] + tech_4_3*TblTech[[#This Row],[4-3]] + tech_6_2*TblTech[[#This Row],[6-2]]</f>
        <v>0.15</v>
      </c>
      <c r="AO31" s="132"/>
      <c r="AP31" s="69" t="n">
        <f aca="false">TblProd[[#This Row],[Food]]*food_decay * (1 + tech_2_1*TblTech[[#This Row],[2-1]] + tech_2_8*TblTech[[#This Row],[2-8]])</f>
        <v>312.79</v>
      </c>
      <c r="AQ31" s="69" t="n">
        <f aca="false">(1+race_food_consumption)*TblPop[[#This Row],[Total]]*food_per_person*(1+tech_1_10*TblTech[[#This Row],[1-10]]+tech_7_5*TblTech[[#This Row],[7-5]])</f>
        <v>998.5</v>
      </c>
      <c r="AR31" s="69" t="n">
        <f aca="false">TblProd[[#This Row],[Lumber]]*lumber_rot * (1 + tech_2_1*TblTech[[#This Row],[2-1]] + tech_2_8*TblTech[[#This Row],[2-8]] + tech_5_2*TblTech[[#This Row],[5-2]])</f>
        <v>111.19</v>
      </c>
      <c r="AS31" s="69" t="n">
        <f aca="false">TblProd[[#This Row],[Mana]]*mana_drain * (1 + tech_2_1*TblTech[[#This Row],[2-1]] + tech_2_8*TblTech[[#This Row],[2-8]])</f>
        <v>-123.65</v>
      </c>
      <c r="AT31" s="146"/>
      <c r="AU31" s="69" t="n">
        <f aca="false">TblExplore[[#This Row],[Platinum (2)]]+TblConstr[[#This Row],[Total Plat Cost]]+TblMili[[#This Row],[Plat Cost]]+TblRezone[[#This Row],[Platinum cost]]+TblImps[[#This Row],[P1]]-TblProd[[#This Row],[Bank Plat]]</f>
        <v>0</v>
      </c>
      <c r="AV31" s="69" t="n">
        <f aca="false">TblConstr[[#This Row],[Total Lum Cost]]+TblImps[[#This Row],[L1]]-TblProd[[#This Row],[Bank Lumber]] + Military!$CL$25*TblMili[[#This Row],[Sec. rec. Cost]]</f>
        <v>0</v>
      </c>
      <c r="AW31" s="69" t="n">
        <f aca="false">TblMagic[[#This Row],[Mana cost]] + Military!$CL$26*TblMili[[#This Row],[Sec. rec. Cost]]</f>
        <v>747.5</v>
      </c>
      <c r="AX31" s="69" t="n">
        <f aca="false">Military!$CL$24*TblMili[[#This Row],[Sec. rec. Cost]]+TblImps[[#This Row],[O1]]-TblProd[[#This Row],[Bank Ore]]</f>
        <v>0</v>
      </c>
      <c r="AY31" s="69" t="n">
        <f aca="false">TblImps[[#This Row],[G1]]-TblProd[[#This Row],[Bank Gems]]</f>
        <v>0</v>
      </c>
      <c r="AZ31" s="132"/>
      <c r="BA31" s="33" t="n">
        <f aca="false">IF(TblProd[[#This Row],[Set Guard]]&lt;&gt;"",TblProd[[#This Row],[Set Guard]],OFFSET(TblProd[[#This Row],[Guard]],-1,0))</f>
        <v>0</v>
      </c>
      <c r="BB31" s="145"/>
      <c r="BC31" s="151" t="n">
        <f aca="false">TblProd[[#This Row],[Hour]]</f>
        <v>28</v>
      </c>
      <c r="BD31" s="152" t="n">
        <f aca="false">-TblProd[[#This Row],[Bank Lumber]] / 2 + -TblProd[[#This Row],[Bank Gems]] * 2 + -TblProd[[#This Row],[Bank Ore]] / 2</f>
        <v>0</v>
      </c>
      <c r="BE31" s="152"/>
      <c r="BF31" s="152"/>
      <c r="BG31" s="152"/>
      <c r="BH31" s="153" t="n">
        <f aca="false">TblProd[[#This Row],[Time]]</f>
        <v>45430.875</v>
      </c>
      <c r="BI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J31" s="69" t="n">
        <f aca="false">TblProd[[#This Row],[Platinum]]</f>
        <v>101920</v>
      </c>
      <c r="BK31" s="69" t="n">
        <f aca="false">TblProd[[#This Row],[Food]]</f>
        <v>31279</v>
      </c>
      <c r="BL31" s="69" t="n">
        <f aca="false">TblProd[[#This Row],[Lumber]]</f>
        <v>11119</v>
      </c>
      <c r="BM31" s="69" t="n">
        <f aca="false">TblProd[[#This Row],[Mana]]</f>
        <v>-6182.5</v>
      </c>
      <c r="BN31" s="69" t="n">
        <f aca="false">TblProd[[#This Row],[Ore]]</f>
        <v>-357</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c r="H32" s="69" t="e">
        <f aca="false">TblMili[[#This Row],[Networth (2)]]</f>
        <v>#VALUE!</v>
      </c>
      <c r="I32" s="69" t="n">
        <f aca="false">OFFSET(TblProd[[#This Row],[Platinum]],-1,0)+OFFSET(TblProd[[#This Row],[Plat/hr]],-1,0) - TblProd[[#This Row],[Expenses Platinum]] + IF(TblProd[[#This Row],[Plat Bonus]],TblPop[[#This Row],[Peasants]]*4) + SUM(TblConstr[[#This Row],[Dest Hom]:[Dest Doc]])*TblConstr[[#This Row],[CPA Platinum -DB]]*tech_3_3_2*TblTech[[#This Row],[3-3]]</f>
        <v>93406</v>
      </c>
      <c r="J32" s="69" t="n">
        <f aca="false">OFFSET(TblProd[[#This Row],[Food]],-1,0)+OFFSET(TblProd[[#This Row],[Food/hr]],-1,0)+ROUNDUP((TblConstr[[#This Row],[Farms]]*80+TblConstr[[#This Row],[Docks]]*35)*(1+OFFSET(TblProd[[#This Row],[Bonus Food/hr]],-1,0)),0)</f>
        <v>709963</v>
      </c>
      <c r="K32" s="69" t="n">
        <f aca="false">OFFSET(TblProd[[#This Row],[Lumber]],-1,0)+OFFSET(TblProd[[#This Row],[Lumber/hr]],-1,0) - TblProd[[#This Row],[Expenses Lumber]] + SUM(TblConstr[[#This Row],[Dest Hom]:[Dest Doc]])*TblConstr[[#This Row],[CPA Lumber -DB]]*tech_3_3_2*TblTech[[#This Row],[3-3]]</f>
        <v>11908</v>
      </c>
      <c r="L32" s="69" t="n">
        <f aca="false">OFFSET(TblProd[[#This Row],[Mana]],-1,0)+OFFSET(TblProd[[#This Row],[Mana/hr]],-1,0)- TblProd[[#This Row],[Expenses Mana]]</f>
        <v>1013483.5</v>
      </c>
      <c r="M32" s="69" t="n">
        <f aca="false">OFFSET(TblProd[[#This Row],[Ore]],-1,0)+OFFSET(TblProd[[#This Row],[Ore/hr]],-1,0) -TblProd[[#This Row],[Expenses Ore]]</f>
        <v>-357</v>
      </c>
      <c r="N32" s="69" t="n">
        <f aca="false">OFFSET(TblProd[[#This Row],[Gems]],-1,0)+OFFSET(TblProd[[#This Row],[Gems/hr]],-1,0) - TblProd[[#This Row],[Expenses Gems]]</f>
        <v>-1000</v>
      </c>
      <c r="O32" s="69" t="n">
        <f aca="false">OFFSET(TblProd[[#This Row],[Boats]],-1,0)+OFFSET(TblProd[[#This Row],[Boats/hr]],-1,0)</f>
        <v>1.25</v>
      </c>
      <c r="P32" s="69" t="n">
        <f aca="false">OFFSET(TblProd[[#This Row],[Prestige]],-1,0)</f>
        <v>250</v>
      </c>
      <c r="Q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2" s="69" t="n">
        <f aca="false">MAX(3750,_xlfn.CEILING.MATH(TblProd[[#This Row],[Land]]*2.5+OFFSET(TblTech[[#This Row],[Sum of tech]],-1,0)*150))</f>
        <v>3750</v>
      </c>
      <c r="S32" s="132"/>
      <c r="T32" s="69" t="n">
        <f aca="false">ROUNDDOWN(TblProd[[#This Row],[Raw Plat/hr]]*(1+TblProd[[#This Row],[Bonus Plat/hr]]),0)</f>
        <v>20558</v>
      </c>
      <c r="U32" s="69" t="n">
        <f aca="false">ROUND(TblProd[[#This Row],[Raw Food/hr]]*(1+TblProd[[#This Row],[Bonus Food/hr]])-TblProd[[#This Row],[Food decay]]-TblProd[[#This Row],[Food eaten]],0)</f>
        <v>-7523</v>
      </c>
      <c r="V32" s="69" t="n">
        <f aca="false">ROUND(TblProd[[#This Row],[Raw Lumber/hr]]*(1+TblProd[[#This Row],[Bonus Lumber/hr]])-TblProd[[#This Row],[Lumber rot]],0)</f>
        <v>781</v>
      </c>
      <c r="W32" s="69" t="n">
        <f aca="false">ROUND(TblProd[[#This Row],[Raw Mana/hr]]*(1+TblProd[[#This Row],[Bonus Mana/hr]])-TblProd[[#This Row],[Mana drain]],0)</f>
        <v>-19820</v>
      </c>
      <c r="X32" s="69" t="n">
        <f aca="false">ROUNDDOWN(TblProd[[#This Row],[Raw Ore/hr]]*(1+TblProd[[#This Row],[Bonux Ore/hr]]),0)</f>
        <v>0</v>
      </c>
      <c r="Y32" s="69" t="n">
        <f aca="false">ROUNDDOWN(TblProd[[#This Row],[Raw Gems/hr]]*(1+TblProd[[#This Row],[Bonus Gems/hr]]),0)</f>
        <v>0</v>
      </c>
      <c r="Z32" s="148" t="n">
        <f aca="false">OFFSET(TblConstr[[#This Row],[Tot Doc]],1,0)*dock_boats_hr * (1 + tech_4_1*TblTech[[#This Row],[4-1]])</f>
        <v>0.25</v>
      </c>
      <c r="AA32" s="146"/>
      <c r="AB32" s="69" t="n">
        <f aca="false">TblPop[[#This Row],[Peasants]]*tax*TblPop[[#This Row],[Employment]] + (Construction!AZ33+Construction!BX33)*(alch_plat+(Magic!AM32&gt;0)*alchemist_flame_bonus)</f>
        <v>18689.3</v>
      </c>
      <c r="AC32" s="69" t="n">
        <f aca="false">TblConstr[[#This Row],[Tot Farm]]*farm_food + TblConstr[[#This Row],[Tot Doc]]*dock_food</f>
        <v>600</v>
      </c>
      <c r="AD32" s="69" t="n">
        <f aca="false">TblConstr[[#This Row],[Tot Ly]]*ly_lumber + TblConstr[[#This Row],[Tot Hav]]*fh_lumber</f>
        <v>1000</v>
      </c>
      <c r="AE32" s="69" t="n">
        <f aca="false">OFFSET(TblConstr[[#This Row],[Tot Tow]],1,0)*(tower_mana + tech_4_5*TblTech[[#This Row],[4-5]]) + OFFSET(TblConstr[[#This Row],[Tot WG]],1,0)*wg_mana_prod</f>
        <v>450</v>
      </c>
      <c r="AF32" s="69" t="n">
        <f aca="false">OFFSET(TblConstr[[#This Row],[Tot OM]],1,0)*om_ore+IF(race="Dwarf",ROUNDDOWN(TblMili[[#This Row],[Unit 2]]*0.4,0),)</f>
        <v>0</v>
      </c>
      <c r="AG32" s="69" t="n">
        <f aca="false">OFFSET(TblConstr[[#This Row],[Tot DM]],1,0)*dm_gems</f>
        <v>0</v>
      </c>
      <c r="AH32" s="132"/>
      <c r="AI32" s="149" t="n">
        <f aca="false">MIN(race_platinum_bonus + IF(TblMagic[[#This Row],[Active Alch Frost]]&gt;0,alch_frost_bonus,IF(Magic!AD32&gt;0,midas_bonus)) + TblImps[[#This Row],[Science]] - TblProd[[#This Row],[Guard]]*(0.02 + tech_5_7*TblTech[[#This Row],[5-7]]) + tech_1_5*TblTech[[#This Row],[1-5]] + tech_4_4*TblTech[[#This Row],[4-4]], 0.5)</f>
        <v>0.1</v>
      </c>
      <c r="AJ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2" s="149" t="n">
        <f aca="false">race_lumber_bonus+ IF(TblMagic[[#This Row],[Active Gaia''s Blessing]]&gt;0,gaias_blessing_lumber)+ tech_1_3*TblTech[[#This Row],[1-3]] + tech_1_6*TblTech[[#This Row],[1-6]] + tech_3_3*TblTech[[#This Row],[3-3]]</f>
        <v>-0.1</v>
      </c>
      <c r="AL32" s="149" t="n">
        <f aca="false">race_mana_bonus+ 0 + TblImps[[#This Row],[Towers]] + tech_1_2*TblTech[[#This Row],[1-2]] + tech_3_4*TblTech[[#This Row],[3-4]]</f>
        <v>0</v>
      </c>
      <c r="AM32" s="149" t="n">
        <f aca="false">race_ore_bonus + IF(TblMagic[[#This Row],[Active Miner''s Sight]]&gt;0,miners_sight_bonus,IF(TblMagic[[#This Row],[Active Mining Strength]]&gt;0,mining_strength_bonus)) +  tech_1_6*TblTech[[#This Row],[1-6]]</f>
        <v>0</v>
      </c>
      <c r="AN32" s="149" t="n">
        <f aca="false">race_gem_bonus+ tech_3_2*TblTech[[#This Row],[3-2]] + tech_4_3*TblTech[[#This Row],[4-3]] + tech_6_2*TblTech[[#This Row],[6-2]]</f>
        <v>0.15</v>
      </c>
      <c r="AO32" s="132"/>
      <c r="AP32" s="69" t="n">
        <f aca="false">TblProd[[#This Row],[Food]]*food_decay * (1 + tech_2_1*TblTech[[#This Row],[2-1]] + tech_2_8*TblTech[[#This Row],[2-8]])</f>
        <v>7099.63</v>
      </c>
      <c r="AQ32" s="69" t="n">
        <f aca="false">(1+race_food_consumption)*TblPop[[#This Row],[Total]]*food_per_person*(1+tech_1_10*TblTech[[#This Row],[1-10]]+tech_7_5*TblTech[[#This Row],[7-5]])</f>
        <v>1038.5</v>
      </c>
      <c r="AR32" s="69" t="n">
        <f aca="false">TblProd[[#This Row],[Lumber]]*lumber_rot * (1 + tech_2_1*TblTech[[#This Row],[2-1]] + tech_2_8*TblTech[[#This Row],[2-8]] + tech_5_2*TblTech[[#This Row],[5-2]])</f>
        <v>119.08</v>
      </c>
      <c r="AS32" s="69" t="n">
        <f aca="false">TblProd[[#This Row],[Mana]]*mana_drain * (1 + tech_2_1*TblTech[[#This Row],[2-1]] + tech_2_8*TblTech[[#This Row],[2-8]])</f>
        <v>20269.67</v>
      </c>
      <c r="AT32" s="146"/>
      <c r="AU32" s="69" t="n">
        <f aca="false">TblExplore[[#This Row],[Platinum (2)]]+TblConstr[[#This Row],[Total Plat Cost]]+TblMili[[#This Row],[Plat Cost]]+TblRezone[[#This Row],[Platinum cost]]+TblImps[[#This Row],[P1]]-TblProd[[#This Row],[Bank Plat]]</f>
        <v>27608</v>
      </c>
      <c r="AV32" s="69" t="n">
        <f aca="false">TblConstr[[#This Row],[Total Lum Cost]]+TblImps[[#This Row],[L1]]-TblProd[[#This Row],[Bank Lumber]] + Military!$CL$25*TblMili[[#This Row],[Sec. rec. Cost]]</f>
        <v>0</v>
      </c>
      <c r="AW32" s="69" t="n">
        <f aca="false">TblMagic[[#This Row],[Mana cost]] + Military!$CL$26*TblMili[[#This Row],[Sec. rec. Cost]]</f>
        <v>0</v>
      </c>
      <c r="AX32" s="69" t="n">
        <f aca="false">Military!$CL$24*TblMili[[#This Row],[Sec. rec. Cost]]+TblImps[[#This Row],[O1]]-TblProd[[#This Row],[Bank Ore]]</f>
        <v>0</v>
      </c>
      <c r="AY32" s="69" t="n">
        <f aca="false">TblImps[[#This Row],[G1]]-TblProd[[#This Row],[Bank Gems]]</f>
        <v>0</v>
      </c>
      <c r="AZ32" s="132"/>
      <c r="BA32" s="33" t="n">
        <f aca="false">IF(TblProd[[#This Row],[Set Guard]]&lt;&gt;"",TblProd[[#This Row],[Set Guard]],OFFSET(TblProd[[#This Row],[Guard]],-1,0))</f>
        <v>0</v>
      </c>
      <c r="BB32" s="145"/>
      <c r="BC32" s="151" t="n">
        <f aca="false">TblProd[[#This Row],[Hour]]</f>
        <v>29</v>
      </c>
      <c r="BD32" s="152" t="n">
        <f aca="false">-TblProd[[#This Row],[Bank Lumber]] / 2 + -TblProd[[#This Row],[Bank Gems]] * 2 + -TblProd[[#This Row],[Bank Ore]] / 2</f>
        <v>0</v>
      </c>
      <c r="BE32" s="152"/>
      <c r="BF32" s="152"/>
      <c r="BG32" s="152"/>
      <c r="BH32" s="153" t="n">
        <f aca="false">TblProd[[#This Row],[Time]]</f>
        <v>45430.9166666667</v>
      </c>
      <c r="BI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J32" s="69" t="n">
        <f aca="false">TblProd[[#This Row],[Platinum]]</f>
        <v>93406</v>
      </c>
      <c r="BK32" s="69" t="n">
        <f aca="false">TblProd[[#This Row],[Food]]</f>
        <v>709963</v>
      </c>
      <c r="BL32" s="69" t="n">
        <f aca="false">TblProd[[#This Row],[Lumber]]</f>
        <v>11908</v>
      </c>
      <c r="BM32" s="69" t="n">
        <f aca="false">TblProd[[#This Row],[Mana]]</f>
        <v>1013483.5</v>
      </c>
      <c r="BN32" s="69" t="n">
        <f aca="false">TblProd[[#This Row],[Ore]]</f>
        <v>-357</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c r="H33" s="69" t="e">
        <f aca="false">TblMili[[#This Row],[Networth (2)]]</f>
        <v>#VALUE!</v>
      </c>
      <c r="I33" s="69" t="n">
        <f aca="false">OFFSET(TblProd[[#This Row],[Platinum]],-1,0)+OFFSET(TblProd[[#This Row],[Plat/hr]],-1,0) - TblProd[[#This Row],[Expenses Platinum]] + IF(TblProd[[#This Row],[Plat Bonus]],TblPop[[#This Row],[Peasants]]*4) + SUM(TblConstr[[#This Row],[Dest Hom]:[Dest Doc]])*TblConstr[[#This Row],[CPA Platinum -DB]]*tech_3_3_2*TblTech[[#This Row],[3-3]]</f>
        <v>74370</v>
      </c>
      <c r="J33" s="69" t="n">
        <f aca="false">OFFSET(TblProd[[#This Row],[Food]],-1,0)+OFFSET(TblProd[[#This Row],[Food/hr]],-1,0)+ROUNDUP((TblConstr[[#This Row],[Farms]]*80+TblConstr[[#This Row],[Docks]]*35)*(1+OFFSET(TblProd[[#This Row],[Bonus Food/hr]],-1,0)),0)</f>
        <v>702522</v>
      </c>
      <c r="K33" s="69" t="n">
        <f aca="false">OFFSET(TblProd[[#This Row],[Lumber]],-1,0)+OFFSET(TblProd[[#This Row],[Lumber/hr]],-1,0) - TblProd[[#This Row],[Expenses Lumber]] + SUM(TblConstr[[#This Row],[Dest Hom]:[Dest Doc]])*TblConstr[[#This Row],[CPA Lumber -DB]]*tech_3_3_2*TblTech[[#This Row],[3-3]]</f>
        <v>8489</v>
      </c>
      <c r="L33" s="69" t="n">
        <f aca="false">OFFSET(TblProd[[#This Row],[Mana]],-1,0)+OFFSET(TblProd[[#This Row],[Mana/hr]],-1,0)- TblProd[[#This Row],[Expenses Mana]]</f>
        <v>993663.5</v>
      </c>
      <c r="M33" s="69" t="n">
        <f aca="false">OFFSET(TblProd[[#This Row],[Ore]],-1,0)+OFFSET(TblProd[[#This Row],[Ore/hr]],-1,0) -TblProd[[#This Row],[Expenses Ore]]</f>
        <v>-357</v>
      </c>
      <c r="N33" s="69" t="n">
        <f aca="false">OFFSET(TblProd[[#This Row],[Gems]],-1,0)+OFFSET(TblProd[[#This Row],[Gems/hr]],-1,0) - TblProd[[#This Row],[Expenses Gems]]</f>
        <v>-1000</v>
      </c>
      <c r="O33" s="69" t="n">
        <f aca="false">OFFSET(TblProd[[#This Row],[Boats]],-1,0)+OFFSET(TblProd[[#This Row],[Boats/hr]],-1,0)</f>
        <v>1.5</v>
      </c>
      <c r="P33" s="69" t="n">
        <f aca="false">OFFSET(TblProd[[#This Row],[Prestige]],-1,0)</f>
        <v>250</v>
      </c>
      <c r="Q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3" s="69" t="n">
        <f aca="false">MAX(3750,_xlfn.CEILING.MATH(TblProd[[#This Row],[Land]]*2.5+OFFSET(TblTech[[#This Row],[Sum of tech]],-1,0)*150))</f>
        <v>3750</v>
      </c>
      <c r="S33" s="132"/>
      <c r="T33" s="69" t="n">
        <f aca="false">ROUNDDOWN(TblProd[[#This Row],[Raw Plat/hr]]*(1+TblProd[[#This Row],[Bonus Plat/hr]]),0)</f>
        <v>21235</v>
      </c>
      <c r="U33" s="69" t="n">
        <f aca="false">ROUND(TblProd[[#This Row],[Raw Food/hr]]*(1+TblProd[[#This Row],[Bonus Food/hr]])-TblProd[[#This Row],[Food decay]]-TblProd[[#This Row],[Food eaten]],0)</f>
        <v>-7422</v>
      </c>
      <c r="V33" s="69" t="n">
        <f aca="false">ROUND(TblProd[[#This Row],[Raw Lumber/hr]]*(1+TblProd[[#This Row],[Bonus Lumber/hr]])-TblProd[[#This Row],[Lumber rot]],0)</f>
        <v>950</v>
      </c>
      <c r="W33" s="69" t="n">
        <f aca="false">ROUND(TblProd[[#This Row],[Raw Mana/hr]]*(1+TblProd[[#This Row],[Bonus Mana/hr]])-TblProd[[#This Row],[Mana drain]],0)</f>
        <v>-19423</v>
      </c>
      <c r="X33" s="69" t="n">
        <f aca="false">ROUNDDOWN(TblProd[[#This Row],[Raw Ore/hr]]*(1+TblProd[[#This Row],[Bonux Ore/hr]]),0)</f>
        <v>0</v>
      </c>
      <c r="Y33" s="69" t="n">
        <f aca="false">ROUNDDOWN(TblProd[[#This Row],[Raw Gems/hr]]*(1+TblProd[[#This Row],[Bonus Gems/hr]]),0)</f>
        <v>0</v>
      </c>
      <c r="Z33" s="148" t="n">
        <f aca="false">OFFSET(TblConstr[[#This Row],[Tot Doc]],1,0)*dock_boats_hr * (1 + tech_4_1*TblTech[[#This Row],[4-1]])</f>
        <v>0.25</v>
      </c>
      <c r="AA33" s="146"/>
      <c r="AB33" s="69" t="n">
        <f aca="false">TblPop[[#This Row],[Peasants]]*tax*TblPop[[#This Row],[Employment]] + (Construction!AZ34+Construction!BX34)*(alch_plat+(Magic!AM33&gt;0)*alchemist_flame_bonus)</f>
        <v>19304.9</v>
      </c>
      <c r="AC33" s="69" t="n">
        <f aca="false">TblConstr[[#This Row],[Tot Farm]]*farm_food + TblConstr[[#This Row],[Tot Doc]]*dock_food</f>
        <v>680</v>
      </c>
      <c r="AD33" s="69" t="n">
        <f aca="false">TblConstr[[#This Row],[Tot Ly]]*ly_lumber + TblConstr[[#This Row],[Tot Hav]]*fh_lumber</f>
        <v>1150</v>
      </c>
      <c r="AE33" s="69" t="n">
        <f aca="false">OFFSET(TblConstr[[#This Row],[Tot Tow]],1,0)*(tower_mana + tech_4_5*TblTech[[#This Row],[4-5]]) + OFFSET(TblConstr[[#This Row],[Tot WG]],1,0)*wg_mana_prod</f>
        <v>450</v>
      </c>
      <c r="AF33" s="69" t="n">
        <f aca="false">OFFSET(TblConstr[[#This Row],[Tot OM]],1,0)*om_ore+IF(race="Dwarf",ROUNDDOWN(TblMili[[#This Row],[Unit 2]]*0.4,0),)</f>
        <v>0</v>
      </c>
      <c r="AG33" s="69" t="n">
        <f aca="false">OFFSET(TblConstr[[#This Row],[Tot DM]],1,0)*dm_gems</f>
        <v>0</v>
      </c>
      <c r="AH33" s="132"/>
      <c r="AI33" s="149" t="n">
        <f aca="false">MIN(race_platinum_bonus + IF(TblMagic[[#This Row],[Active Alch Frost]]&gt;0,alch_frost_bonus,IF(Magic!AD33&gt;0,midas_bonus)) + TblImps[[#This Row],[Science]] - TblProd[[#This Row],[Guard]]*(0.02 + tech_5_7*TblTech[[#This Row],[5-7]]) + tech_1_5*TblTech[[#This Row],[1-5]] + tech_4_4*TblTech[[#This Row],[4-4]], 0.5)</f>
        <v>0.1</v>
      </c>
      <c r="AJ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3" s="149" t="n">
        <f aca="false">race_lumber_bonus+ IF(TblMagic[[#This Row],[Active Gaia''s Blessing]]&gt;0,gaias_blessing_lumber)+ tech_1_3*TblTech[[#This Row],[1-3]] + tech_1_6*TblTech[[#This Row],[1-6]] + tech_3_3*TblTech[[#This Row],[3-3]]</f>
        <v>-0.1</v>
      </c>
      <c r="AL33" s="149" t="n">
        <f aca="false">race_mana_bonus+ 0 + TblImps[[#This Row],[Towers]] + tech_1_2*TblTech[[#This Row],[1-2]] + tech_3_4*TblTech[[#This Row],[3-4]]</f>
        <v>0</v>
      </c>
      <c r="AM33" s="149" t="n">
        <f aca="false">race_ore_bonus + IF(TblMagic[[#This Row],[Active Miner''s Sight]]&gt;0,miners_sight_bonus,IF(TblMagic[[#This Row],[Active Mining Strength]]&gt;0,mining_strength_bonus)) +  tech_1_6*TblTech[[#This Row],[1-6]]</f>
        <v>0</v>
      </c>
      <c r="AN33" s="149" t="n">
        <f aca="false">race_gem_bonus+ tech_3_2*TblTech[[#This Row],[3-2]] + tech_4_3*TblTech[[#This Row],[4-3]] + tech_6_2*TblTech[[#This Row],[6-2]]</f>
        <v>0.15</v>
      </c>
      <c r="AO33" s="132"/>
      <c r="AP33" s="69" t="n">
        <f aca="false">TblProd[[#This Row],[Food]]*food_decay * (1 + tech_2_1*TblTech[[#This Row],[2-1]] + tech_2_8*TblTech[[#This Row],[2-8]])</f>
        <v>7025.22</v>
      </c>
      <c r="AQ33" s="69" t="n">
        <f aca="false">(1+race_food_consumption)*TblPop[[#This Row],[Total]]*food_per_person*(1+tech_1_10*TblTech[[#This Row],[1-10]]+tech_7_5*TblTech[[#This Row],[7-5]])</f>
        <v>1094.25</v>
      </c>
      <c r="AR33" s="69" t="n">
        <f aca="false">TblProd[[#This Row],[Lumber]]*lumber_rot * (1 + tech_2_1*TblTech[[#This Row],[2-1]] + tech_2_8*TblTech[[#This Row],[2-8]] + tech_5_2*TblTech[[#This Row],[5-2]])</f>
        <v>84.89</v>
      </c>
      <c r="AS33" s="69" t="n">
        <f aca="false">TblProd[[#This Row],[Mana]]*mana_drain * (1 + tech_2_1*TblTech[[#This Row],[2-1]] + tech_2_8*TblTech[[#This Row],[2-8]])</f>
        <v>19873.27</v>
      </c>
      <c r="AT33" s="146"/>
      <c r="AU33" s="69" t="n">
        <f aca="false">TblExplore[[#This Row],[Platinum (2)]]+TblConstr[[#This Row],[Total Plat Cost]]+TblMili[[#This Row],[Plat Cost]]+TblRezone[[#This Row],[Platinum cost]]+TblImps[[#This Row],[P1]]-TblProd[[#This Row],[Bank Plat]]</f>
        <v>39594</v>
      </c>
      <c r="AV33" s="69" t="n">
        <f aca="false">TblConstr[[#This Row],[Total Lum Cost]]+TblImps[[#This Row],[L1]]-TblProd[[#This Row],[Bank Lumber]] + Military!$CL$25*TblMili[[#This Row],[Sec. rec. Cost]]</f>
        <v>4200</v>
      </c>
      <c r="AW33" s="69" t="n">
        <f aca="false">TblMagic[[#This Row],[Mana cost]] + Military!$CL$26*TblMili[[#This Row],[Sec. rec. Cost]]</f>
        <v>0</v>
      </c>
      <c r="AX33" s="69" t="n">
        <f aca="false">Military!$CL$24*TblMili[[#This Row],[Sec. rec. Cost]]+TblImps[[#This Row],[O1]]-TblProd[[#This Row],[Bank Ore]]</f>
        <v>0</v>
      </c>
      <c r="AY33" s="69" t="n">
        <f aca="false">TblImps[[#This Row],[G1]]-TblProd[[#This Row],[Bank Gems]]</f>
        <v>0</v>
      </c>
      <c r="AZ33" s="132"/>
      <c r="BA33" s="33" t="n">
        <f aca="false">IF(TblProd[[#This Row],[Set Guard]]&lt;&gt;"",TblProd[[#This Row],[Set Guard]],OFFSET(TblProd[[#This Row],[Guard]],-1,0))</f>
        <v>0</v>
      </c>
      <c r="BB33" s="145"/>
      <c r="BC33" s="151" t="n">
        <f aca="false">TblProd[[#This Row],[Hour]]</f>
        <v>30</v>
      </c>
      <c r="BD33" s="152" t="n">
        <f aca="false">-TblProd[[#This Row],[Bank Lumber]] / 2 + -TblProd[[#This Row],[Bank Gems]] * 2 + -TblProd[[#This Row],[Bank Ore]] / 2</f>
        <v>0</v>
      </c>
      <c r="BE33" s="152"/>
      <c r="BF33" s="152"/>
      <c r="BG33" s="152"/>
      <c r="BH33" s="153" t="n">
        <f aca="false">TblProd[[#This Row],[Time]]</f>
        <v>45430.9583333333</v>
      </c>
      <c r="BI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J33" s="69" t="n">
        <f aca="false">TblProd[[#This Row],[Platinum]]</f>
        <v>74370</v>
      </c>
      <c r="BK33" s="69" t="n">
        <f aca="false">TblProd[[#This Row],[Food]]</f>
        <v>702522</v>
      </c>
      <c r="BL33" s="69" t="n">
        <f aca="false">TblProd[[#This Row],[Lumber]]</f>
        <v>8489</v>
      </c>
      <c r="BM33" s="69" t="n">
        <f aca="false">TblProd[[#This Row],[Mana]]</f>
        <v>993663.5</v>
      </c>
      <c r="BN33" s="69" t="n">
        <f aca="false">TblProd[[#This Row],[Ore]]</f>
        <v>-357</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c r="H34" s="69" t="e">
        <f aca="false">TblMili[[#This Row],[Networth (2)]]</f>
        <v>#VALUE!</v>
      </c>
      <c r="I34" s="69" t="n">
        <f aca="false">OFFSET(TblProd[[#This Row],[Platinum]],-1,0)+OFFSET(TblProd[[#This Row],[Plat/hr]],-1,0) - TblProd[[#This Row],[Expenses Platinum]] + IF(TblProd[[#This Row],[Plat Bonus]],TblPop[[#This Row],[Peasants]]*4) + SUM(TblConstr[[#This Row],[Dest Hom]:[Dest Doc]])*TblConstr[[#This Row],[CPA Platinum -DB]]*tech_3_3_2*TblTech[[#This Row],[3-3]]</f>
        <v>77680</v>
      </c>
      <c r="J34" s="69" t="n">
        <f aca="false">OFFSET(TblProd[[#This Row],[Food]],-1,0)+OFFSET(TblProd[[#This Row],[Food/hr]],-1,0)+ROUNDUP((TblConstr[[#This Row],[Farms]]*80+TblConstr[[#This Row],[Docks]]*35)*(1+OFFSET(TblProd[[#This Row],[Bonus Food/hr]],-1,0)),0)</f>
        <v>695100</v>
      </c>
      <c r="K34" s="69" t="n">
        <f aca="false">OFFSET(TblProd[[#This Row],[Lumber]],-1,0)+OFFSET(TblProd[[#This Row],[Lumber/hr]],-1,0) - TblProd[[#This Row],[Expenses Lumber]] + SUM(TblConstr[[#This Row],[Dest Hom]:[Dest Doc]])*TblConstr[[#This Row],[CPA Lumber -DB]]*tech_3_3_2*TblTech[[#This Row],[3-3]]</f>
        <v>8757</v>
      </c>
      <c r="L34" s="69" t="n">
        <f aca="false">OFFSET(TblProd[[#This Row],[Mana]],-1,0)+OFFSET(TblProd[[#This Row],[Mana/hr]],-1,0)- TblProd[[#This Row],[Expenses Mana]]</f>
        <v>974240.5</v>
      </c>
      <c r="M34" s="69" t="n">
        <f aca="false">OFFSET(TblProd[[#This Row],[Ore]],-1,0)+OFFSET(TblProd[[#This Row],[Ore/hr]],-1,0) -TblProd[[#This Row],[Expenses Ore]]</f>
        <v>-357</v>
      </c>
      <c r="N34" s="69" t="n">
        <f aca="false">OFFSET(TblProd[[#This Row],[Gems]],-1,0)+OFFSET(TblProd[[#This Row],[Gems/hr]],-1,0) - TblProd[[#This Row],[Expenses Gems]]</f>
        <v>-1000</v>
      </c>
      <c r="O34" s="69" t="n">
        <f aca="false">OFFSET(TblProd[[#This Row],[Boats]],-1,0)+OFFSET(TblProd[[#This Row],[Boats/hr]],-1,0)</f>
        <v>1.75</v>
      </c>
      <c r="P34" s="69" t="n">
        <f aca="false">OFFSET(TblProd[[#This Row],[Prestige]],-1,0)</f>
        <v>250</v>
      </c>
      <c r="Q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4" s="69" t="n">
        <f aca="false">MAX(3750,_xlfn.CEILING.MATH(TblProd[[#This Row],[Land]]*2.5+OFFSET(TblTech[[#This Row],[Sum of tech]],-1,0)*150))</f>
        <v>3750</v>
      </c>
      <c r="S34" s="132"/>
      <c r="T34" s="69" t="n">
        <f aca="false">ROUNDDOWN(TblProd[[#This Row],[Raw Plat/hr]]*(1+TblProd[[#This Row],[Bonus Plat/hr]]),0)</f>
        <v>21942</v>
      </c>
      <c r="U34" s="69" t="n">
        <f aca="false">ROUND(TblProd[[#This Row],[Raw Food/hr]]*(1+TblProd[[#This Row],[Bonus Food/hr]])-TblProd[[#This Row],[Food decay]]-TblProd[[#This Row],[Food eaten]],0)</f>
        <v>-7406</v>
      </c>
      <c r="V34" s="69" t="n">
        <f aca="false">ROUND(TblProd[[#This Row],[Raw Lumber/hr]]*(1+TblProd[[#This Row],[Bonus Lumber/hr]])-TblProd[[#This Row],[Lumber rot]],0)</f>
        <v>947</v>
      </c>
      <c r="W34" s="69" t="n">
        <f aca="false">ROUND(TblProd[[#This Row],[Raw Mana/hr]]*(1+TblProd[[#This Row],[Bonus Mana/hr]])-TblProd[[#This Row],[Mana drain]],0)</f>
        <v>-19035</v>
      </c>
      <c r="X34" s="69" t="n">
        <f aca="false">ROUNDDOWN(TblProd[[#This Row],[Raw Ore/hr]]*(1+TblProd[[#This Row],[Bonux Ore/hr]]),0)</f>
        <v>0</v>
      </c>
      <c r="Y34" s="69" t="n">
        <f aca="false">ROUNDDOWN(TblProd[[#This Row],[Raw Gems/hr]]*(1+TblProd[[#This Row],[Bonus Gems/hr]]),0)</f>
        <v>0</v>
      </c>
      <c r="Z34" s="148" t="n">
        <f aca="false">OFFSET(TblConstr[[#This Row],[Tot Doc]],1,0)*dock_boats_hr * (1 + tech_4_1*TblTech[[#This Row],[4-1]])</f>
        <v>0.25</v>
      </c>
      <c r="AA34" s="146"/>
      <c r="AB34" s="69" t="n">
        <f aca="false">TblPop[[#This Row],[Peasants]]*tax*TblPop[[#This Row],[Employment]] + (Construction!AZ35+Construction!BX35)*(alch_plat+(Magic!AM34&gt;0)*alchemist_flame_bonus)</f>
        <v>19947.5</v>
      </c>
      <c r="AC34" s="69" t="n">
        <f aca="false">TblConstr[[#This Row],[Tot Farm]]*farm_food + TblConstr[[#This Row],[Tot Doc]]*dock_food</f>
        <v>680</v>
      </c>
      <c r="AD34" s="69" t="n">
        <f aca="false">TblConstr[[#This Row],[Tot Ly]]*ly_lumber + TblConstr[[#This Row],[Tot Hav]]*fh_lumber</f>
        <v>1150</v>
      </c>
      <c r="AE34" s="69" t="n">
        <f aca="false">OFFSET(TblConstr[[#This Row],[Tot Tow]],1,0)*(tower_mana + tech_4_5*TblTech[[#This Row],[4-5]]) + OFFSET(TblConstr[[#This Row],[Tot WG]],1,0)*wg_mana_prod</f>
        <v>450</v>
      </c>
      <c r="AF34" s="69" t="n">
        <f aca="false">OFFSET(TblConstr[[#This Row],[Tot OM]],1,0)*om_ore+IF(race="Dwarf",ROUNDDOWN(TblMili[[#This Row],[Unit 2]]*0.4,0),)</f>
        <v>0</v>
      </c>
      <c r="AG34" s="69" t="n">
        <f aca="false">OFFSET(TblConstr[[#This Row],[Tot DM]],1,0)*dm_gems</f>
        <v>0</v>
      </c>
      <c r="AH34" s="132"/>
      <c r="AI34" s="149" t="n">
        <f aca="false">MIN(race_platinum_bonus + IF(TblMagic[[#This Row],[Active Alch Frost]]&gt;0,alch_frost_bonus,IF(Magic!AD34&gt;0,midas_bonus)) + TblImps[[#This Row],[Science]] - TblProd[[#This Row],[Guard]]*(0.02 + tech_5_7*TblTech[[#This Row],[5-7]]) + tech_1_5*TblTech[[#This Row],[1-5]] + tech_4_4*TblTech[[#This Row],[4-4]], 0.5)</f>
        <v>0.1</v>
      </c>
      <c r="AJ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4" s="149" t="n">
        <f aca="false">race_lumber_bonus+ IF(TblMagic[[#This Row],[Active Gaia''s Blessing]]&gt;0,gaias_blessing_lumber)+ tech_1_3*TblTech[[#This Row],[1-3]] + tech_1_6*TblTech[[#This Row],[1-6]] + tech_3_3*TblTech[[#This Row],[3-3]]</f>
        <v>-0.1</v>
      </c>
      <c r="AL34" s="149" t="n">
        <f aca="false">race_mana_bonus+ 0 + TblImps[[#This Row],[Towers]] + tech_1_2*TblTech[[#This Row],[1-2]] + tech_3_4*TblTech[[#This Row],[3-4]]</f>
        <v>0</v>
      </c>
      <c r="AM34" s="149" t="n">
        <f aca="false">race_ore_bonus + IF(TblMagic[[#This Row],[Active Miner''s Sight]]&gt;0,miners_sight_bonus,IF(TblMagic[[#This Row],[Active Mining Strength]]&gt;0,mining_strength_bonus)) +  tech_1_6*TblTech[[#This Row],[1-6]]</f>
        <v>0</v>
      </c>
      <c r="AN34" s="149" t="n">
        <f aca="false">race_gem_bonus+ tech_3_2*TblTech[[#This Row],[3-2]] + tech_4_3*TblTech[[#This Row],[4-3]] + tech_6_2*TblTech[[#This Row],[6-2]]</f>
        <v>0.15</v>
      </c>
      <c r="AO34" s="132"/>
      <c r="AP34" s="69" t="n">
        <f aca="false">TblProd[[#This Row],[Food]]*food_decay * (1 + tech_2_1*TblTech[[#This Row],[2-1]] + tech_2_8*TblTech[[#This Row],[2-8]])</f>
        <v>6951</v>
      </c>
      <c r="AQ34" s="69" t="n">
        <f aca="false">(1+race_food_consumption)*TblPop[[#This Row],[Total]]*food_per_person*(1+tech_1_10*TblTech[[#This Row],[1-10]]+tech_7_5*TblTech[[#This Row],[7-5]])</f>
        <v>1151.75</v>
      </c>
      <c r="AR34" s="69" t="n">
        <f aca="false">TblProd[[#This Row],[Lumber]]*lumber_rot * (1 + tech_2_1*TblTech[[#This Row],[2-1]] + tech_2_8*TblTech[[#This Row],[2-8]] + tech_5_2*TblTech[[#This Row],[5-2]])</f>
        <v>87.57</v>
      </c>
      <c r="AS34" s="69" t="n">
        <f aca="false">TblProd[[#This Row],[Mana]]*mana_drain * (1 + tech_2_1*TblTech[[#This Row],[2-1]] + tech_2_8*TblTech[[#This Row],[2-8]])</f>
        <v>19484.81</v>
      </c>
      <c r="AT34" s="146"/>
      <c r="AU34" s="69" t="n">
        <f aca="false">TblExplore[[#This Row],[Platinum (2)]]+TblConstr[[#This Row],[Total Plat Cost]]+TblMili[[#This Row],[Plat Cost]]+TblRezone[[#This Row],[Platinum cost]]+TblImps[[#This Row],[P1]]-TblProd[[#This Row],[Bank Plat]]</f>
        <v>17925</v>
      </c>
      <c r="AV34" s="69" t="n">
        <f aca="false">TblConstr[[#This Row],[Total Lum Cost]]+TblImps[[#This Row],[L1]]-TblProd[[#This Row],[Bank Lumber]] + Military!$CL$25*TblMili[[#This Row],[Sec. rec. Cost]]</f>
        <v>682</v>
      </c>
      <c r="AW34" s="69" t="n">
        <f aca="false">TblMagic[[#This Row],[Mana cost]] + Military!$CL$26*TblMili[[#This Row],[Sec. rec. Cost]]</f>
        <v>0</v>
      </c>
      <c r="AX34" s="69" t="n">
        <f aca="false">Military!$CL$24*TblMili[[#This Row],[Sec. rec. Cost]]+TblImps[[#This Row],[O1]]-TblProd[[#This Row],[Bank Ore]]</f>
        <v>0</v>
      </c>
      <c r="AY34" s="69" t="n">
        <f aca="false">TblImps[[#This Row],[G1]]-TblProd[[#This Row],[Bank Gems]]</f>
        <v>0</v>
      </c>
      <c r="AZ34" s="132"/>
      <c r="BA34" s="33" t="n">
        <f aca="false">IF(TblProd[[#This Row],[Set Guard]]&lt;&gt;"",TblProd[[#This Row],[Set Guard]],OFFSET(TblProd[[#This Row],[Guard]],-1,0))</f>
        <v>0</v>
      </c>
      <c r="BB34" s="145"/>
      <c r="BC34" s="151" t="n">
        <f aca="false">TblProd[[#This Row],[Hour]]</f>
        <v>31</v>
      </c>
      <c r="BD34" s="152" t="n">
        <f aca="false">-TblProd[[#This Row],[Bank Lumber]] / 2 + -TblProd[[#This Row],[Bank Gems]] * 2 + -TblProd[[#This Row],[Bank Ore]] / 2</f>
        <v>0</v>
      </c>
      <c r="BE34" s="152"/>
      <c r="BF34" s="152"/>
      <c r="BG34" s="152"/>
      <c r="BH34" s="153" t="n">
        <f aca="false">TblProd[[#This Row],[Time]]</f>
        <v>45431</v>
      </c>
      <c r="BI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J34" s="69" t="n">
        <f aca="false">TblProd[[#This Row],[Platinum]]</f>
        <v>77680</v>
      </c>
      <c r="BK34" s="69" t="n">
        <f aca="false">TblProd[[#This Row],[Food]]</f>
        <v>695100</v>
      </c>
      <c r="BL34" s="69" t="n">
        <f aca="false">TblProd[[#This Row],[Lumber]]</f>
        <v>8757</v>
      </c>
      <c r="BM34" s="69" t="n">
        <f aca="false">TblProd[[#This Row],[Mana]]</f>
        <v>974240.5</v>
      </c>
      <c r="BN34" s="69" t="n">
        <f aca="false">TblProd[[#This Row],[Ore]]</f>
        <v>-357</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c r="H35" s="69" t="e">
        <f aca="false">TblMili[[#This Row],[Networth (2)]]</f>
        <v>#VALUE!</v>
      </c>
      <c r="I35" s="69" t="n">
        <f aca="false">OFFSET(TblProd[[#This Row],[Platinum]],-1,0)+OFFSET(TblProd[[#This Row],[Plat/hr]],-1,0) - TblProd[[#This Row],[Expenses Platinum]] + IF(TblProd[[#This Row],[Plat Bonus]],TblPop[[#This Row],[Peasants]]*4) + SUM(TblConstr[[#This Row],[Dest Hom]:[Dest Doc]])*TblConstr[[#This Row],[CPA Platinum -DB]]*tech_3_3_2*TblTech[[#This Row],[3-3]]</f>
        <v>80670</v>
      </c>
      <c r="J35" s="69" t="n">
        <f aca="false">OFFSET(TblProd[[#This Row],[Food]],-1,0)+OFFSET(TblProd[[#This Row],[Food/hr]],-1,0)+ROUNDUP((TblConstr[[#This Row],[Farms]]*80+TblConstr[[#This Row],[Docks]]*35)*(1+OFFSET(TblProd[[#This Row],[Bonus Food/hr]],-1,0)),0)</f>
        <v>687694</v>
      </c>
      <c r="K35" s="69" t="n">
        <f aca="false">OFFSET(TblProd[[#This Row],[Lumber]],-1,0)+OFFSET(TblProd[[#This Row],[Lumber/hr]],-1,0) - TblProd[[#This Row],[Expenses Lumber]] + SUM(TblConstr[[#This Row],[Dest Hom]:[Dest Doc]])*TblConstr[[#This Row],[CPA Lumber -DB]]*tech_3_3_2*TblTech[[#This Row],[3-3]]</f>
        <v>8936</v>
      </c>
      <c r="L35" s="69" t="n">
        <f aca="false">OFFSET(TblProd[[#This Row],[Mana]],-1,0)+OFFSET(TblProd[[#This Row],[Mana/hr]],-1,0)- TblProd[[#This Row],[Expenses Mana]]</f>
        <v>955205.5</v>
      </c>
      <c r="M35" s="69" t="n">
        <f aca="false">OFFSET(TblProd[[#This Row],[Ore]],-1,0)+OFFSET(TblProd[[#This Row],[Ore/hr]],-1,0) -TblProd[[#This Row],[Expenses Ore]]</f>
        <v>-357</v>
      </c>
      <c r="N35" s="69" t="n">
        <f aca="false">OFFSET(TblProd[[#This Row],[Gems]],-1,0)+OFFSET(TblProd[[#This Row],[Gems/hr]],-1,0) - TblProd[[#This Row],[Expenses Gems]]</f>
        <v>-1000</v>
      </c>
      <c r="O35" s="69" t="n">
        <f aca="false">OFFSET(TblProd[[#This Row],[Boats]],-1,0)+OFFSET(TblProd[[#This Row],[Boats/hr]],-1,0)</f>
        <v>2</v>
      </c>
      <c r="P35" s="69" t="n">
        <f aca="false">OFFSET(TblProd[[#This Row],[Prestige]],-1,0)</f>
        <v>250</v>
      </c>
      <c r="Q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5" s="69" t="n">
        <f aca="false">MAX(3750,_xlfn.CEILING.MATH(TblProd[[#This Row],[Land]]*2.5+OFFSET(TblTech[[#This Row],[Sum of tech]],-1,0)*150))</f>
        <v>3750</v>
      </c>
      <c r="S35" s="132"/>
      <c r="T35" s="69" t="n">
        <f aca="false">ROUNDDOWN(TblProd[[#This Row],[Raw Plat/hr]]*(1+TblProd[[#This Row],[Bonus Plat/hr]]),0)</f>
        <v>22681</v>
      </c>
      <c r="U35" s="69" t="n">
        <f aca="false">ROUND(TblProd[[#This Row],[Raw Food/hr]]*(1+TblProd[[#This Row],[Bonus Food/hr]])-TblProd[[#This Row],[Food decay]]-TblProd[[#This Row],[Food eaten]],0)</f>
        <v>-7392</v>
      </c>
      <c r="V35" s="69" t="n">
        <f aca="false">ROUND(TblProd[[#This Row],[Raw Lumber/hr]]*(1+TblProd[[#This Row],[Bonus Lumber/hr]])-TblProd[[#This Row],[Lumber rot]],0)</f>
        <v>946</v>
      </c>
      <c r="W35" s="69" t="n">
        <f aca="false">ROUND(TblProd[[#This Row],[Raw Mana/hr]]*(1+TblProd[[#This Row],[Bonus Mana/hr]])-TblProd[[#This Row],[Mana drain]],0)</f>
        <v>-18654</v>
      </c>
      <c r="X35" s="69" t="n">
        <f aca="false">ROUNDDOWN(TblProd[[#This Row],[Raw Ore/hr]]*(1+TblProd[[#This Row],[Bonux Ore/hr]]),0)</f>
        <v>0</v>
      </c>
      <c r="Y35" s="69" t="n">
        <f aca="false">ROUNDDOWN(TblProd[[#This Row],[Raw Gems/hr]]*(1+TblProd[[#This Row],[Bonus Gems/hr]]),0)</f>
        <v>0</v>
      </c>
      <c r="Z35" s="148" t="n">
        <f aca="false">OFFSET(TblConstr[[#This Row],[Tot Doc]],1,0)*dock_boats_hr * (1 + tech_4_1*TblTech[[#This Row],[4-1]])</f>
        <v>0.25</v>
      </c>
      <c r="AA35" s="146"/>
      <c r="AB35" s="69" t="n">
        <f aca="false">TblPop[[#This Row],[Peasants]]*tax*TblPop[[#This Row],[Employment]] + (Construction!AZ36+Construction!BX36)*(alch_plat+(Magic!AM35&gt;0)*alchemist_flame_bonus)</f>
        <v>20619.8</v>
      </c>
      <c r="AC35" s="69" t="n">
        <f aca="false">TblConstr[[#This Row],[Tot Farm]]*farm_food + TblConstr[[#This Row],[Tot Doc]]*dock_food</f>
        <v>680</v>
      </c>
      <c r="AD35" s="69" t="n">
        <f aca="false">TblConstr[[#This Row],[Tot Ly]]*ly_lumber + TblConstr[[#This Row],[Tot Hav]]*fh_lumber</f>
        <v>1150</v>
      </c>
      <c r="AE35" s="69" t="n">
        <f aca="false">OFFSET(TblConstr[[#This Row],[Tot Tow]],1,0)*(tower_mana + tech_4_5*TblTech[[#This Row],[4-5]]) + OFFSET(TblConstr[[#This Row],[Tot WG]],1,0)*wg_mana_prod</f>
        <v>450</v>
      </c>
      <c r="AF35" s="69" t="n">
        <f aca="false">OFFSET(TblConstr[[#This Row],[Tot OM]],1,0)*om_ore+IF(race="Dwarf",ROUNDDOWN(TblMili[[#This Row],[Unit 2]]*0.4,0),)</f>
        <v>0</v>
      </c>
      <c r="AG35" s="69" t="n">
        <f aca="false">OFFSET(TblConstr[[#This Row],[Tot DM]],1,0)*dm_gems</f>
        <v>0</v>
      </c>
      <c r="AH35" s="132"/>
      <c r="AI35" s="149" t="n">
        <f aca="false">MIN(race_platinum_bonus + IF(TblMagic[[#This Row],[Active Alch Frost]]&gt;0,alch_frost_bonus,IF(Magic!AD35&gt;0,midas_bonus)) + TblImps[[#This Row],[Science]] - TblProd[[#This Row],[Guard]]*(0.02 + tech_5_7*TblTech[[#This Row],[5-7]]) + tech_1_5*TblTech[[#This Row],[1-5]] + tech_4_4*TblTech[[#This Row],[4-4]], 0.5)</f>
        <v>0.1</v>
      </c>
      <c r="AJ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5" s="149" t="n">
        <f aca="false">race_lumber_bonus+ IF(TblMagic[[#This Row],[Active Gaia''s Blessing]]&gt;0,gaias_blessing_lumber)+ tech_1_3*TblTech[[#This Row],[1-3]] + tech_1_6*TblTech[[#This Row],[1-6]] + tech_3_3*TblTech[[#This Row],[3-3]]</f>
        <v>-0.1</v>
      </c>
      <c r="AL35" s="149" t="n">
        <f aca="false">race_mana_bonus+ 0 + TblImps[[#This Row],[Towers]] + tech_1_2*TblTech[[#This Row],[1-2]] + tech_3_4*TblTech[[#This Row],[3-4]]</f>
        <v>0</v>
      </c>
      <c r="AM35" s="149" t="n">
        <f aca="false">race_ore_bonus + IF(TblMagic[[#This Row],[Active Miner''s Sight]]&gt;0,miners_sight_bonus,IF(TblMagic[[#This Row],[Active Mining Strength]]&gt;0,mining_strength_bonus)) +  tech_1_6*TblTech[[#This Row],[1-6]]</f>
        <v>0</v>
      </c>
      <c r="AN35" s="149" t="n">
        <f aca="false">race_gem_bonus+ tech_3_2*TblTech[[#This Row],[3-2]] + tech_4_3*TblTech[[#This Row],[4-3]] + tech_6_2*TblTech[[#This Row],[6-2]]</f>
        <v>0.15</v>
      </c>
      <c r="AO35" s="132"/>
      <c r="AP35" s="69" t="n">
        <f aca="false">TblProd[[#This Row],[Food]]*food_decay * (1 + tech_2_1*TblTech[[#This Row],[2-1]] + tech_2_8*TblTech[[#This Row],[2-8]])</f>
        <v>6876.94</v>
      </c>
      <c r="AQ35" s="69" t="n">
        <f aca="false">(1+race_food_consumption)*TblPop[[#This Row],[Total]]*food_per_person*(1+tech_1_10*TblTech[[#This Row],[1-10]]+tech_7_5*TblTech[[#This Row],[7-5]])</f>
        <v>1212.5</v>
      </c>
      <c r="AR35" s="69" t="n">
        <f aca="false">TblProd[[#This Row],[Lumber]]*lumber_rot * (1 + tech_2_1*TblTech[[#This Row],[2-1]] + tech_2_8*TblTech[[#This Row],[2-8]] + tech_5_2*TblTech[[#This Row],[5-2]])</f>
        <v>89.36</v>
      </c>
      <c r="AS35" s="69" t="n">
        <f aca="false">TblProd[[#This Row],[Mana]]*mana_drain * (1 + tech_2_1*TblTech[[#This Row],[2-1]] + tech_2_8*TblTech[[#This Row],[2-8]])</f>
        <v>19104.11</v>
      </c>
      <c r="AT35" s="146"/>
      <c r="AU35" s="69" t="n">
        <f aca="false">TblExplore[[#This Row],[Platinum (2)]]+TblConstr[[#This Row],[Total Plat Cost]]+TblMili[[#This Row],[Plat Cost]]+TblRezone[[#This Row],[Platinum cost]]+TblImps[[#This Row],[P1]]-TblProd[[#This Row],[Bank Plat]]</f>
        <v>18952</v>
      </c>
      <c r="AV35" s="69" t="n">
        <f aca="false">TblConstr[[#This Row],[Total Lum Cost]]+TblImps[[#This Row],[L1]]-TblProd[[#This Row],[Bank Lumber]] + Military!$CL$25*TblMili[[#This Row],[Sec. rec. Cost]]</f>
        <v>768</v>
      </c>
      <c r="AW35" s="69" t="n">
        <f aca="false">TblMagic[[#This Row],[Mana cost]] + Military!$CL$26*TblMili[[#This Row],[Sec. rec. Cost]]</f>
        <v>0</v>
      </c>
      <c r="AX35" s="69" t="n">
        <f aca="false">Military!$CL$24*TblMili[[#This Row],[Sec. rec. Cost]]+TblImps[[#This Row],[O1]]-TblProd[[#This Row],[Bank Ore]]</f>
        <v>0</v>
      </c>
      <c r="AY35" s="69" t="n">
        <f aca="false">TblImps[[#This Row],[G1]]-TblProd[[#This Row],[Bank Gems]]</f>
        <v>0</v>
      </c>
      <c r="AZ35" s="132"/>
      <c r="BA35" s="33" t="n">
        <f aca="false">IF(TblProd[[#This Row],[Set Guard]]&lt;&gt;"",TblProd[[#This Row],[Set Guard]],OFFSET(TblProd[[#This Row],[Guard]],-1,0))</f>
        <v>0</v>
      </c>
      <c r="BB35" s="145"/>
      <c r="BC35" s="151" t="n">
        <f aca="false">TblProd[[#This Row],[Hour]]</f>
        <v>32</v>
      </c>
      <c r="BD35" s="152" t="n">
        <f aca="false">-TblProd[[#This Row],[Bank Lumber]] / 2 + -TblProd[[#This Row],[Bank Gems]] * 2 + -TblProd[[#This Row],[Bank Ore]] / 2</f>
        <v>0</v>
      </c>
      <c r="BE35" s="152"/>
      <c r="BF35" s="152"/>
      <c r="BG35" s="152"/>
      <c r="BH35" s="153" t="n">
        <f aca="false">TblProd[[#This Row],[Time]]</f>
        <v>45431.0416666667</v>
      </c>
      <c r="BI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J35" s="69" t="n">
        <f aca="false">TblProd[[#This Row],[Platinum]]</f>
        <v>80670</v>
      </c>
      <c r="BK35" s="69" t="n">
        <f aca="false">TblProd[[#This Row],[Food]]</f>
        <v>687694</v>
      </c>
      <c r="BL35" s="69" t="n">
        <f aca="false">TblProd[[#This Row],[Lumber]]</f>
        <v>8936</v>
      </c>
      <c r="BM35" s="69" t="n">
        <f aca="false">TblProd[[#This Row],[Mana]]</f>
        <v>955205.5</v>
      </c>
      <c r="BN35" s="69" t="n">
        <f aca="false">TblProd[[#This Row],[Ore]]</f>
        <v>-357</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c r="H36" s="69" t="e">
        <f aca="false">TblMili[[#This Row],[Networth (2)]]</f>
        <v>#VALUE!</v>
      </c>
      <c r="I36" s="69" t="n">
        <f aca="false">OFFSET(TblProd[[#This Row],[Platinum]],-1,0)+OFFSET(TblProd[[#This Row],[Plat/hr]],-1,0) - TblProd[[#This Row],[Expenses Platinum]] + IF(TblProd[[#This Row],[Plat Bonus]],TblPop[[#This Row],[Peasants]]*4) + SUM(TblConstr[[#This Row],[Dest Hom]:[Dest Doc]])*TblConstr[[#This Row],[CPA Platinum -DB]]*tech_3_3_2*TblTech[[#This Row],[3-3]]</f>
        <v>83767</v>
      </c>
      <c r="J36" s="69" t="n">
        <f aca="false">OFFSET(TblProd[[#This Row],[Food]],-1,0)+OFFSET(TblProd[[#This Row],[Food/hr]],-1,0)+ROUNDUP((TblConstr[[#This Row],[Farms]]*80+TblConstr[[#This Row],[Docks]]*35)*(1+OFFSET(TblProd[[#This Row],[Bonus Food/hr]],-1,0)),0)</f>
        <v>680302</v>
      </c>
      <c r="K36" s="69" t="n">
        <f aca="false">OFFSET(TblProd[[#This Row],[Lumber]],-1,0)+OFFSET(TblProd[[#This Row],[Lumber/hr]],-1,0) - TblProd[[#This Row],[Expenses Lumber]] + SUM(TblConstr[[#This Row],[Dest Hom]:[Dest Doc]])*TblConstr[[#This Row],[CPA Lumber -DB]]*tech_3_3_2*TblTech[[#This Row],[3-3]]</f>
        <v>9102</v>
      </c>
      <c r="L36" s="69" t="n">
        <f aca="false">OFFSET(TblProd[[#This Row],[Mana]],-1,0)+OFFSET(TblProd[[#This Row],[Mana/hr]],-1,0)- TblProd[[#This Row],[Expenses Mana]]</f>
        <v>936551.5</v>
      </c>
      <c r="M36" s="69" t="n">
        <f aca="false">OFFSET(TblProd[[#This Row],[Ore]],-1,0)+OFFSET(TblProd[[#This Row],[Ore/hr]],-1,0) -TblProd[[#This Row],[Expenses Ore]]</f>
        <v>-357</v>
      </c>
      <c r="N36" s="69" t="n">
        <f aca="false">OFFSET(TblProd[[#This Row],[Gems]],-1,0)+OFFSET(TblProd[[#This Row],[Gems/hr]],-1,0) - TblProd[[#This Row],[Expenses Gems]]</f>
        <v>-1000</v>
      </c>
      <c r="O36" s="69" t="n">
        <f aca="false">OFFSET(TblProd[[#This Row],[Boats]],-1,0)+OFFSET(TblProd[[#This Row],[Boats/hr]],-1,0)</f>
        <v>2.25</v>
      </c>
      <c r="P36" s="69" t="n">
        <f aca="false">OFFSET(TblProd[[#This Row],[Prestige]],-1,0)</f>
        <v>250</v>
      </c>
      <c r="Q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6" s="69" t="n">
        <f aca="false">MAX(3750,_xlfn.CEILING.MATH(TblProd[[#This Row],[Land]]*2.5+OFFSET(TblTech[[#This Row],[Sum of tech]],-1,0)*150))</f>
        <v>3750</v>
      </c>
      <c r="S36" s="132"/>
      <c r="T36" s="69" t="n">
        <f aca="false">ROUNDDOWN(TblProd[[#This Row],[Raw Plat/hr]]*(1+TblProd[[#This Row],[Bonus Plat/hr]]),0)</f>
        <v>23451</v>
      </c>
      <c r="U36" s="69" t="n">
        <f aca="false">ROUND(TblProd[[#This Row],[Raw Food/hr]]*(1+TblProd[[#This Row],[Bonus Food/hr]])-TblProd[[#This Row],[Food decay]]-TblProd[[#This Row],[Food eaten]],0)</f>
        <v>-7383</v>
      </c>
      <c r="V36" s="69" t="n">
        <f aca="false">ROUND(TblProd[[#This Row],[Raw Lumber/hr]]*(1+TblProd[[#This Row],[Bonus Lumber/hr]])-TblProd[[#This Row],[Lumber rot]],0)</f>
        <v>944</v>
      </c>
      <c r="W36" s="69" t="n">
        <f aca="false">ROUND(TblProd[[#This Row],[Raw Mana/hr]]*(1+TblProd[[#This Row],[Bonus Mana/hr]])-TblProd[[#This Row],[Mana drain]],0)</f>
        <v>-18281</v>
      </c>
      <c r="X36" s="69" t="n">
        <f aca="false">ROUNDDOWN(TblProd[[#This Row],[Raw Ore/hr]]*(1+TblProd[[#This Row],[Bonux Ore/hr]]),0)</f>
        <v>0</v>
      </c>
      <c r="Y36" s="69" t="n">
        <f aca="false">ROUNDDOWN(TblProd[[#This Row],[Raw Gems/hr]]*(1+TblProd[[#This Row],[Bonus Gems/hr]]),0)</f>
        <v>0</v>
      </c>
      <c r="Z36" s="148" t="n">
        <f aca="false">OFFSET(TblConstr[[#This Row],[Tot Doc]],1,0)*dock_boats_hr * (1 + tech_4_1*TblTech[[#This Row],[4-1]])</f>
        <v>0.25</v>
      </c>
      <c r="AA36" s="146"/>
      <c r="AB36" s="69" t="n">
        <f aca="false">TblPop[[#This Row],[Peasants]]*tax*TblPop[[#This Row],[Employment]] + (Construction!AZ37+Construction!BX37)*(alch_plat+(Magic!AM36&gt;0)*alchemist_flame_bonus)</f>
        <v>21319.1</v>
      </c>
      <c r="AC36" s="69" t="n">
        <f aca="false">TblConstr[[#This Row],[Tot Farm]]*farm_food + TblConstr[[#This Row],[Tot Doc]]*dock_food</f>
        <v>680</v>
      </c>
      <c r="AD36" s="69" t="n">
        <f aca="false">TblConstr[[#This Row],[Tot Ly]]*ly_lumber + TblConstr[[#This Row],[Tot Hav]]*fh_lumber</f>
        <v>1150</v>
      </c>
      <c r="AE36" s="69" t="n">
        <f aca="false">OFFSET(TblConstr[[#This Row],[Tot Tow]],1,0)*(tower_mana + tech_4_5*TblTech[[#This Row],[4-5]]) + OFFSET(TblConstr[[#This Row],[Tot WG]],1,0)*wg_mana_prod</f>
        <v>450</v>
      </c>
      <c r="AF36" s="69" t="n">
        <f aca="false">OFFSET(TblConstr[[#This Row],[Tot OM]],1,0)*om_ore+IF(race="Dwarf",ROUNDDOWN(TblMili[[#This Row],[Unit 2]]*0.4,0),)</f>
        <v>0</v>
      </c>
      <c r="AG36" s="69" t="n">
        <f aca="false">OFFSET(TblConstr[[#This Row],[Tot DM]],1,0)*dm_gems</f>
        <v>0</v>
      </c>
      <c r="AH36" s="132"/>
      <c r="AI36" s="149" t="n">
        <f aca="false">MIN(race_platinum_bonus + IF(TblMagic[[#This Row],[Active Alch Frost]]&gt;0,alch_frost_bonus,IF(Magic!AD36&gt;0,midas_bonus)) + TblImps[[#This Row],[Science]] - TblProd[[#This Row],[Guard]]*(0.02 + tech_5_7*TblTech[[#This Row],[5-7]]) + tech_1_5*TblTech[[#This Row],[1-5]] + tech_4_4*TblTech[[#This Row],[4-4]], 0.5)</f>
        <v>0.1</v>
      </c>
      <c r="AJ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6" s="149" t="n">
        <f aca="false">race_lumber_bonus+ IF(TblMagic[[#This Row],[Active Gaia''s Blessing]]&gt;0,gaias_blessing_lumber)+ tech_1_3*TblTech[[#This Row],[1-3]] + tech_1_6*TblTech[[#This Row],[1-6]] + tech_3_3*TblTech[[#This Row],[3-3]]</f>
        <v>-0.1</v>
      </c>
      <c r="AL36" s="149" t="n">
        <f aca="false">race_mana_bonus+ 0 + TblImps[[#This Row],[Towers]] + tech_1_2*TblTech[[#This Row],[1-2]] + tech_3_4*TblTech[[#This Row],[3-4]]</f>
        <v>0</v>
      </c>
      <c r="AM36" s="149" t="n">
        <f aca="false">race_ore_bonus + IF(TblMagic[[#This Row],[Active Miner''s Sight]]&gt;0,miners_sight_bonus,IF(TblMagic[[#This Row],[Active Mining Strength]]&gt;0,mining_strength_bonus)) +  tech_1_6*TblTech[[#This Row],[1-6]]</f>
        <v>0</v>
      </c>
      <c r="AN36" s="149" t="n">
        <f aca="false">race_gem_bonus+ tech_3_2*TblTech[[#This Row],[3-2]] + tech_4_3*TblTech[[#This Row],[4-3]] + tech_6_2*TblTech[[#This Row],[6-2]]</f>
        <v>0.15</v>
      </c>
      <c r="AO36" s="132"/>
      <c r="AP36" s="69" t="n">
        <f aca="false">TblProd[[#This Row],[Food]]*food_decay * (1 + tech_2_1*TblTech[[#This Row],[2-1]] + tech_2_8*TblTech[[#This Row],[2-8]])</f>
        <v>6803.02</v>
      </c>
      <c r="AQ36" s="69" t="n">
        <f aca="false">(1+race_food_consumption)*TblPop[[#This Row],[Total]]*food_per_person*(1+tech_1_10*TblTech[[#This Row],[1-10]]+tech_7_5*TblTech[[#This Row],[7-5]])</f>
        <v>1276.5</v>
      </c>
      <c r="AR36" s="69" t="n">
        <f aca="false">TblProd[[#This Row],[Lumber]]*lumber_rot * (1 + tech_2_1*TblTech[[#This Row],[2-1]] + tech_2_8*TblTech[[#This Row],[2-8]] + tech_5_2*TblTech[[#This Row],[5-2]])</f>
        <v>91.02</v>
      </c>
      <c r="AS36" s="69" t="n">
        <f aca="false">TblProd[[#This Row],[Mana]]*mana_drain * (1 + tech_2_1*TblTech[[#This Row],[2-1]] + tech_2_8*TblTech[[#This Row],[2-8]])</f>
        <v>18731.03</v>
      </c>
      <c r="AT36" s="146"/>
      <c r="AU36" s="69" t="n">
        <f aca="false">TblExplore[[#This Row],[Platinum (2)]]+TblConstr[[#This Row],[Total Plat Cost]]+TblMili[[#This Row],[Plat Cost]]+TblRezone[[#This Row],[Platinum cost]]+TblImps[[#This Row],[P1]]-TblProd[[#This Row],[Bank Plat]]</f>
        <v>19584</v>
      </c>
      <c r="AV36" s="69" t="n">
        <f aca="false">TblConstr[[#This Row],[Total Lum Cost]]+TblImps[[#This Row],[L1]]-TblProd[[#This Row],[Bank Lumber]] + Military!$CL$25*TblMili[[#This Row],[Sec. rec. Cost]]</f>
        <v>780</v>
      </c>
      <c r="AW36" s="69" t="n">
        <f aca="false">TblMagic[[#This Row],[Mana cost]] + Military!$CL$26*TblMili[[#This Row],[Sec. rec. Cost]]</f>
        <v>0</v>
      </c>
      <c r="AX36" s="69" t="n">
        <f aca="false">Military!$CL$24*TblMili[[#This Row],[Sec. rec. Cost]]+TblImps[[#This Row],[O1]]-TblProd[[#This Row],[Bank Ore]]</f>
        <v>0</v>
      </c>
      <c r="AY36" s="69" t="n">
        <f aca="false">TblImps[[#This Row],[G1]]-TblProd[[#This Row],[Bank Gems]]</f>
        <v>0</v>
      </c>
      <c r="AZ36" s="132"/>
      <c r="BA36" s="33" t="n">
        <f aca="false">IF(TblProd[[#This Row],[Set Guard]]&lt;&gt;"",TblProd[[#This Row],[Set Guard]],OFFSET(TblProd[[#This Row],[Guard]],-1,0))</f>
        <v>0</v>
      </c>
      <c r="BB36" s="145"/>
      <c r="BC36" s="151" t="n">
        <f aca="false">TblProd[[#This Row],[Hour]]</f>
        <v>33</v>
      </c>
      <c r="BD36" s="152" t="n">
        <f aca="false">-TblProd[[#This Row],[Bank Lumber]] / 2 + -TblProd[[#This Row],[Bank Gems]] * 2 + -TblProd[[#This Row],[Bank Ore]] / 2</f>
        <v>0</v>
      </c>
      <c r="BE36" s="152"/>
      <c r="BF36" s="152"/>
      <c r="BG36" s="152"/>
      <c r="BH36" s="153" t="n">
        <f aca="false">TblProd[[#This Row],[Time]]</f>
        <v>45431.0833333333</v>
      </c>
      <c r="BI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J36" s="69" t="n">
        <f aca="false">TblProd[[#This Row],[Platinum]]</f>
        <v>83767</v>
      </c>
      <c r="BK36" s="69" t="n">
        <f aca="false">TblProd[[#This Row],[Food]]</f>
        <v>680302</v>
      </c>
      <c r="BL36" s="69" t="n">
        <f aca="false">TblProd[[#This Row],[Lumber]]</f>
        <v>9102</v>
      </c>
      <c r="BM36" s="69" t="n">
        <f aca="false">TblProd[[#This Row],[Mana]]</f>
        <v>936551.5</v>
      </c>
      <c r="BN36" s="69" t="n">
        <f aca="false">TblProd[[#This Row],[Ore]]</f>
        <v>-357</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c r="H37" s="69" t="e">
        <f aca="false">TblMili[[#This Row],[Networth (2)]]</f>
        <v>#VALUE!</v>
      </c>
      <c r="I37" s="69" t="n">
        <f aca="false">OFFSET(TblProd[[#This Row],[Platinum]],-1,0)+OFFSET(TblProd[[#This Row],[Plat/hr]],-1,0) - TblProd[[#This Row],[Expenses Platinum]] + IF(TblProd[[#This Row],[Plat Bonus]],TblPop[[#This Row],[Peasants]]*4) + SUM(TblConstr[[#This Row],[Dest Hom]:[Dest Doc]])*TblConstr[[#This Row],[CPA Platinum -DB]]*tech_3_3_2*TblTech[[#This Row],[3-3]]</f>
        <v>89772</v>
      </c>
      <c r="J37" s="69" t="n">
        <f aca="false">OFFSET(TblProd[[#This Row],[Food]],-1,0)+OFFSET(TblProd[[#This Row],[Food/hr]],-1,0)+ROUNDUP((TblConstr[[#This Row],[Farms]]*80+TblConstr[[#This Row],[Docks]]*35)*(1+OFFSET(TblProd[[#This Row],[Bonus Food/hr]],-1,0)),0)</f>
        <v>672919</v>
      </c>
      <c r="K37" s="69" t="n">
        <f aca="false">OFFSET(TblProd[[#This Row],[Lumber]],-1,0)+OFFSET(TblProd[[#This Row],[Lumber/hr]],-1,0) - TblProd[[#This Row],[Expenses Lumber]] + SUM(TblConstr[[#This Row],[Dest Hom]:[Dest Doc]])*TblConstr[[#This Row],[CPA Lumber -DB]]*tech_3_3_2*TblTech[[#This Row],[3-3]]</f>
        <v>9848</v>
      </c>
      <c r="L37" s="69" t="n">
        <f aca="false">OFFSET(TblProd[[#This Row],[Mana]],-1,0)+OFFSET(TblProd[[#This Row],[Mana/hr]],-1,0)- TblProd[[#This Row],[Expenses Mana]]</f>
        <v>918270.5</v>
      </c>
      <c r="M37" s="69" t="n">
        <f aca="false">OFFSET(TblProd[[#This Row],[Ore]],-1,0)+OFFSET(TblProd[[#This Row],[Ore/hr]],-1,0) -TblProd[[#This Row],[Expenses Ore]]</f>
        <v>-357</v>
      </c>
      <c r="N37" s="69" t="n">
        <f aca="false">OFFSET(TblProd[[#This Row],[Gems]],-1,0)+OFFSET(TblProd[[#This Row],[Gems/hr]],-1,0) - TblProd[[#This Row],[Expenses Gems]]</f>
        <v>-1000</v>
      </c>
      <c r="O37" s="69" t="n">
        <f aca="false">OFFSET(TblProd[[#This Row],[Boats]],-1,0)+OFFSET(TblProd[[#This Row],[Boats/hr]],-1,0)</f>
        <v>2.5</v>
      </c>
      <c r="P37" s="69" t="n">
        <f aca="false">OFFSET(TblProd[[#This Row],[Prestige]],-1,0)</f>
        <v>250</v>
      </c>
      <c r="Q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7" s="69" t="n">
        <f aca="false">MAX(3750,_xlfn.CEILING.MATH(TblProd[[#This Row],[Land]]*2.5+OFFSET(TblTech[[#This Row],[Sum of tech]],-1,0)*150))</f>
        <v>3750</v>
      </c>
      <c r="S37" s="132"/>
      <c r="T37" s="69" t="n">
        <f aca="false">ROUNDDOWN(TblProd[[#This Row],[Raw Plat/hr]]*(1+TblProd[[#This Row],[Bonus Plat/hr]]),0)</f>
        <v>24261</v>
      </c>
      <c r="U37" s="69" t="n">
        <f aca="false">ROUND(TblProd[[#This Row],[Raw Food/hr]]*(1+TblProd[[#This Row],[Bonus Food/hr]])-TblProd[[#This Row],[Food decay]]-TblProd[[#This Row],[Food eaten]],0)</f>
        <v>-7376</v>
      </c>
      <c r="V37" s="69" t="n">
        <f aca="false">ROUND(TblProd[[#This Row],[Raw Lumber/hr]]*(1+TblProd[[#This Row],[Bonus Lumber/hr]])-TblProd[[#This Row],[Lumber rot]],0)</f>
        <v>937</v>
      </c>
      <c r="W37" s="69" t="n">
        <f aca="false">ROUND(TblProd[[#This Row],[Raw Mana/hr]]*(1+TblProd[[#This Row],[Bonus Mana/hr]])-TblProd[[#This Row],[Mana drain]],0)</f>
        <v>-17915</v>
      </c>
      <c r="X37" s="69" t="n">
        <f aca="false">ROUNDDOWN(TblProd[[#This Row],[Raw Ore/hr]]*(1+TblProd[[#This Row],[Bonux Ore/hr]]),0)</f>
        <v>0</v>
      </c>
      <c r="Y37" s="69" t="n">
        <f aca="false">ROUNDDOWN(TblProd[[#This Row],[Raw Gems/hr]]*(1+TblProd[[#This Row],[Bonus Gems/hr]]),0)</f>
        <v>0</v>
      </c>
      <c r="Z37" s="148" t="n">
        <f aca="false">OFFSET(TblConstr[[#This Row],[Tot Doc]],1,0)*dock_boats_hr * (1 + tech_4_1*TblTech[[#This Row],[4-1]])</f>
        <v>0.25</v>
      </c>
      <c r="AA37" s="146"/>
      <c r="AB37" s="69" t="n">
        <f aca="false">TblPop[[#This Row],[Peasants]]*tax*TblPop[[#This Row],[Employment]] + (Construction!AZ38+Construction!BX38)*(alch_plat+(Magic!AM37&gt;0)*alchemist_flame_bonus)</f>
        <v>22056.2</v>
      </c>
      <c r="AC37" s="69" t="n">
        <f aca="false">TblConstr[[#This Row],[Tot Farm]]*farm_food + TblConstr[[#This Row],[Tot Doc]]*dock_food</f>
        <v>680</v>
      </c>
      <c r="AD37" s="69" t="n">
        <f aca="false">TblConstr[[#This Row],[Tot Ly]]*ly_lumber + TblConstr[[#This Row],[Tot Hav]]*fh_lumber</f>
        <v>1150</v>
      </c>
      <c r="AE37" s="69" t="n">
        <f aca="false">OFFSET(TblConstr[[#This Row],[Tot Tow]],1,0)*(tower_mana + tech_4_5*TblTech[[#This Row],[4-5]]) + OFFSET(TblConstr[[#This Row],[Tot WG]],1,0)*wg_mana_prod</f>
        <v>450</v>
      </c>
      <c r="AF37" s="69" t="n">
        <f aca="false">OFFSET(TblConstr[[#This Row],[Tot OM]],1,0)*om_ore+IF(race="Dwarf",ROUNDDOWN(TblMili[[#This Row],[Unit 2]]*0.4,0),)</f>
        <v>0</v>
      </c>
      <c r="AG37" s="69" t="n">
        <f aca="false">OFFSET(TblConstr[[#This Row],[Tot DM]],1,0)*dm_gems</f>
        <v>0</v>
      </c>
      <c r="AH37" s="132"/>
      <c r="AI37" s="149" t="n">
        <f aca="false">MIN(race_platinum_bonus + IF(TblMagic[[#This Row],[Active Alch Frost]]&gt;0,alch_frost_bonus,IF(Magic!AD37&gt;0,midas_bonus)) + TblImps[[#This Row],[Science]] - TblProd[[#This Row],[Guard]]*(0.02 + tech_5_7*TblTech[[#This Row],[5-7]]) + tech_1_5*TblTech[[#This Row],[1-5]] + tech_4_4*TblTech[[#This Row],[4-4]], 0.5)</f>
        <v>0.1</v>
      </c>
      <c r="AJ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7" s="149" t="n">
        <f aca="false">race_lumber_bonus+ IF(TblMagic[[#This Row],[Active Gaia''s Blessing]]&gt;0,gaias_blessing_lumber)+ tech_1_3*TblTech[[#This Row],[1-3]] + tech_1_6*TblTech[[#This Row],[1-6]] + tech_3_3*TblTech[[#This Row],[3-3]]</f>
        <v>-0.1</v>
      </c>
      <c r="AL37" s="149" t="n">
        <f aca="false">race_mana_bonus+ 0 + TblImps[[#This Row],[Towers]] + tech_1_2*TblTech[[#This Row],[1-2]] + tech_3_4*TblTech[[#This Row],[3-4]]</f>
        <v>0</v>
      </c>
      <c r="AM37" s="149" t="n">
        <f aca="false">race_ore_bonus + IF(TblMagic[[#This Row],[Active Miner''s Sight]]&gt;0,miners_sight_bonus,IF(TblMagic[[#This Row],[Active Mining Strength]]&gt;0,mining_strength_bonus)) +  tech_1_6*TblTech[[#This Row],[1-6]]</f>
        <v>0</v>
      </c>
      <c r="AN37" s="149" t="n">
        <f aca="false">race_gem_bonus+ tech_3_2*TblTech[[#This Row],[3-2]] + tech_4_3*TblTech[[#This Row],[4-3]] + tech_6_2*TblTech[[#This Row],[6-2]]</f>
        <v>0.15</v>
      </c>
      <c r="AO37" s="132"/>
      <c r="AP37" s="69" t="n">
        <f aca="false">TblProd[[#This Row],[Food]]*food_decay * (1 + tech_2_1*TblTech[[#This Row],[2-1]] + tech_2_8*TblTech[[#This Row],[2-8]])</f>
        <v>6729.19</v>
      </c>
      <c r="AQ37" s="69" t="n">
        <f aca="false">(1+race_food_consumption)*TblPop[[#This Row],[Total]]*food_per_person*(1+tech_1_10*TblTech[[#This Row],[1-10]]+tech_7_5*TblTech[[#This Row],[7-5]])</f>
        <v>1343.5</v>
      </c>
      <c r="AR37" s="69" t="n">
        <f aca="false">TblProd[[#This Row],[Lumber]]*lumber_rot * (1 + tech_2_1*TblTech[[#This Row],[2-1]] + tech_2_8*TblTech[[#This Row],[2-8]] + tech_5_2*TblTech[[#This Row],[5-2]])</f>
        <v>98.48</v>
      </c>
      <c r="AS37" s="69" t="n">
        <f aca="false">TblProd[[#This Row],[Mana]]*mana_drain * (1 + tech_2_1*TblTech[[#This Row],[2-1]] + tech_2_8*TblTech[[#This Row],[2-8]])</f>
        <v>18365.41</v>
      </c>
      <c r="AT37" s="146"/>
      <c r="AU37" s="69" t="n">
        <f aca="false">TblExplore[[#This Row],[Platinum (2)]]+TblConstr[[#This Row],[Total Plat Cost]]+TblMili[[#This Row],[Plat Cost]]+TblRezone[[#This Row],[Platinum cost]]+TblImps[[#This Row],[P1]]-TblProd[[#This Row],[Bank Plat]]</f>
        <v>17446</v>
      </c>
      <c r="AV37" s="69" t="n">
        <f aca="false">TblConstr[[#This Row],[Total Lum Cost]]+TblImps[[#This Row],[L1]]-TblProd[[#This Row],[Bank Lumber]] + Military!$CL$25*TblMili[[#This Row],[Sec. rec. Cost]]</f>
        <v>198</v>
      </c>
      <c r="AW37" s="69" t="n">
        <f aca="false">TblMagic[[#This Row],[Mana cost]] + Military!$CL$26*TblMili[[#This Row],[Sec. rec. Cost]]</f>
        <v>0</v>
      </c>
      <c r="AX37" s="69" t="n">
        <f aca="false">Military!$CL$24*TblMili[[#This Row],[Sec. rec. Cost]]+TblImps[[#This Row],[O1]]-TblProd[[#This Row],[Bank Ore]]</f>
        <v>0</v>
      </c>
      <c r="AY37" s="69" t="n">
        <f aca="false">TblImps[[#This Row],[G1]]-TblProd[[#This Row],[Bank Gems]]</f>
        <v>0</v>
      </c>
      <c r="AZ37" s="132"/>
      <c r="BA37" s="33" t="n">
        <f aca="false">IF(TblProd[[#This Row],[Set Guard]]&lt;&gt;"",TblProd[[#This Row],[Set Guard]],OFFSET(TblProd[[#This Row],[Guard]],-1,0))</f>
        <v>0</v>
      </c>
      <c r="BB37" s="145"/>
      <c r="BC37" s="151" t="n">
        <f aca="false">TblProd[[#This Row],[Hour]]</f>
        <v>34</v>
      </c>
      <c r="BD37" s="152" t="n">
        <f aca="false">-TblProd[[#This Row],[Bank Lumber]] / 2 + -TblProd[[#This Row],[Bank Gems]] * 2 + -TblProd[[#This Row],[Bank Ore]] / 2</f>
        <v>0</v>
      </c>
      <c r="BE37" s="152"/>
      <c r="BF37" s="152"/>
      <c r="BG37" s="152"/>
      <c r="BH37" s="153" t="n">
        <f aca="false">TblProd[[#This Row],[Time]]</f>
        <v>45431.125</v>
      </c>
      <c r="BI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J37" s="69" t="n">
        <f aca="false">TblProd[[#This Row],[Platinum]]</f>
        <v>89772</v>
      </c>
      <c r="BK37" s="69" t="n">
        <f aca="false">TblProd[[#This Row],[Food]]</f>
        <v>672919</v>
      </c>
      <c r="BL37" s="69" t="n">
        <f aca="false">TblProd[[#This Row],[Lumber]]</f>
        <v>9848</v>
      </c>
      <c r="BM37" s="69" t="n">
        <f aca="false">TblProd[[#This Row],[Mana]]</f>
        <v>918270.5</v>
      </c>
      <c r="BN37" s="69" t="n">
        <f aca="false">TblProd[[#This Row],[Ore]]</f>
        <v>-357</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c r="H38" s="69" t="e">
        <f aca="false">TblMili[[#This Row],[Networth (2)]]</f>
        <v>#VALUE!</v>
      </c>
      <c r="I38" s="69" t="n">
        <f aca="false">OFFSET(TblProd[[#This Row],[Platinum]],-1,0)+OFFSET(TblProd[[#This Row],[Plat/hr]],-1,0) - TblProd[[#This Row],[Expenses Platinum]] + IF(TblProd[[#This Row],[Plat Bonus]],TblPop[[#This Row],[Peasants]]*4) + SUM(TblConstr[[#This Row],[Dest Hom]:[Dest Doc]])*TblConstr[[#This Row],[CPA Platinum -DB]]*tech_3_3_2*TblTech[[#This Row],[3-3]]</f>
        <v>95411</v>
      </c>
      <c r="J38" s="69" t="n">
        <f aca="false">OFFSET(TblProd[[#This Row],[Food]],-1,0)+OFFSET(TblProd[[#This Row],[Food/hr]],-1,0)+ROUNDUP((TblConstr[[#This Row],[Farms]]*80+TblConstr[[#This Row],[Docks]]*35)*(1+OFFSET(TblProd[[#This Row],[Bonus Food/hr]],-1,0)),0)</f>
        <v>665543</v>
      </c>
      <c r="K38" s="69" t="n">
        <f aca="false">OFFSET(TblProd[[#This Row],[Lumber]],-1,0)+OFFSET(TblProd[[#This Row],[Lumber/hr]],-1,0) - TblProd[[#This Row],[Expenses Lumber]] + SUM(TblConstr[[#This Row],[Dest Hom]:[Dest Doc]])*TblConstr[[#This Row],[CPA Lumber -DB]]*tech_3_3_2*TblTech[[#This Row],[3-3]]</f>
        <v>10653</v>
      </c>
      <c r="L38" s="69" t="n">
        <f aca="false">OFFSET(TblProd[[#This Row],[Mana]],-1,0)+OFFSET(TblProd[[#This Row],[Mana/hr]],-1,0)- TblProd[[#This Row],[Expenses Mana]]</f>
        <v>900355.5</v>
      </c>
      <c r="M38" s="69" t="n">
        <f aca="false">OFFSET(TblProd[[#This Row],[Ore]],-1,0)+OFFSET(TblProd[[#This Row],[Ore/hr]],-1,0) -TblProd[[#This Row],[Expenses Ore]]</f>
        <v>-357</v>
      </c>
      <c r="N38" s="69" t="n">
        <f aca="false">OFFSET(TblProd[[#This Row],[Gems]],-1,0)+OFFSET(TblProd[[#This Row],[Gems/hr]],-1,0) - TblProd[[#This Row],[Expenses Gems]]</f>
        <v>-1000</v>
      </c>
      <c r="O38" s="69" t="n">
        <f aca="false">OFFSET(TblProd[[#This Row],[Boats]],-1,0)+OFFSET(TblProd[[#This Row],[Boats/hr]],-1,0)</f>
        <v>2.75</v>
      </c>
      <c r="P38" s="69" t="n">
        <f aca="false">OFFSET(TblProd[[#This Row],[Prestige]],-1,0)</f>
        <v>250</v>
      </c>
      <c r="Q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8" s="69" t="n">
        <f aca="false">MAX(3750,_xlfn.CEILING.MATH(TblProd[[#This Row],[Land]]*2.5+OFFSET(TblTech[[#This Row],[Sum of tech]],-1,0)*150))</f>
        <v>3750</v>
      </c>
      <c r="S38" s="132"/>
      <c r="T38" s="69" t="n">
        <f aca="false">ROUNDDOWN(TblProd[[#This Row],[Raw Plat/hr]]*(1+TblProd[[#This Row],[Bonus Plat/hr]]),0)</f>
        <v>25755</v>
      </c>
      <c r="U38" s="69" t="n">
        <f aca="false">ROUND(TblProd[[#This Row],[Raw Food/hr]]*(1+TblProd[[#This Row],[Bonus Food/hr]])-TblProd[[#This Row],[Food decay]]-TblProd[[#This Row],[Food eaten]],0)</f>
        <v>-7372</v>
      </c>
      <c r="V38" s="69" t="n">
        <f aca="false">ROUND(TblProd[[#This Row],[Raw Lumber/hr]]*(1+TblProd[[#This Row],[Bonus Lumber/hr]])-TblProd[[#This Row],[Lumber rot]],0)</f>
        <v>928</v>
      </c>
      <c r="W38" s="69" t="n">
        <f aca="false">ROUND(TblProd[[#This Row],[Raw Mana/hr]]*(1+TblProd[[#This Row],[Bonus Mana/hr]])-TblProd[[#This Row],[Mana drain]],0)</f>
        <v>-17557</v>
      </c>
      <c r="X38" s="69" t="n">
        <f aca="false">ROUNDDOWN(TblProd[[#This Row],[Raw Ore/hr]]*(1+TblProd[[#This Row],[Bonux Ore/hr]]),0)</f>
        <v>0</v>
      </c>
      <c r="Y38" s="69" t="n">
        <f aca="false">ROUNDDOWN(TblProd[[#This Row],[Raw Gems/hr]]*(1+TblProd[[#This Row],[Bonus Gems/hr]]),0)</f>
        <v>0</v>
      </c>
      <c r="Z38" s="148" t="n">
        <f aca="false">OFFSET(TblConstr[[#This Row],[Tot Doc]],1,0)*dock_boats_hr * (1 + tech_4_1*TblTech[[#This Row],[4-1]])</f>
        <v>0.25</v>
      </c>
      <c r="AA38" s="146"/>
      <c r="AB38" s="69" t="n">
        <f aca="false">TblPop[[#This Row],[Peasants]]*tax*TblPop[[#This Row],[Employment]] + (Construction!AZ39+Construction!BX39)*(alch_plat+(Magic!AM38&gt;0)*alchemist_flame_bonus)</f>
        <v>23413.8</v>
      </c>
      <c r="AC38" s="69" t="n">
        <f aca="false">TblConstr[[#This Row],[Tot Farm]]*farm_food + TblConstr[[#This Row],[Tot Doc]]*dock_food</f>
        <v>680</v>
      </c>
      <c r="AD38" s="69" t="n">
        <f aca="false">TblConstr[[#This Row],[Tot Ly]]*ly_lumber + TblConstr[[#This Row],[Tot Hav]]*fh_lumber</f>
        <v>1150</v>
      </c>
      <c r="AE38" s="69" t="n">
        <f aca="false">OFFSET(TblConstr[[#This Row],[Tot Tow]],1,0)*(tower_mana + tech_4_5*TblTech[[#This Row],[4-5]]) + OFFSET(TblConstr[[#This Row],[Tot WG]],1,0)*wg_mana_prod</f>
        <v>450</v>
      </c>
      <c r="AF38" s="69" t="n">
        <f aca="false">OFFSET(TblConstr[[#This Row],[Tot OM]],1,0)*om_ore+IF(race="Dwarf",ROUNDDOWN(TblMili[[#This Row],[Unit 2]]*0.4,0),)</f>
        <v>0</v>
      </c>
      <c r="AG38" s="69" t="n">
        <f aca="false">OFFSET(TblConstr[[#This Row],[Tot DM]],1,0)*dm_gems</f>
        <v>0</v>
      </c>
      <c r="AH38" s="132"/>
      <c r="AI38" s="149" t="n">
        <f aca="false">MIN(race_platinum_bonus + IF(TblMagic[[#This Row],[Active Alch Frost]]&gt;0,alch_frost_bonus,IF(Magic!AD38&gt;0,midas_bonus)) + TblImps[[#This Row],[Science]] - TblProd[[#This Row],[Guard]]*(0.02 + tech_5_7*TblTech[[#This Row],[5-7]]) + tech_1_5*TblTech[[#This Row],[1-5]] + tech_4_4*TblTech[[#This Row],[4-4]], 0.5)</f>
        <v>0.1</v>
      </c>
      <c r="AJ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8" s="149" t="n">
        <f aca="false">race_lumber_bonus+ IF(TblMagic[[#This Row],[Active Gaia''s Blessing]]&gt;0,gaias_blessing_lumber)+ tech_1_3*TblTech[[#This Row],[1-3]] + tech_1_6*TblTech[[#This Row],[1-6]] + tech_3_3*TblTech[[#This Row],[3-3]]</f>
        <v>-0.1</v>
      </c>
      <c r="AL38" s="149" t="n">
        <f aca="false">race_mana_bonus+ 0 + TblImps[[#This Row],[Towers]] + tech_1_2*TblTech[[#This Row],[1-2]] + tech_3_4*TblTech[[#This Row],[3-4]]</f>
        <v>0</v>
      </c>
      <c r="AM38" s="149" t="n">
        <f aca="false">race_ore_bonus + IF(TblMagic[[#This Row],[Active Miner''s Sight]]&gt;0,miners_sight_bonus,IF(TblMagic[[#This Row],[Active Mining Strength]]&gt;0,mining_strength_bonus)) +  tech_1_6*TblTech[[#This Row],[1-6]]</f>
        <v>0</v>
      </c>
      <c r="AN38" s="149" t="n">
        <f aca="false">race_gem_bonus+ tech_3_2*TblTech[[#This Row],[3-2]] + tech_4_3*TblTech[[#This Row],[4-3]] + tech_6_2*TblTech[[#This Row],[6-2]]</f>
        <v>0.15</v>
      </c>
      <c r="AO38" s="132"/>
      <c r="AP38" s="69" t="n">
        <f aca="false">TblProd[[#This Row],[Food]]*food_decay * (1 + tech_2_1*TblTech[[#This Row],[2-1]] + tech_2_8*TblTech[[#This Row],[2-8]])</f>
        <v>6655.43</v>
      </c>
      <c r="AQ38" s="69" t="n">
        <f aca="false">(1+race_food_consumption)*TblPop[[#This Row],[Total]]*food_per_person*(1+tech_1_10*TblTech[[#This Row],[1-10]]+tech_7_5*TblTech[[#This Row],[7-5]])</f>
        <v>1413.5</v>
      </c>
      <c r="AR38" s="69" t="n">
        <f aca="false">TblProd[[#This Row],[Lumber]]*lumber_rot * (1 + tech_2_1*TblTech[[#This Row],[2-1]] + tech_2_8*TblTech[[#This Row],[2-8]] + tech_5_2*TblTech[[#This Row],[5-2]])</f>
        <v>106.53</v>
      </c>
      <c r="AS38" s="69" t="n">
        <f aca="false">TblProd[[#This Row],[Mana]]*mana_drain * (1 + tech_2_1*TblTech[[#This Row],[2-1]] + tech_2_8*TblTech[[#This Row],[2-8]])</f>
        <v>18007.11</v>
      </c>
      <c r="AT38" s="146"/>
      <c r="AU38" s="69" t="n">
        <f aca="false">TblExplore[[#This Row],[Platinum (2)]]+TblConstr[[#This Row],[Total Plat Cost]]+TblMili[[#This Row],[Plat Cost]]+TblRezone[[#This Row],[Platinum cost]]+TblImps[[#This Row],[P1]]-TblProd[[#This Row],[Bank Plat]]</f>
        <v>18622</v>
      </c>
      <c r="AV38" s="69" t="n">
        <f aca="false">TblConstr[[#This Row],[Total Lum Cost]]+TblImps[[#This Row],[L1]]-TblProd[[#This Row],[Bank Lumber]] + Military!$CL$25*TblMili[[#This Row],[Sec. rec. Cost]]</f>
        <v>132</v>
      </c>
      <c r="AW38" s="69" t="n">
        <f aca="false">TblMagic[[#This Row],[Mana cost]] + Military!$CL$26*TblMili[[#This Row],[Sec. rec. Cost]]</f>
        <v>0</v>
      </c>
      <c r="AX38" s="69" t="n">
        <f aca="false">Military!$CL$24*TblMili[[#This Row],[Sec. rec. Cost]]+TblImps[[#This Row],[O1]]-TblProd[[#This Row],[Bank Ore]]</f>
        <v>0</v>
      </c>
      <c r="AY38" s="69" t="n">
        <f aca="false">TblImps[[#This Row],[G1]]-TblProd[[#This Row],[Bank Gems]]</f>
        <v>0</v>
      </c>
      <c r="AZ38" s="132"/>
      <c r="BA38" s="33" t="n">
        <f aca="false">IF(TblProd[[#This Row],[Set Guard]]&lt;&gt;"",TblProd[[#This Row],[Set Guard]],OFFSET(TblProd[[#This Row],[Guard]],-1,0))</f>
        <v>0</v>
      </c>
      <c r="BB38" s="145"/>
      <c r="BC38" s="151" t="n">
        <f aca="false">TblProd[[#This Row],[Hour]]</f>
        <v>35</v>
      </c>
      <c r="BD38" s="152" t="n">
        <f aca="false">-TblProd[[#This Row],[Bank Lumber]] / 2 + -TblProd[[#This Row],[Bank Gems]] * 2 + -TblProd[[#This Row],[Bank Ore]] / 2</f>
        <v>0</v>
      </c>
      <c r="BE38" s="152"/>
      <c r="BF38" s="152"/>
      <c r="BG38" s="152"/>
      <c r="BH38" s="153" t="n">
        <f aca="false">TblProd[[#This Row],[Time]]</f>
        <v>45431.1666666667</v>
      </c>
      <c r="BI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J38" s="69" t="n">
        <f aca="false">TblProd[[#This Row],[Platinum]]</f>
        <v>95411</v>
      </c>
      <c r="BK38" s="69" t="n">
        <f aca="false">TblProd[[#This Row],[Food]]</f>
        <v>665543</v>
      </c>
      <c r="BL38" s="69" t="n">
        <f aca="false">TblProd[[#This Row],[Lumber]]</f>
        <v>10653</v>
      </c>
      <c r="BM38" s="69" t="n">
        <f aca="false">TblProd[[#This Row],[Mana]]</f>
        <v>900355.5</v>
      </c>
      <c r="BN38" s="69" t="n">
        <f aca="false">TblProd[[#This Row],[Ore]]</f>
        <v>-357</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c r="H39" s="69" t="e">
        <f aca="false">TblMili[[#This Row],[Networth (2)]]</f>
        <v>#VALUE!</v>
      </c>
      <c r="I39" s="69" t="n">
        <f aca="false">OFFSET(TblProd[[#This Row],[Platinum]],-1,0)+OFFSET(TblProd[[#This Row],[Plat/hr]],-1,0) - TblProd[[#This Row],[Expenses Platinum]] + IF(TblProd[[#This Row],[Plat Bonus]],TblPop[[#This Row],[Peasants]]*4) + SUM(TblConstr[[#This Row],[Dest Hom]:[Dest Doc]])*TblConstr[[#This Row],[CPA Platinum -DB]]*tech_3_3_2*TblTech[[#This Row],[3-3]]</f>
        <v>97049</v>
      </c>
      <c r="J39" s="69" t="n">
        <f aca="false">OFFSET(TblProd[[#This Row],[Food]],-1,0)+OFFSET(TblProd[[#This Row],[Food/hr]],-1,0)+ROUNDUP((TblConstr[[#This Row],[Farms]]*80+TblConstr[[#This Row],[Docks]]*35)*(1+OFFSET(TblProd[[#This Row],[Bonus Food/hr]],-1,0)),0)</f>
        <v>658335</v>
      </c>
      <c r="K39" s="69" t="n">
        <f aca="false">OFFSET(TblProd[[#This Row],[Lumber]],-1,0)+OFFSET(TblProd[[#This Row],[Lumber/hr]],-1,0) - TblProd[[#This Row],[Expenses Lumber]] + SUM(TblConstr[[#This Row],[Dest Hom]:[Dest Doc]])*TblConstr[[#This Row],[CPA Lumber -DB]]*tech_3_3_2*TblTech[[#This Row],[3-3]]</f>
        <v>10901</v>
      </c>
      <c r="L39" s="69" t="n">
        <f aca="false">OFFSET(TblProd[[#This Row],[Mana]],-1,0)+OFFSET(TblProd[[#This Row],[Mana/hr]],-1,0)- TblProd[[#This Row],[Expenses Mana]]</f>
        <v>882798.5</v>
      </c>
      <c r="M39" s="69" t="n">
        <f aca="false">OFFSET(TblProd[[#This Row],[Ore]],-1,0)+OFFSET(TblProd[[#This Row],[Ore/hr]],-1,0) -TblProd[[#This Row],[Expenses Ore]]</f>
        <v>-357</v>
      </c>
      <c r="N39" s="69" t="n">
        <f aca="false">OFFSET(TblProd[[#This Row],[Gems]],-1,0)+OFFSET(TblProd[[#This Row],[Gems/hr]],-1,0) - TblProd[[#This Row],[Expenses Gems]]</f>
        <v>-1000</v>
      </c>
      <c r="O39" s="69" t="n">
        <f aca="false">OFFSET(TblProd[[#This Row],[Boats]],-1,0)+OFFSET(TblProd[[#This Row],[Boats/hr]],-1,0)</f>
        <v>3</v>
      </c>
      <c r="P39" s="69" t="n">
        <f aca="false">OFFSET(TblProd[[#This Row],[Prestige]],-1,0)</f>
        <v>250</v>
      </c>
      <c r="Q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39" s="69" t="n">
        <f aca="false">MAX(3750,_xlfn.CEILING.MATH(TblProd[[#This Row],[Land]]*2.5+OFFSET(TblTech[[#This Row],[Sum of tech]],-1,0)*150))</f>
        <v>3750</v>
      </c>
      <c r="S39" s="132"/>
      <c r="T39" s="69" t="n">
        <f aca="false">ROUNDDOWN(TblProd[[#This Row],[Raw Plat/hr]]*(1+TblProd[[#This Row],[Bonus Plat/hr]]),0)</f>
        <v>26649</v>
      </c>
      <c r="U39" s="69" t="n">
        <f aca="false">ROUND(TblProd[[#This Row],[Raw Food/hr]]*(1+TblProd[[#This Row],[Bonus Food/hr]])-TblProd[[#This Row],[Food decay]]-TblProd[[#This Row],[Food eaten]],0)</f>
        <v>-7209</v>
      </c>
      <c r="V39" s="69" t="n">
        <f aca="false">ROUND(TblProd[[#This Row],[Raw Lumber/hr]]*(1+TblProd[[#This Row],[Bonus Lumber/hr]])-TblProd[[#This Row],[Lumber rot]],0)</f>
        <v>926</v>
      </c>
      <c r="W39" s="69" t="n">
        <f aca="false">ROUND(TblProd[[#This Row],[Raw Mana/hr]]*(1+TblProd[[#This Row],[Bonus Mana/hr]])-TblProd[[#This Row],[Mana drain]],0)</f>
        <v>-17206</v>
      </c>
      <c r="X39" s="69" t="n">
        <f aca="false">ROUNDDOWN(TblProd[[#This Row],[Raw Ore/hr]]*(1+TblProd[[#This Row],[Bonux Ore/hr]]),0)</f>
        <v>0</v>
      </c>
      <c r="Y39" s="69" t="n">
        <f aca="false">ROUNDDOWN(TblProd[[#This Row],[Raw Gems/hr]]*(1+TblProd[[#This Row],[Bonus Gems/hr]]),0)</f>
        <v>0</v>
      </c>
      <c r="Z39" s="148" t="n">
        <f aca="false">OFFSET(TblConstr[[#This Row],[Tot Doc]],1,0)*dock_boats_hr * (1 + tech_4_1*TblTech[[#This Row],[4-1]])</f>
        <v>0.25</v>
      </c>
      <c r="AA39" s="146"/>
      <c r="AB39" s="69" t="n">
        <f aca="false">TblPop[[#This Row],[Peasants]]*tax*TblPop[[#This Row],[Employment]] + (Construction!AZ40+Construction!BX40)*(alch_plat+(Magic!AM39&gt;0)*alchemist_flame_bonus)</f>
        <v>24226.5</v>
      </c>
      <c r="AC39" s="69" t="n">
        <f aca="false">TblConstr[[#This Row],[Tot Farm]]*farm_food + TblConstr[[#This Row],[Tot Doc]]*dock_food</f>
        <v>840</v>
      </c>
      <c r="AD39" s="69" t="n">
        <f aca="false">TblConstr[[#This Row],[Tot Ly]]*ly_lumber + TblConstr[[#This Row],[Tot Hav]]*fh_lumber</f>
        <v>1150</v>
      </c>
      <c r="AE39" s="69" t="n">
        <f aca="false">OFFSET(TblConstr[[#This Row],[Tot Tow]],1,0)*(tower_mana + tech_4_5*TblTech[[#This Row],[4-5]]) + OFFSET(TblConstr[[#This Row],[Tot WG]],1,0)*wg_mana_prod</f>
        <v>450</v>
      </c>
      <c r="AF39" s="69" t="n">
        <f aca="false">OFFSET(TblConstr[[#This Row],[Tot OM]],1,0)*om_ore+IF(race="Dwarf",ROUNDDOWN(TblMili[[#This Row],[Unit 2]]*0.4,0),)</f>
        <v>0</v>
      </c>
      <c r="AG39" s="69" t="n">
        <f aca="false">OFFSET(TblConstr[[#This Row],[Tot DM]],1,0)*dm_gems</f>
        <v>0</v>
      </c>
      <c r="AH39" s="132"/>
      <c r="AI39" s="149" t="n">
        <f aca="false">MIN(race_platinum_bonus + IF(TblMagic[[#This Row],[Active Alch Frost]]&gt;0,alch_frost_bonus,IF(Magic!AD39&gt;0,midas_bonus)) + TblImps[[#This Row],[Science]] - TblProd[[#This Row],[Guard]]*(0.02 + tech_5_7*TblTech[[#This Row],[5-7]]) + tech_1_5*TblTech[[#This Row],[1-5]] + tech_4_4*TblTech[[#This Row],[4-4]], 0.5)</f>
        <v>0.1</v>
      </c>
      <c r="AJ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39" s="149" t="n">
        <f aca="false">race_lumber_bonus+ IF(TblMagic[[#This Row],[Active Gaia''s Blessing]]&gt;0,gaias_blessing_lumber)+ tech_1_3*TblTech[[#This Row],[1-3]] + tech_1_6*TblTech[[#This Row],[1-6]] + tech_3_3*TblTech[[#This Row],[3-3]]</f>
        <v>-0.1</v>
      </c>
      <c r="AL39" s="149" t="n">
        <f aca="false">race_mana_bonus+ 0 + TblImps[[#This Row],[Towers]] + tech_1_2*TblTech[[#This Row],[1-2]] + tech_3_4*TblTech[[#This Row],[3-4]]</f>
        <v>0</v>
      </c>
      <c r="AM39" s="149" t="n">
        <f aca="false">race_ore_bonus + IF(TblMagic[[#This Row],[Active Miner''s Sight]]&gt;0,miners_sight_bonus,IF(TblMagic[[#This Row],[Active Mining Strength]]&gt;0,mining_strength_bonus)) +  tech_1_6*TblTech[[#This Row],[1-6]]</f>
        <v>0</v>
      </c>
      <c r="AN39" s="149" t="n">
        <f aca="false">race_gem_bonus+ tech_3_2*TblTech[[#This Row],[3-2]] + tech_4_3*TblTech[[#This Row],[4-3]] + tech_6_2*TblTech[[#This Row],[6-2]]</f>
        <v>0.15</v>
      </c>
      <c r="AO39" s="132"/>
      <c r="AP39" s="69" t="n">
        <f aca="false">TblProd[[#This Row],[Food]]*food_decay * (1 + tech_2_1*TblTech[[#This Row],[2-1]] + tech_2_8*TblTech[[#This Row],[2-8]])</f>
        <v>6583.35</v>
      </c>
      <c r="AQ39" s="69" t="n">
        <f aca="false">(1+race_food_consumption)*TblPop[[#This Row],[Total]]*food_per_person*(1+tech_1_10*TblTech[[#This Row],[1-10]]+tech_7_5*TblTech[[#This Row],[7-5]])</f>
        <v>1486.25</v>
      </c>
      <c r="AR39" s="69" t="n">
        <f aca="false">TblProd[[#This Row],[Lumber]]*lumber_rot * (1 + tech_2_1*TblTech[[#This Row],[2-1]] + tech_2_8*TblTech[[#This Row],[2-8]] + tech_5_2*TblTech[[#This Row],[5-2]])</f>
        <v>109.01</v>
      </c>
      <c r="AS39" s="69" t="n">
        <f aca="false">TblProd[[#This Row],[Mana]]*mana_drain * (1 + tech_2_1*TblTech[[#This Row],[2-1]] + tech_2_8*TblTech[[#This Row],[2-8]])</f>
        <v>17655.97</v>
      </c>
      <c r="AT39" s="146"/>
      <c r="AU39" s="69" t="n">
        <f aca="false">TblExplore[[#This Row],[Platinum (2)]]+TblConstr[[#This Row],[Total Plat Cost]]+TblMili[[#This Row],[Plat Cost]]+TblRezone[[#This Row],[Platinum cost]]+TblImps[[#This Row],[P1]]-TblProd[[#This Row],[Bank Plat]]</f>
        <v>24117</v>
      </c>
      <c r="AV39" s="69" t="n">
        <f aca="false">TblConstr[[#This Row],[Total Lum Cost]]+TblImps[[#This Row],[L1]]-TblProd[[#This Row],[Bank Lumber]] + Military!$CL$25*TblMili[[#This Row],[Sec. rec. Cost]]</f>
        <v>680</v>
      </c>
      <c r="AW39" s="69" t="n">
        <f aca="false">TblMagic[[#This Row],[Mana cost]] + Military!$CL$26*TblMili[[#This Row],[Sec. rec. Cost]]</f>
        <v>0</v>
      </c>
      <c r="AX39" s="69" t="n">
        <f aca="false">Military!$CL$24*TblMili[[#This Row],[Sec. rec. Cost]]+TblImps[[#This Row],[O1]]-TblProd[[#This Row],[Bank Ore]]</f>
        <v>0</v>
      </c>
      <c r="AY39" s="69" t="n">
        <f aca="false">TblImps[[#This Row],[G1]]-TblProd[[#This Row],[Bank Gems]]</f>
        <v>0</v>
      </c>
      <c r="AZ39" s="132"/>
      <c r="BA39" s="33" t="n">
        <f aca="false">IF(TblProd[[#This Row],[Set Guard]]&lt;&gt;"",TblProd[[#This Row],[Set Guard]],OFFSET(TblProd[[#This Row],[Guard]],-1,0))</f>
        <v>0</v>
      </c>
      <c r="BB39" s="145"/>
      <c r="BC39" s="151" t="n">
        <f aca="false">TblProd[[#This Row],[Hour]]</f>
        <v>36</v>
      </c>
      <c r="BD39" s="152" t="n">
        <f aca="false">-TblProd[[#This Row],[Bank Lumber]] / 2 + -TblProd[[#This Row],[Bank Gems]] * 2 + -TblProd[[#This Row],[Bank Ore]] / 2</f>
        <v>0</v>
      </c>
      <c r="BE39" s="152"/>
      <c r="BF39" s="152"/>
      <c r="BG39" s="152"/>
      <c r="BH39" s="153" t="n">
        <f aca="false">TblProd[[#This Row],[Time]]</f>
        <v>45431.2083333333</v>
      </c>
      <c r="BI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J39" s="69" t="n">
        <f aca="false">TblProd[[#This Row],[Platinum]]</f>
        <v>97049</v>
      </c>
      <c r="BK39" s="69" t="n">
        <f aca="false">TblProd[[#This Row],[Food]]</f>
        <v>658335</v>
      </c>
      <c r="BL39" s="69" t="n">
        <f aca="false">TblProd[[#This Row],[Lumber]]</f>
        <v>10901</v>
      </c>
      <c r="BM39" s="69" t="n">
        <f aca="false">TblProd[[#This Row],[Mana]]</f>
        <v>882798.5</v>
      </c>
      <c r="BN39" s="69" t="n">
        <f aca="false">TblProd[[#This Row],[Ore]]</f>
        <v>-357</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c r="H40" s="69" t="e">
        <f aca="false">TblMili[[#This Row],[Networth (2)]]</f>
        <v>#VALUE!</v>
      </c>
      <c r="I40" s="69" t="n">
        <f aca="false">OFFSET(TblProd[[#This Row],[Platinum]],-1,0)+OFFSET(TblProd[[#This Row],[Plat/hr]],-1,0) - TblProd[[#This Row],[Expenses Platinum]] + IF(TblProd[[#This Row],[Plat Bonus]],TblPop[[#This Row],[Peasants]]*4) + SUM(TblConstr[[#This Row],[Dest Hom]:[Dest Doc]])*TblConstr[[#This Row],[CPA Platinum -DB]]*tech_3_3_2*TblTech[[#This Row],[3-3]]</f>
        <v>103821</v>
      </c>
      <c r="J40" s="69" t="n">
        <f aca="false">OFFSET(TblProd[[#This Row],[Food]],-1,0)+OFFSET(TblProd[[#This Row],[Food/hr]],-1,0)+ROUNDUP((TblConstr[[#This Row],[Farms]]*80+TblConstr[[#This Row],[Docks]]*35)*(1+OFFSET(TblProd[[#This Row],[Bonus Food/hr]],-1,0)),0)</f>
        <v>651126</v>
      </c>
      <c r="K40" s="69" t="n">
        <f aca="false">OFFSET(TblProd[[#This Row],[Lumber]],-1,0)+OFFSET(TblProd[[#This Row],[Lumber/hr]],-1,0) - TblProd[[#This Row],[Expenses Lumber]] + SUM(TblConstr[[#This Row],[Dest Hom]:[Dest Doc]])*TblConstr[[#This Row],[CPA Lumber -DB]]*tech_3_3_2*TblTech[[#This Row],[3-3]]</f>
        <v>11827</v>
      </c>
      <c r="L40" s="69" t="n">
        <f aca="false">OFFSET(TblProd[[#This Row],[Mana]],-1,0)+OFFSET(TblProd[[#This Row],[Mana/hr]],-1,0)- TblProd[[#This Row],[Expenses Mana]]</f>
        <v>865592.5</v>
      </c>
      <c r="M40" s="69" t="n">
        <f aca="false">OFFSET(TblProd[[#This Row],[Ore]],-1,0)+OFFSET(TblProd[[#This Row],[Ore/hr]],-1,0) -TblProd[[#This Row],[Expenses Ore]]</f>
        <v>-357</v>
      </c>
      <c r="N40" s="69" t="n">
        <f aca="false">OFFSET(TblProd[[#This Row],[Gems]],-1,0)+OFFSET(TblProd[[#This Row],[Gems/hr]],-1,0) - TblProd[[#This Row],[Expenses Gems]]</f>
        <v>-1000</v>
      </c>
      <c r="O40" s="69" t="n">
        <f aca="false">OFFSET(TblProd[[#This Row],[Boats]],-1,0)+OFFSET(TblProd[[#This Row],[Boats/hr]],-1,0)</f>
        <v>3.25</v>
      </c>
      <c r="P40" s="69" t="n">
        <f aca="false">OFFSET(TblProd[[#This Row],[Prestige]],-1,0)</f>
        <v>250</v>
      </c>
      <c r="Q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0" s="69" t="n">
        <f aca="false">MAX(3750,_xlfn.CEILING.MATH(TblProd[[#This Row],[Land]]*2.5+OFFSET(TblTech[[#This Row],[Sum of tech]],-1,0)*150))</f>
        <v>3750</v>
      </c>
      <c r="S40" s="132"/>
      <c r="T40" s="69" t="n">
        <f aca="false">ROUNDDOWN(TblProd[[#This Row],[Raw Plat/hr]]*(1+TblProd[[#This Row],[Bonus Plat/hr]]),0)</f>
        <v>27590</v>
      </c>
      <c r="U40" s="69" t="n">
        <f aca="false">ROUND(TblProd[[#This Row],[Raw Food/hr]]*(1+TblProd[[#This Row],[Bonus Food/hr]])-TblProd[[#This Row],[Food decay]]-TblProd[[#This Row],[Food eaten]],0)</f>
        <v>-7214</v>
      </c>
      <c r="V40" s="69" t="n">
        <f aca="false">ROUND(TblProd[[#This Row],[Raw Lumber/hr]]*(1+TblProd[[#This Row],[Bonus Lumber/hr]])-TblProd[[#This Row],[Lumber rot]],0)</f>
        <v>917</v>
      </c>
      <c r="W40" s="69" t="n">
        <f aca="false">ROUND(TblProd[[#This Row],[Raw Mana/hr]]*(1+TblProd[[#This Row],[Bonus Mana/hr]])-TblProd[[#This Row],[Mana drain]],0)</f>
        <v>-16862</v>
      </c>
      <c r="X40" s="69" t="n">
        <f aca="false">ROUNDDOWN(TblProd[[#This Row],[Raw Ore/hr]]*(1+TblProd[[#This Row],[Bonux Ore/hr]]),0)</f>
        <v>0</v>
      </c>
      <c r="Y40" s="69" t="n">
        <f aca="false">ROUNDDOWN(TblProd[[#This Row],[Raw Gems/hr]]*(1+TblProd[[#This Row],[Bonus Gems/hr]]),0)</f>
        <v>0</v>
      </c>
      <c r="Z40" s="148" t="n">
        <f aca="false">OFFSET(TblConstr[[#This Row],[Tot Doc]],1,0)*dock_boats_hr * (1 + tech_4_1*TblTech[[#This Row],[4-1]])</f>
        <v>0.25</v>
      </c>
      <c r="AA40" s="146"/>
      <c r="AB40" s="69" t="n">
        <f aca="false">TblPop[[#This Row],[Peasants]]*tax*TblPop[[#This Row],[Employment]] + (Construction!AZ41+Construction!BX41)*(alch_plat+(Magic!AM40&gt;0)*alchemist_flame_bonus)</f>
        <v>25082.4</v>
      </c>
      <c r="AC40" s="69" t="n">
        <f aca="false">TblConstr[[#This Row],[Tot Farm]]*farm_food + TblConstr[[#This Row],[Tot Doc]]*dock_food</f>
        <v>840</v>
      </c>
      <c r="AD40" s="69" t="n">
        <f aca="false">TblConstr[[#This Row],[Tot Ly]]*ly_lumber + TblConstr[[#This Row],[Tot Hav]]*fh_lumber</f>
        <v>1150</v>
      </c>
      <c r="AE40" s="69" t="n">
        <f aca="false">OFFSET(TblConstr[[#This Row],[Tot Tow]],1,0)*(tower_mana + tech_4_5*TblTech[[#This Row],[4-5]]) + OFFSET(TblConstr[[#This Row],[Tot WG]],1,0)*wg_mana_prod</f>
        <v>450</v>
      </c>
      <c r="AF40" s="69" t="n">
        <f aca="false">OFFSET(TblConstr[[#This Row],[Tot OM]],1,0)*om_ore+IF(race="Dwarf",ROUNDDOWN(TblMili[[#This Row],[Unit 2]]*0.4,0),)</f>
        <v>0</v>
      </c>
      <c r="AG40" s="69" t="n">
        <f aca="false">OFFSET(TblConstr[[#This Row],[Tot DM]],1,0)*dm_gems</f>
        <v>0</v>
      </c>
      <c r="AH40" s="132"/>
      <c r="AI40" s="149" t="n">
        <f aca="false">MIN(race_platinum_bonus + IF(TblMagic[[#This Row],[Active Alch Frost]]&gt;0,alch_frost_bonus,IF(Magic!AD40&gt;0,midas_bonus)) + TblImps[[#This Row],[Science]] - TblProd[[#This Row],[Guard]]*(0.02 + tech_5_7*TblTech[[#This Row],[5-7]]) + tech_1_5*TblTech[[#This Row],[1-5]] + tech_4_4*TblTech[[#This Row],[4-4]], 0.5)</f>
        <v>0.1</v>
      </c>
      <c r="AJ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0" s="149" t="n">
        <f aca="false">race_lumber_bonus+ IF(TblMagic[[#This Row],[Active Gaia''s Blessing]]&gt;0,gaias_blessing_lumber)+ tech_1_3*TblTech[[#This Row],[1-3]] + tech_1_6*TblTech[[#This Row],[1-6]] + tech_3_3*TblTech[[#This Row],[3-3]]</f>
        <v>-0.1</v>
      </c>
      <c r="AL40" s="149" t="n">
        <f aca="false">race_mana_bonus+ 0 + TblImps[[#This Row],[Towers]] + tech_1_2*TblTech[[#This Row],[1-2]] + tech_3_4*TblTech[[#This Row],[3-4]]</f>
        <v>0</v>
      </c>
      <c r="AM40" s="149" t="n">
        <f aca="false">race_ore_bonus + IF(TblMagic[[#This Row],[Active Miner''s Sight]]&gt;0,miners_sight_bonus,IF(TblMagic[[#This Row],[Active Mining Strength]]&gt;0,mining_strength_bonus)) +  tech_1_6*TblTech[[#This Row],[1-6]]</f>
        <v>0</v>
      </c>
      <c r="AN40" s="149" t="n">
        <f aca="false">race_gem_bonus+ tech_3_2*TblTech[[#This Row],[3-2]] + tech_4_3*TblTech[[#This Row],[4-3]] + tech_6_2*TblTech[[#This Row],[6-2]]</f>
        <v>0.15</v>
      </c>
      <c r="AO40" s="132"/>
      <c r="AP40" s="69" t="n">
        <f aca="false">TblProd[[#This Row],[Food]]*food_decay * (1 + tech_2_1*TblTech[[#This Row],[2-1]] + tech_2_8*TblTech[[#This Row],[2-8]])</f>
        <v>6511.26</v>
      </c>
      <c r="AQ40" s="69" t="n">
        <f aca="false">(1+race_food_consumption)*TblPop[[#This Row],[Total]]*food_per_person*(1+tech_1_10*TblTech[[#This Row],[1-10]]+tech_7_5*TblTech[[#This Row],[7-5]])</f>
        <v>1563.75</v>
      </c>
      <c r="AR40" s="69" t="n">
        <f aca="false">TblProd[[#This Row],[Lumber]]*lumber_rot * (1 + tech_2_1*TblTech[[#This Row],[2-1]] + tech_2_8*TblTech[[#This Row],[2-8]] + tech_5_2*TblTech[[#This Row],[5-2]])</f>
        <v>118.27</v>
      </c>
      <c r="AS40" s="69" t="n">
        <f aca="false">TblProd[[#This Row],[Mana]]*mana_drain * (1 + tech_2_1*TblTech[[#This Row],[2-1]] + tech_2_8*TblTech[[#This Row],[2-8]])</f>
        <v>17311.85</v>
      </c>
      <c r="AT40" s="146"/>
      <c r="AU40" s="69" t="n">
        <f aca="false">TblExplore[[#This Row],[Platinum (2)]]+TblConstr[[#This Row],[Total Plat Cost]]+TblMili[[#This Row],[Plat Cost]]+TblRezone[[#This Row],[Platinum cost]]+TblImps[[#This Row],[P1]]-TblProd[[#This Row],[Bank Plat]]</f>
        <v>19877</v>
      </c>
      <c r="AV40" s="69" t="n">
        <f aca="false">TblConstr[[#This Row],[Total Lum Cost]]+TblImps[[#This Row],[L1]]-TblProd[[#This Row],[Bank Lumber]] + Military!$CL$25*TblMili[[#This Row],[Sec. rec. Cost]]</f>
        <v>0</v>
      </c>
      <c r="AW40" s="69" t="n">
        <f aca="false">TblMagic[[#This Row],[Mana cost]] + Military!$CL$26*TblMili[[#This Row],[Sec. rec. Cost]]</f>
        <v>0</v>
      </c>
      <c r="AX40" s="69" t="n">
        <f aca="false">Military!$CL$24*TblMili[[#This Row],[Sec. rec. Cost]]+TblImps[[#This Row],[O1]]-TblProd[[#This Row],[Bank Ore]]</f>
        <v>0</v>
      </c>
      <c r="AY40" s="69" t="n">
        <f aca="false">TblImps[[#This Row],[G1]]-TblProd[[#This Row],[Bank Gems]]</f>
        <v>0</v>
      </c>
      <c r="AZ40" s="132"/>
      <c r="BA40" s="33" t="n">
        <f aca="false">IF(TblProd[[#This Row],[Set Guard]]&lt;&gt;"",TblProd[[#This Row],[Set Guard]],OFFSET(TblProd[[#This Row],[Guard]],-1,0))</f>
        <v>0</v>
      </c>
      <c r="BB40" s="145"/>
      <c r="BC40" s="151" t="n">
        <f aca="false">TblProd[[#This Row],[Hour]]</f>
        <v>37</v>
      </c>
      <c r="BD40" s="152" t="n">
        <f aca="false">-TblProd[[#This Row],[Bank Lumber]] / 2 + -TblProd[[#This Row],[Bank Gems]] * 2 + -TblProd[[#This Row],[Bank Ore]] / 2</f>
        <v>0</v>
      </c>
      <c r="BE40" s="152"/>
      <c r="BF40" s="152"/>
      <c r="BG40" s="152"/>
      <c r="BH40" s="153" t="n">
        <f aca="false">TblProd[[#This Row],[Time]]</f>
        <v>45431.25</v>
      </c>
      <c r="BI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J40" s="69" t="n">
        <f aca="false">TblProd[[#This Row],[Platinum]]</f>
        <v>103821</v>
      </c>
      <c r="BK40" s="69" t="n">
        <f aca="false">TblProd[[#This Row],[Food]]</f>
        <v>651126</v>
      </c>
      <c r="BL40" s="69" t="n">
        <f aca="false">TblProd[[#This Row],[Lumber]]</f>
        <v>11827</v>
      </c>
      <c r="BM40" s="69" t="n">
        <f aca="false">TblProd[[#This Row],[Mana]]</f>
        <v>865592.5</v>
      </c>
      <c r="BN40" s="69" t="n">
        <f aca="false">TblProd[[#This Row],[Ore]]</f>
        <v>-357</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c r="H41" s="69" t="e">
        <f aca="false">TblMili[[#This Row],[Networth (2)]]</f>
        <v>#VALUE!</v>
      </c>
      <c r="I41" s="69" t="n">
        <f aca="false">OFFSET(TblProd[[#This Row],[Platinum]],-1,0)+OFFSET(TblProd[[#This Row],[Plat/hr]],-1,0) - TblProd[[#This Row],[Expenses Platinum]] + IF(TblProd[[#This Row],[Plat Bonus]],TblPop[[#This Row],[Peasants]]*4) + SUM(TblConstr[[#This Row],[Dest Hom]:[Dest Doc]])*TblConstr[[#This Row],[CPA Platinum -DB]]*tech_3_3_2*TblTech[[#This Row],[3-3]]</f>
        <v>111534</v>
      </c>
      <c r="J41" s="69" t="n">
        <f aca="false">OFFSET(TblProd[[#This Row],[Food]],-1,0)+OFFSET(TblProd[[#This Row],[Food/hr]],-1,0)+ROUNDUP((TblConstr[[#This Row],[Farms]]*80+TblConstr[[#This Row],[Docks]]*35)*(1+OFFSET(TblProd[[#This Row],[Bonus Food/hr]],-1,0)),0)</f>
        <v>643912</v>
      </c>
      <c r="K41" s="69" t="n">
        <f aca="false">OFFSET(TblProd[[#This Row],[Lumber]],-1,0)+OFFSET(TblProd[[#This Row],[Lumber/hr]],-1,0) - TblProd[[#This Row],[Expenses Lumber]] + SUM(TblConstr[[#This Row],[Dest Hom]:[Dest Doc]])*TblConstr[[#This Row],[CPA Lumber -DB]]*tech_3_3_2*TblTech[[#This Row],[3-3]]</f>
        <v>12744</v>
      </c>
      <c r="L41" s="69" t="n">
        <f aca="false">OFFSET(TblProd[[#This Row],[Mana]],-1,0)+OFFSET(TblProd[[#This Row],[Mana/hr]],-1,0)- TblProd[[#This Row],[Expenses Mana]]</f>
        <v>845588</v>
      </c>
      <c r="M41" s="69" t="n">
        <f aca="false">OFFSET(TblProd[[#This Row],[Ore]],-1,0)+OFFSET(TblProd[[#This Row],[Ore/hr]],-1,0) -TblProd[[#This Row],[Expenses Ore]]</f>
        <v>-357</v>
      </c>
      <c r="N41" s="69" t="n">
        <f aca="false">OFFSET(TblProd[[#This Row],[Gems]],-1,0)+OFFSET(TblProd[[#This Row],[Gems/hr]],-1,0) - TblProd[[#This Row],[Expenses Gems]]</f>
        <v>-1000</v>
      </c>
      <c r="O41" s="69" t="n">
        <f aca="false">OFFSET(TblProd[[#This Row],[Boats]],-1,0)+OFFSET(TblProd[[#This Row],[Boats/hr]],-1,0)</f>
        <v>3.5</v>
      </c>
      <c r="P41" s="69" t="n">
        <f aca="false">OFFSET(TblProd[[#This Row],[Prestige]],-1,0)</f>
        <v>250</v>
      </c>
      <c r="Q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1" s="69" t="n">
        <f aca="false">MAX(3750,_xlfn.CEILING.MATH(TblProd[[#This Row],[Land]]*2.5+OFFSET(TblTech[[#This Row],[Sum of tech]],-1,0)*150))</f>
        <v>3750</v>
      </c>
      <c r="S41" s="132"/>
      <c r="T41" s="69" t="n">
        <f aca="false">ROUNDDOWN(TblProd[[#This Row],[Raw Plat/hr]]*(1+TblProd[[#This Row],[Bonus Plat/hr]]),0)</f>
        <v>27896</v>
      </c>
      <c r="U41" s="69" t="n">
        <f aca="false">ROUND(TblProd[[#This Row],[Raw Food/hr]]*(1+TblProd[[#This Row],[Bonus Food/hr]])-TblProd[[#This Row],[Food decay]]-TblProd[[#This Row],[Food eaten]],0)</f>
        <v>-7225</v>
      </c>
      <c r="V41" s="69" t="n">
        <f aca="false">ROUND(TblProd[[#This Row],[Raw Lumber/hr]]*(1+TblProd[[#This Row],[Bonus Lumber/hr]])-TblProd[[#This Row],[Lumber rot]],0)</f>
        <v>908</v>
      </c>
      <c r="W41" s="69" t="n">
        <f aca="false">ROUND(TblProd[[#This Row],[Raw Mana/hr]]*(1+TblProd[[#This Row],[Bonus Mana/hr]])-TblProd[[#This Row],[Mana drain]],0)</f>
        <v>-16462</v>
      </c>
      <c r="X41" s="69" t="n">
        <f aca="false">ROUNDDOWN(TblProd[[#This Row],[Raw Ore/hr]]*(1+TblProd[[#This Row],[Bonux Ore/hr]]),0)</f>
        <v>0</v>
      </c>
      <c r="Y41" s="69" t="n">
        <f aca="false">ROUNDDOWN(TblProd[[#This Row],[Raw Gems/hr]]*(1+TblProd[[#This Row],[Bonus Gems/hr]]),0)</f>
        <v>0</v>
      </c>
      <c r="Z41" s="148" t="n">
        <f aca="false">OFFSET(TblConstr[[#This Row],[Tot Doc]],1,0)*dock_boats_hr * (1 + tech_4_1*TblTech[[#This Row],[4-1]])</f>
        <v>0.25</v>
      </c>
      <c r="AA41" s="146"/>
      <c r="AB41" s="69" t="n">
        <f aca="false">TblPop[[#This Row],[Peasants]]*tax*TblPop[[#This Row],[Employment]] + (Construction!AZ42+Construction!BX42)*(alch_plat+(Magic!AM41&gt;0)*alchemist_flame_bonus)</f>
        <v>25360.5</v>
      </c>
      <c r="AC41" s="69" t="n">
        <f aca="false">TblConstr[[#This Row],[Tot Farm]]*farm_food + TblConstr[[#This Row],[Tot Doc]]*dock_food</f>
        <v>840</v>
      </c>
      <c r="AD41" s="69" t="n">
        <f aca="false">TblConstr[[#This Row],[Tot Ly]]*ly_lumber + TblConstr[[#This Row],[Tot Hav]]*fh_lumber</f>
        <v>1150</v>
      </c>
      <c r="AE41" s="69" t="n">
        <f aca="false">OFFSET(TblConstr[[#This Row],[Tot Tow]],1,0)*(tower_mana + tech_4_5*TblTech[[#This Row],[4-5]]) + OFFSET(TblConstr[[#This Row],[Tot WG]],1,0)*wg_mana_prod</f>
        <v>450</v>
      </c>
      <c r="AF41" s="69" t="n">
        <f aca="false">OFFSET(TblConstr[[#This Row],[Tot OM]],1,0)*om_ore+IF(race="Dwarf",ROUNDDOWN(TblMili[[#This Row],[Unit 2]]*0.4,0),)</f>
        <v>0</v>
      </c>
      <c r="AG41" s="69" t="n">
        <f aca="false">OFFSET(TblConstr[[#This Row],[Tot DM]],1,0)*dm_gems</f>
        <v>0</v>
      </c>
      <c r="AH41" s="132"/>
      <c r="AI41" s="149" t="n">
        <f aca="false">MIN(race_platinum_bonus + IF(TblMagic[[#This Row],[Active Alch Frost]]&gt;0,alch_frost_bonus,IF(Magic!AD41&gt;0,midas_bonus)) + TblImps[[#This Row],[Science]] - TblProd[[#This Row],[Guard]]*(0.02 + tech_5_7*TblTech[[#This Row],[5-7]]) + tech_1_5*TblTech[[#This Row],[1-5]] + tech_4_4*TblTech[[#This Row],[4-4]], 0.5)</f>
        <v>0.1</v>
      </c>
      <c r="AJ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1" s="149" t="n">
        <f aca="false">race_lumber_bonus+ IF(TblMagic[[#This Row],[Active Gaia''s Blessing]]&gt;0,gaias_blessing_lumber)+ tech_1_3*TblTech[[#This Row],[1-3]] + tech_1_6*TblTech[[#This Row],[1-6]] + tech_3_3*TblTech[[#This Row],[3-3]]</f>
        <v>-0.1</v>
      </c>
      <c r="AL41" s="149" t="n">
        <f aca="false">race_mana_bonus+ 0 + TblImps[[#This Row],[Towers]] + tech_1_2*TblTech[[#This Row],[1-2]] + tech_3_4*TblTech[[#This Row],[3-4]]</f>
        <v>0</v>
      </c>
      <c r="AM41" s="149" t="n">
        <f aca="false">race_ore_bonus + IF(TblMagic[[#This Row],[Active Miner''s Sight]]&gt;0,miners_sight_bonus,IF(TblMagic[[#This Row],[Active Mining Strength]]&gt;0,mining_strength_bonus)) +  tech_1_6*TblTech[[#This Row],[1-6]]</f>
        <v>0</v>
      </c>
      <c r="AN41" s="149" t="n">
        <f aca="false">race_gem_bonus+ tech_3_2*TblTech[[#This Row],[3-2]] + tech_4_3*TblTech[[#This Row],[4-3]] + tech_6_2*TblTech[[#This Row],[6-2]]</f>
        <v>0.15</v>
      </c>
      <c r="AO41" s="132"/>
      <c r="AP41" s="69" t="n">
        <f aca="false">TblProd[[#This Row],[Food]]*food_decay * (1 + tech_2_1*TblTech[[#This Row],[2-1]] + tech_2_8*TblTech[[#This Row],[2-8]])</f>
        <v>6439.12</v>
      </c>
      <c r="AQ41" s="69" t="n">
        <f aca="false">(1+race_food_consumption)*TblPop[[#This Row],[Total]]*food_per_person*(1+tech_1_10*TblTech[[#This Row],[1-10]]+tech_7_5*TblTech[[#This Row],[7-5]])</f>
        <v>1646.5</v>
      </c>
      <c r="AR41" s="69" t="n">
        <f aca="false">TblProd[[#This Row],[Lumber]]*lumber_rot * (1 + tech_2_1*TblTech[[#This Row],[2-1]] + tech_2_8*TblTech[[#This Row],[2-8]] + tech_5_2*TblTech[[#This Row],[5-2]])</f>
        <v>127.44</v>
      </c>
      <c r="AS41" s="69" t="n">
        <f aca="false">TblProd[[#This Row],[Mana]]*mana_drain * (1 + tech_2_1*TblTech[[#This Row],[2-1]] + tech_2_8*TblTech[[#This Row],[2-8]])</f>
        <v>16911.76</v>
      </c>
      <c r="AT41" s="146"/>
      <c r="AU41" s="69" t="n">
        <f aca="false">TblExplore[[#This Row],[Platinum (2)]]+TblConstr[[#This Row],[Total Plat Cost]]+TblMili[[#This Row],[Plat Cost]]+TblRezone[[#This Row],[Platinum cost]]+TblImps[[#This Row],[P1]]-TblProd[[#This Row],[Bank Plat]]</f>
        <v>19877</v>
      </c>
      <c r="AV41" s="69" t="n">
        <f aca="false">TblConstr[[#This Row],[Total Lum Cost]]+TblImps[[#This Row],[L1]]-TblProd[[#This Row],[Bank Lumber]] + Military!$CL$25*TblMili[[#This Row],[Sec. rec. Cost]]</f>
        <v>0</v>
      </c>
      <c r="AW41" s="69" t="n">
        <f aca="false">TblMagic[[#This Row],[Mana cost]] + Military!$CL$26*TblMili[[#This Row],[Sec. rec. Cost]]</f>
        <v>3142.5</v>
      </c>
      <c r="AX41" s="69" t="n">
        <f aca="false">Military!$CL$24*TblMili[[#This Row],[Sec. rec. Cost]]+TblImps[[#This Row],[O1]]-TblProd[[#This Row],[Bank Ore]]</f>
        <v>0</v>
      </c>
      <c r="AY41" s="69" t="n">
        <f aca="false">TblImps[[#This Row],[G1]]-TblProd[[#This Row],[Bank Gems]]</f>
        <v>0</v>
      </c>
      <c r="AZ41" s="132"/>
      <c r="BA41" s="33" t="n">
        <f aca="false">IF(TblProd[[#This Row],[Set Guard]]&lt;&gt;"",TblProd[[#This Row],[Set Guard]],OFFSET(TblProd[[#This Row],[Guard]],-1,0))</f>
        <v>0</v>
      </c>
      <c r="BB41" s="145"/>
      <c r="BC41" s="151" t="n">
        <f aca="false">TblProd[[#This Row],[Hour]]</f>
        <v>38</v>
      </c>
      <c r="BD41" s="152" t="n">
        <f aca="false">-TblProd[[#This Row],[Bank Lumber]] / 2 + -TblProd[[#This Row],[Bank Gems]] * 2 + -TblProd[[#This Row],[Bank Ore]] / 2</f>
        <v>0</v>
      </c>
      <c r="BE41" s="152"/>
      <c r="BF41" s="152"/>
      <c r="BG41" s="152"/>
      <c r="BH41" s="153" t="n">
        <f aca="false">TblProd[[#This Row],[Time]]</f>
        <v>45431.2916666667</v>
      </c>
      <c r="BI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J41" s="69" t="n">
        <f aca="false">TblProd[[#This Row],[Platinum]]</f>
        <v>111534</v>
      </c>
      <c r="BK41" s="69" t="n">
        <f aca="false">TblProd[[#This Row],[Food]]</f>
        <v>643912</v>
      </c>
      <c r="BL41" s="69" t="n">
        <f aca="false">TblProd[[#This Row],[Lumber]]</f>
        <v>12744</v>
      </c>
      <c r="BM41" s="69" t="n">
        <f aca="false">TblProd[[#This Row],[Mana]]</f>
        <v>845588</v>
      </c>
      <c r="BN41" s="69" t="n">
        <f aca="false">TblProd[[#This Row],[Ore]]</f>
        <v>-357</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6580</v>
      </c>
      <c r="G42" s="69"/>
      <c r="H42" s="69" t="e">
        <f aca="false">TblMili[[#This Row],[Networth (2)]]</f>
        <v>#VALUE!</v>
      </c>
      <c r="I42" s="69" t="n">
        <f aca="false">OFFSET(TblProd[[#This Row],[Platinum]],-1,0)+OFFSET(TblProd[[#This Row],[Plat/hr]],-1,0) - TblProd[[#This Row],[Expenses Platinum]] + IF(TblProd[[#This Row],[Plat Bonus]],TblPop[[#This Row],[Peasants]]*4) + SUM(TblConstr[[#This Row],[Dest Hom]:[Dest Doc]])*TblConstr[[#This Row],[CPA Platinum -DB]]*tech_3_3_2*TblTech[[#This Row],[3-3]]</f>
        <v>118024</v>
      </c>
      <c r="J42" s="69" t="n">
        <f aca="false">OFFSET(TblProd[[#This Row],[Food]],-1,0)+OFFSET(TblProd[[#This Row],[Food/hr]],-1,0)+ROUNDUP((TblConstr[[#This Row],[Farms]]*80+TblConstr[[#This Row],[Docks]]*35)*(1+OFFSET(TblProd[[#This Row],[Bonus Food/hr]],-1,0)),0)</f>
        <v>636687</v>
      </c>
      <c r="K42" s="69" t="n">
        <f aca="false">OFFSET(TblProd[[#This Row],[Lumber]],-1,0)+OFFSET(TblProd[[#This Row],[Lumber/hr]],-1,0) - TblProd[[#This Row],[Expenses Lumber]] + SUM(TblConstr[[#This Row],[Dest Hom]:[Dest Doc]])*TblConstr[[#This Row],[CPA Lumber -DB]]*tech_3_3_2*TblTech[[#This Row],[3-3]]</f>
        <v>13652</v>
      </c>
      <c r="L42" s="69" t="n">
        <f aca="false">OFFSET(TblProd[[#This Row],[Mana]],-1,0)+OFFSET(TblProd[[#This Row],[Mana/hr]],-1,0)- TblProd[[#This Row],[Expenses Mana]]</f>
        <v>829126</v>
      </c>
      <c r="M42" s="69" t="n">
        <f aca="false">OFFSET(TblProd[[#This Row],[Ore]],-1,0)+OFFSET(TblProd[[#This Row],[Ore/hr]],-1,0) -TblProd[[#This Row],[Expenses Ore]]</f>
        <v>-357</v>
      </c>
      <c r="N42" s="69" t="n">
        <f aca="false">OFFSET(TblProd[[#This Row],[Gems]],-1,0)+OFFSET(TblProd[[#This Row],[Gems/hr]],-1,0) - TblProd[[#This Row],[Expenses Gems]]</f>
        <v>-1000</v>
      </c>
      <c r="O42" s="69" t="n">
        <f aca="false">OFFSET(TblProd[[#This Row],[Boats]],-1,0)+OFFSET(TblProd[[#This Row],[Boats/hr]],-1,0)</f>
        <v>3.75</v>
      </c>
      <c r="P42" s="69" t="n">
        <f aca="false">OFFSET(TblProd[[#This Row],[Prestige]],-1,0)</f>
        <v>250</v>
      </c>
      <c r="Q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2" s="69" t="n">
        <f aca="false">MAX(3750,_xlfn.CEILING.MATH(TblProd[[#This Row],[Land]]*2.5+OFFSET(TblTech[[#This Row],[Sum of tech]],-1,0)*150))</f>
        <v>3750</v>
      </c>
      <c r="S42" s="132"/>
      <c r="T42" s="69" t="n">
        <f aca="false">ROUNDDOWN(TblProd[[#This Row],[Raw Plat/hr]]*(1+TblProd[[#This Row],[Bonus Plat/hr]]),0)</f>
        <v>27896</v>
      </c>
      <c r="U42" s="69" t="n">
        <f aca="false">ROUND(TblProd[[#This Row],[Raw Food/hr]]*(1+TblProd[[#This Row],[Bonus Food/hr]])-TblProd[[#This Row],[Food decay]]-TblProd[[#This Row],[Food eaten]],0)</f>
        <v>-7179</v>
      </c>
      <c r="V42" s="69" t="n">
        <f aca="false">ROUND(TblProd[[#This Row],[Raw Lumber/hr]]*(1+TblProd[[#This Row],[Bonus Lumber/hr]])-TblProd[[#This Row],[Lumber rot]],0)</f>
        <v>898</v>
      </c>
      <c r="W42" s="69" t="n">
        <f aca="false">ROUND(TblProd[[#This Row],[Raw Mana/hr]]*(1+TblProd[[#This Row],[Bonus Mana/hr]])-TblProd[[#This Row],[Mana drain]],0)</f>
        <v>-16133</v>
      </c>
      <c r="X42" s="69" t="n">
        <f aca="false">ROUNDDOWN(TblProd[[#This Row],[Raw Ore/hr]]*(1+TblProd[[#This Row],[Bonux Ore/hr]]),0)</f>
        <v>0</v>
      </c>
      <c r="Y42" s="69" t="n">
        <f aca="false">ROUNDDOWN(TblProd[[#This Row],[Raw Gems/hr]]*(1+TblProd[[#This Row],[Bonus Gems/hr]]),0)</f>
        <v>0</v>
      </c>
      <c r="Z42" s="148" t="n">
        <f aca="false">OFFSET(TblConstr[[#This Row],[Tot Doc]],1,0)*dock_boats_hr * (1 + tech_4_1*TblTech[[#This Row],[4-1]])</f>
        <v>0.25</v>
      </c>
      <c r="AA42" s="146"/>
      <c r="AB42" s="69" t="n">
        <f aca="false">TblPop[[#This Row],[Peasants]]*tax*TblPop[[#This Row],[Employment]] + (Construction!AZ43+Construction!BX43)*(alch_plat+(Magic!AM42&gt;0)*alchemist_flame_bonus)</f>
        <v>25360.5</v>
      </c>
      <c r="AC42" s="69" t="n">
        <f aca="false">TblConstr[[#This Row],[Tot Farm]]*farm_food + TblConstr[[#This Row],[Tot Doc]]*dock_food</f>
        <v>840</v>
      </c>
      <c r="AD42" s="69" t="n">
        <f aca="false">TblConstr[[#This Row],[Tot Ly]]*ly_lumber + TblConstr[[#This Row],[Tot Hav]]*fh_lumber</f>
        <v>1150</v>
      </c>
      <c r="AE42" s="69" t="n">
        <f aca="false">OFFSET(TblConstr[[#This Row],[Tot Tow]],1,0)*(tower_mana + tech_4_5*TblTech[[#This Row],[4-5]]) + OFFSET(TblConstr[[#This Row],[Tot WG]],1,0)*wg_mana_prod</f>
        <v>450</v>
      </c>
      <c r="AF42" s="69" t="n">
        <f aca="false">OFFSET(TblConstr[[#This Row],[Tot OM]],1,0)*om_ore+IF(race="Dwarf",ROUNDDOWN(TblMili[[#This Row],[Unit 2]]*0.4,0),)</f>
        <v>0</v>
      </c>
      <c r="AG42" s="69" t="n">
        <f aca="false">OFFSET(TblConstr[[#This Row],[Tot DM]],1,0)*dm_gems</f>
        <v>0</v>
      </c>
      <c r="AH42" s="132"/>
      <c r="AI42" s="149" t="n">
        <f aca="false">MIN(race_platinum_bonus + IF(TblMagic[[#This Row],[Active Alch Frost]]&gt;0,alch_frost_bonus,IF(Magic!AD42&gt;0,midas_bonus)) + TblImps[[#This Row],[Science]] - TblProd[[#This Row],[Guard]]*(0.02 + tech_5_7*TblTech[[#This Row],[5-7]]) + tech_1_5*TblTech[[#This Row],[1-5]] + tech_4_4*TblTech[[#This Row],[4-4]], 0.5)</f>
        <v>0.1</v>
      </c>
      <c r="AJ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2" s="149" t="n">
        <f aca="false">race_lumber_bonus+ IF(TblMagic[[#This Row],[Active Gaia''s Blessing]]&gt;0,gaias_blessing_lumber)+ tech_1_3*TblTech[[#This Row],[1-3]] + tech_1_6*TblTech[[#This Row],[1-6]] + tech_3_3*TblTech[[#This Row],[3-3]]</f>
        <v>-0.1</v>
      </c>
      <c r="AL42" s="149" t="n">
        <f aca="false">race_mana_bonus+ 0 + TblImps[[#This Row],[Towers]] + tech_1_2*TblTech[[#This Row],[1-2]] + tech_3_4*TblTech[[#This Row],[3-4]]</f>
        <v>0</v>
      </c>
      <c r="AM42" s="149" t="n">
        <f aca="false">race_ore_bonus + IF(TblMagic[[#This Row],[Active Miner''s Sight]]&gt;0,miners_sight_bonus,IF(TblMagic[[#This Row],[Active Mining Strength]]&gt;0,mining_strength_bonus)) +  tech_1_6*TblTech[[#This Row],[1-6]]</f>
        <v>0</v>
      </c>
      <c r="AN42" s="149" t="n">
        <f aca="false">race_gem_bonus+ tech_3_2*TblTech[[#This Row],[3-2]] + tech_4_3*TblTech[[#This Row],[4-3]] + tech_6_2*TblTech[[#This Row],[6-2]]</f>
        <v>0.15</v>
      </c>
      <c r="AO42" s="132"/>
      <c r="AP42" s="69" t="n">
        <f aca="false">TblProd[[#This Row],[Food]]*food_decay * (1 + tech_2_1*TblTech[[#This Row],[2-1]] + tech_2_8*TblTech[[#This Row],[2-8]])</f>
        <v>6366.87</v>
      </c>
      <c r="AQ42" s="69" t="n">
        <f aca="false">(1+race_food_consumption)*TblPop[[#This Row],[Total]]*food_per_person*(1+tech_1_10*TblTech[[#This Row],[1-10]]+tech_7_5*TblTech[[#This Row],[7-5]])</f>
        <v>1673.5</v>
      </c>
      <c r="AR42" s="69" t="n">
        <f aca="false">TblProd[[#This Row],[Lumber]]*lumber_rot * (1 + tech_2_1*TblTech[[#This Row],[2-1]] + tech_2_8*TblTech[[#This Row],[2-8]] + tech_5_2*TblTech[[#This Row],[5-2]])</f>
        <v>136.52</v>
      </c>
      <c r="AS42" s="69" t="n">
        <f aca="false">TblProd[[#This Row],[Mana]]*mana_drain * (1 + tech_2_1*TblTech[[#This Row],[2-1]] + tech_2_8*TblTech[[#This Row],[2-8]])</f>
        <v>16582.52</v>
      </c>
      <c r="AT42" s="146"/>
      <c r="AU42" s="69" t="n">
        <f aca="false">TblExplore[[#This Row],[Platinum (2)]]+TblConstr[[#This Row],[Total Plat Cost]]+TblMili[[#This Row],[Plat Cost]]+TblRezone[[#This Row],[Platinum cost]]+TblImps[[#This Row],[P1]]-TblProd[[#This Row],[Bank Plat]]</f>
        <v>21406</v>
      </c>
      <c r="AV42" s="69" t="n">
        <f aca="false">TblConstr[[#This Row],[Total Lum Cost]]+TblImps[[#This Row],[L1]]-TblProd[[#This Row],[Bank Lumber]] + Military!$CL$25*TblMili[[#This Row],[Sec. rec. Cost]]</f>
        <v>0</v>
      </c>
      <c r="AW42" s="69" t="n">
        <f aca="false">TblMagic[[#This Row],[Mana cost]] + Military!$CL$26*TblMili[[#This Row],[Sec. rec. Cost]]</f>
        <v>0</v>
      </c>
      <c r="AX42" s="69" t="n">
        <f aca="false">Military!$CL$24*TblMili[[#This Row],[Sec. rec. Cost]]+TblImps[[#This Row],[O1]]-TblProd[[#This Row],[Bank Ore]]</f>
        <v>0</v>
      </c>
      <c r="AY42" s="69" t="n">
        <f aca="false">TblImps[[#This Row],[G1]]-TblProd[[#This Row],[Bank Gems]]</f>
        <v>0</v>
      </c>
      <c r="AZ42" s="132"/>
      <c r="BA42" s="33" t="n">
        <f aca="false">IF(TblProd[[#This Row],[Set Guard]]&lt;&gt;"",TblProd[[#This Row],[Set Guard]],OFFSET(TblProd[[#This Row],[Guard]],-1,0))</f>
        <v>0</v>
      </c>
      <c r="BB42" s="145"/>
      <c r="BC42" s="151" t="n">
        <f aca="false">TblProd[[#This Row],[Hour]]</f>
        <v>39</v>
      </c>
      <c r="BD42" s="152" t="n">
        <f aca="false">-TblProd[[#This Row],[Bank Lumber]] / 2 + -TblProd[[#This Row],[Bank Gems]] * 2 + -TblProd[[#This Row],[Bank Ore]] / 2</f>
        <v>0</v>
      </c>
      <c r="BE42" s="152"/>
      <c r="BF42" s="152"/>
      <c r="BG42" s="152"/>
      <c r="BH42" s="153" t="n">
        <f aca="false">TblProd[[#This Row],[Time]]</f>
        <v>45431.3333333333</v>
      </c>
      <c r="BI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J42" s="69" t="n">
        <f aca="false">TblProd[[#This Row],[Platinum]]</f>
        <v>118024</v>
      </c>
      <c r="BK42" s="69" t="n">
        <f aca="false">TblProd[[#This Row],[Food]]</f>
        <v>636687</v>
      </c>
      <c r="BL42" s="69" t="n">
        <f aca="false">TblProd[[#This Row],[Lumber]]</f>
        <v>13652</v>
      </c>
      <c r="BM42" s="69" t="n">
        <f aca="false">TblProd[[#This Row],[Mana]]</f>
        <v>829126</v>
      </c>
      <c r="BN42" s="69" t="n">
        <f aca="false">TblProd[[#This Row],[Ore]]</f>
        <v>-357</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6584</v>
      </c>
      <c r="G43" s="69"/>
      <c r="H43" s="69" t="e">
        <f aca="false">TblMili[[#This Row],[Networth (2)]]</f>
        <v>#VALUE!</v>
      </c>
      <c r="I43" s="69" t="n">
        <f aca="false">OFFSET(TblProd[[#This Row],[Platinum]],-1,0)+OFFSET(TblProd[[#This Row],[Plat/hr]],-1,0) - TblProd[[#This Row],[Expenses Platinum]] + IF(TblProd[[#This Row],[Plat Bonus]],TblPop[[#This Row],[Peasants]]*4) + SUM(TblConstr[[#This Row],[Dest Hom]:[Dest Doc]])*TblConstr[[#This Row],[CPA Platinum -DB]]*tech_3_3_2*TblTech[[#This Row],[3-3]]</f>
        <v>126043</v>
      </c>
      <c r="J43" s="69" t="n">
        <f aca="false">OFFSET(TblProd[[#This Row],[Food]],-1,0)+OFFSET(TblProd[[#This Row],[Food/hr]],-1,0)+ROUNDUP((TblConstr[[#This Row],[Farms]]*80+TblConstr[[#This Row],[Docks]]*35)*(1+OFFSET(TblProd[[#This Row],[Bonus Food/hr]],-1,0)),0)</f>
        <v>629508</v>
      </c>
      <c r="K43" s="69" t="n">
        <f aca="false">OFFSET(TblProd[[#This Row],[Lumber]],-1,0)+OFFSET(TblProd[[#This Row],[Lumber/hr]],-1,0) - TblProd[[#This Row],[Expenses Lumber]] + SUM(TblConstr[[#This Row],[Dest Hom]:[Dest Doc]])*TblConstr[[#This Row],[CPA Lumber -DB]]*tech_3_3_2*TblTech[[#This Row],[3-3]]</f>
        <v>14550</v>
      </c>
      <c r="L43" s="69" t="n">
        <f aca="false">OFFSET(TblProd[[#This Row],[Mana]],-1,0)+OFFSET(TblProd[[#This Row],[Mana/hr]],-1,0)- TblProd[[#This Row],[Expenses Mana]]</f>
        <v>811945.5</v>
      </c>
      <c r="M43" s="69" t="n">
        <f aca="false">OFFSET(TblProd[[#This Row],[Ore]],-1,0)+OFFSET(TblProd[[#This Row],[Ore/hr]],-1,0) -TblProd[[#This Row],[Expenses Ore]]</f>
        <v>-357</v>
      </c>
      <c r="N43" s="69" t="n">
        <f aca="false">OFFSET(TblProd[[#This Row],[Gems]],-1,0)+OFFSET(TblProd[[#This Row],[Gems/hr]],-1,0) - TblProd[[#This Row],[Expenses Gems]]</f>
        <v>-1000</v>
      </c>
      <c r="O43" s="69" t="n">
        <f aca="false">OFFSET(TblProd[[#This Row],[Boats]],-1,0)+OFFSET(TblProd[[#This Row],[Boats/hr]],-1,0)</f>
        <v>4</v>
      </c>
      <c r="P43" s="69" t="n">
        <f aca="false">OFFSET(TblProd[[#This Row],[Prestige]],-1,0)</f>
        <v>250</v>
      </c>
      <c r="Q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3" s="69" t="n">
        <f aca="false">MAX(3750,_xlfn.CEILING.MATH(TblProd[[#This Row],[Land]]*2.5+OFFSET(TblTech[[#This Row],[Sum of tech]],-1,0)*150))</f>
        <v>3750</v>
      </c>
      <c r="S43" s="132"/>
      <c r="T43" s="69" t="n">
        <f aca="false">ROUNDDOWN(TblProd[[#This Row],[Raw Plat/hr]]*(1+TblProd[[#This Row],[Bonus Plat/hr]]),0)</f>
        <v>27896</v>
      </c>
      <c r="U43" s="69" t="n">
        <f aca="false">ROUND(TblProd[[#This Row],[Raw Food/hr]]*(1+TblProd[[#This Row],[Bonus Food/hr]])-TblProd[[#This Row],[Food decay]]-TblProd[[#This Row],[Food eaten]],0)</f>
        <v>-7109</v>
      </c>
      <c r="V43" s="69" t="n">
        <f aca="false">ROUND(TblProd[[#This Row],[Raw Lumber/hr]]*(1+TblProd[[#This Row],[Bonus Lumber/hr]])-TblProd[[#This Row],[Lumber rot]],0)</f>
        <v>890</v>
      </c>
      <c r="W43" s="69" t="n">
        <f aca="false">ROUND(TblProd[[#This Row],[Raw Mana/hr]]*(1+TblProd[[#This Row],[Bonus Mana/hr]])-TblProd[[#This Row],[Mana drain]],0)</f>
        <v>-15789</v>
      </c>
      <c r="X43" s="69" t="n">
        <f aca="false">ROUNDDOWN(TblProd[[#This Row],[Raw Ore/hr]]*(1+TblProd[[#This Row],[Bonux Ore/hr]]),0)</f>
        <v>0</v>
      </c>
      <c r="Y43" s="69" t="n">
        <f aca="false">ROUNDDOWN(TblProd[[#This Row],[Raw Gems/hr]]*(1+TblProd[[#This Row],[Bonus Gems/hr]]),0)</f>
        <v>0</v>
      </c>
      <c r="Z43" s="148" t="n">
        <f aca="false">OFFSET(TblConstr[[#This Row],[Tot Doc]],1,0)*dock_boats_hr * (1 + tech_4_1*TblTech[[#This Row],[4-1]])</f>
        <v>0.25</v>
      </c>
      <c r="AA43" s="146"/>
      <c r="AB43" s="69" t="n">
        <f aca="false">TblPop[[#This Row],[Peasants]]*tax*TblPop[[#This Row],[Employment]] + (Construction!AZ44+Construction!BX44)*(alch_plat+(Magic!AM43&gt;0)*alchemist_flame_bonus)</f>
        <v>25360.5</v>
      </c>
      <c r="AC43" s="69" t="n">
        <f aca="false">TblConstr[[#This Row],[Tot Farm]]*farm_food + TblConstr[[#This Row],[Tot Doc]]*dock_food</f>
        <v>840</v>
      </c>
      <c r="AD43" s="69" t="n">
        <f aca="false">TblConstr[[#This Row],[Tot Ly]]*ly_lumber + TblConstr[[#This Row],[Tot Hav]]*fh_lumber</f>
        <v>1150</v>
      </c>
      <c r="AE43" s="69" t="n">
        <f aca="false">OFFSET(TblConstr[[#This Row],[Tot Tow]],1,0)*(tower_mana + tech_4_5*TblTech[[#This Row],[4-5]]) + OFFSET(TblConstr[[#This Row],[Tot WG]],1,0)*wg_mana_prod</f>
        <v>450</v>
      </c>
      <c r="AF43" s="69" t="n">
        <f aca="false">OFFSET(TblConstr[[#This Row],[Tot OM]],1,0)*om_ore+IF(race="Dwarf",ROUNDDOWN(TblMili[[#This Row],[Unit 2]]*0.4,0),)</f>
        <v>0</v>
      </c>
      <c r="AG43" s="69" t="n">
        <f aca="false">OFFSET(TblConstr[[#This Row],[Tot DM]],1,0)*dm_gems</f>
        <v>0</v>
      </c>
      <c r="AH43" s="132"/>
      <c r="AI43" s="149" t="n">
        <f aca="false">MIN(race_platinum_bonus + IF(TblMagic[[#This Row],[Active Alch Frost]]&gt;0,alch_frost_bonus,IF(Magic!AD43&gt;0,midas_bonus)) + TblImps[[#This Row],[Science]] - TblProd[[#This Row],[Guard]]*(0.02 + tech_5_7*TblTech[[#This Row],[5-7]]) + tech_1_5*TblTech[[#This Row],[1-5]] + tech_4_4*TblTech[[#This Row],[4-4]], 0.5)</f>
        <v>0.1</v>
      </c>
      <c r="AJ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3" s="149" t="n">
        <f aca="false">race_lumber_bonus+ IF(TblMagic[[#This Row],[Active Gaia''s Blessing]]&gt;0,gaias_blessing_lumber)+ tech_1_3*TblTech[[#This Row],[1-3]] + tech_1_6*TblTech[[#This Row],[1-6]] + tech_3_3*TblTech[[#This Row],[3-3]]</f>
        <v>-0.1</v>
      </c>
      <c r="AL43" s="149" t="n">
        <f aca="false">race_mana_bonus+ 0 + TblImps[[#This Row],[Towers]] + tech_1_2*TblTech[[#This Row],[1-2]] + tech_3_4*TblTech[[#This Row],[3-4]]</f>
        <v>0</v>
      </c>
      <c r="AM43" s="149" t="n">
        <f aca="false">race_ore_bonus + IF(TblMagic[[#This Row],[Active Miner''s Sight]]&gt;0,miners_sight_bonus,IF(TblMagic[[#This Row],[Active Mining Strength]]&gt;0,mining_strength_bonus)) +  tech_1_6*TblTech[[#This Row],[1-6]]</f>
        <v>0</v>
      </c>
      <c r="AN43" s="149" t="n">
        <f aca="false">race_gem_bonus+ tech_3_2*TblTech[[#This Row],[3-2]] + tech_4_3*TblTech[[#This Row],[4-3]] + tech_6_2*TblTech[[#This Row],[6-2]]</f>
        <v>0.15</v>
      </c>
      <c r="AO43" s="132"/>
      <c r="AP43" s="69" t="n">
        <f aca="false">TblProd[[#This Row],[Food]]*food_decay * (1 + tech_2_1*TblTech[[#This Row],[2-1]] + tech_2_8*TblTech[[#This Row],[2-8]])</f>
        <v>6295.08</v>
      </c>
      <c r="AQ43" s="69" t="n">
        <f aca="false">(1+race_food_consumption)*TblPop[[#This Row],[Total]]*food_per_person*(1+tech_1_10*TblTech[[#This Row],[1-10]]+tech_7_5*TblTech[[#This Row],[7-5]])</f>
        <v>1674.75</v>
      </c>
      <c r="AR43" s="69" t="n">
        <f aca="false">TblProd[[#This Row],[Lumber]]*lumber_rot * (1 + tech_2_1*TblTech[[#This Row],[2-1]] + tech_2_8*TblTech[[#This Row],[2-8]] + tech_5_2*TblTech[[#This Row],[5-2]])</f>
        <v>145.5</v>
      </c>
      <c r="AS43" s="69" t="n">
        <f aca="false">TblProd[[#This Row],[Mana]]*mana_drain * (1 + tech_2_1*TblTech[[#This Row],[2-1]] + tech_2_8*TblTech[[#This Row],[2-8]])</f>
        <v>16238.91</v>
      </c>
      <c r="AT43" s="146"/>
      <c r="AU43" s="69" t="n">
        <f aca="false">TblExplore[[#This Row],[Platinum (2)]]+TblConstr[[#This Row],[Total Plat Cost]]+TblMili[[#This Row],[Plat Cost]]+TblRezone[[#This Row],[Platinum cost]]+TblImps[[#This Row],[P1]]-TblProd[[#This Row],[Bank Plat]]</f>
        <v>19877</v>
      </c>
      <c r="AV43" s="69" t="n">
        <f aca="false">TblConstr[[#This Row],[Total Lum Cost]]+TblImps[[#This Row],[L1]]-TblProd[[#This Row],[Bank Lumber]] + Military!$CL$25*TblMili[[#This Row],[Sec. rec. Cost]]</f>
        <v>0</v>
      </c>
      <c r="AW43" s="69" t="n">
        <f aca="false">TblMagic[[#This Row],[Mana cost]] + Military!$CL$26*TblMili[[#This Row],[Sec. rec. Cost]]</f>
        <v>1047.5</v>
      </c>
      <c r="AX43" s="69" t="n">
        <f aca="false">Military!$CL$24*TblMili[[#This Row],[Sec. rec. Cost]]+TblImps[[#This Row],[O1]]-TblProd[[#This Row],[Bank Ore]]</f>
        <v>0</v>
      </c>
      <c r="AY43" s="69" t="n">
        <f aca="false">TblImps[[#This Row],[G1]]-TblProd[[#This Row],[Bank Gems]]</f>
        <v>0</v>
      </c>
      <c r="AZ43" s="132"/>
      <c r="BA43" s="33" t="n">
        <f aca="false">IF(TblProd[[#This Row],[Set Guard]]&lt;&gt;"",TblProd[[#This Row],[Set Guard]],OFFSET(TblProd[[#This Row],[Guard]],-1,0))</f>
        <v>0</v>
      </c>
      <c r="BB43" s="145"/>
      <c r="BC43" s="151" t="n">
        <f aca="false">TblProd[[#This Row],[Hour]]</f>
        <v>40</v>
      </c>
      <c r="BD43" s="152" t="n">
        <f aca="false">-TblProd[[#This Row],[Bank Lumber]] / 2 + -TblProd[[#This Row],[Bank Gems]] * 2 + -TblProd[[#This Row],[Bank Ore]] / 2</f>
        <v>0</v>
      </c>
      <c r="BE43" s="152"/>
      <c r="BF43" s="152"/>
      <c r="BG43" s="152"/>
      <c r="BH43" s="153" t="n">
        <f aca="false">TblProd[[#This Row],[Time]]</f>
        <v>45431.375</v>
      </c>
      <c r="BI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J43" s="69" t="n">
        <f aca="false">TblProd[[#This Row],[Platinum]]</f>
        <v>126043</v>
      </c>
      <c r="BK43" s="69" t="n">
        <f aca="false">TblProd[[#This Row],[Food]]</f>
        <v>629508</v>
      </c>
      <c r="BL43" s="69" t="n">
        <f aca="false">TblProd[[#This Row],[Lumber]]</f>
        <v>14550</v>
      </c>
      <c r="BM43" s="69" t="n">
        <f aca="false">TblProd[[#This Row],[Mana]]</f>
        <v>811945.5</v>
      </c>
      <c r="BN43" s="69" t="n">
        <f aca="false">TblProd[[#This Row],[Ore]]</f>
        <v>-357</v>
      </c>
    </row>
    <row r="44" customFormat="false" ht="12.75" hidden="false" customHeight="false" outlineLevel="0" collapsed="false">
      <c r="A44" s="128" t="n">
        <v>41</v>
      </c>
      <c r="B44" s="144" t="n">
        <f aca="false">TblImps[[#This Row],[Time]]</f>
        <v>45431.4166666667</v>
      </c>
      <c r="C44" s="145"/>
      <c r="D44" s="146"/>
      <c r="E44" s="69" t="n">
        <f aca="false">TblConstr[[#This Row],[Land]]</f>
        <v>447</v>
      </c>
      <c r="F44" s="69" t="n">
        <f aca="false">TblPop[[#This Row],[Peasants]]</f>
        <v>6734</v>
      </c>
      <c r="G44" s="69"/>
      <c r="H44" s="69" t="e">
        <f aca="false">TblMili[[#This Row],[Networth (2)]]</f>
        <v>#VALUE!</v>
      </c>
      <c r="I44" s="69" t="n">
        <f aca="false">OFFSET(TblProd[[#This Row],[Platinum]],-1,0)+OFFSET(TblProd[[#This Row],[Plat/hr]],-1,0) - TblProd[[#This Row],[Expenses Platinum]] + IF(TblProd[[#This Row],[Plat Bonus]],TblPop[[#This Row],[Peasants]]*4) + SUM(TblConstr[[#This Row],[Dest Hom]:[Dest Doc]])*TblConstr[[#This Row],[CPA Platinum -DB]]*tech_3_3_2*TblTech[[#This Row],[3-3]]</f>
        <v>123382</v>
      </c>
      <c r="J44" s="69" t="n">
        <f aca="false">OFFSET(TblProd[[#This Row],[Food]],-1,0)+OFFSET(TblProd[[#This Row],[Food/hr]],-1,0)+ROUNDUP((TblConstr[[#This Row],[Farms]]*80+TblConstr[[#This Row],[Docks]]*35)*(1+OFFSET(TblProd[[#This Row],[Bonus Food/hr]],-1,0)),0)</f>
        <v>622399</v>
      </c>
      <c r="K44" s="69" t="n">
        <f aca="false">OFFSET(TblProd[[#This Row],[Lumber]],-1,0)+OFFSET(TblProd[[#This Row],[Lumber/hr]],-1,0) - TblProd[[#This Row],[Expenses Lumber]] + SUM(TblConstr[[#This Row],[Dest Hom]:[Dest Doc]])*TblConstr[[#This Row],[CPA Lumber -DB]]*tech_3_3_2*TblTech[[#This Row],[3-3]]</f>
        <v>13424</v>
      </c>
      <c r="L44" s="69" t="n">
        <f aca="false">OFFSET(TblProd[[#This Row],[Mana]],-1,0)+OFFSET(TblProd[[#This Row],[Mana/hr]],-1,0)- TblProd[[#This Row],[Expenses Mana]]</f>
        <v>796156.5</v>
      </c>
      <c r="M44" s="69" t="n">
        <f aca="false">OFFSET(TblProd[[#This Row],[Ore]],-1,0)+OFFSET(TblProd[[#This Row],[Ore/hr]],-1,0) -TblProd[[#This Row],[Expenses Ore]]</f>
        <v>-357</v>
      </c>
      <c r="N44" s="69" t="n">
        <f aca="false">OFFSET(TblProd[[#This Row],[Gems]],-1,0)+OFFSET(TblProd[[#This Row],[Gems/hr]],-1,0) - TblProd[[#This Row],[Expenses Gems]]</f>
        <v>-1000</v>
      </c>
      <c r="O44" s="69" t="n">
        <f aca="false">OFFSET(TblProd[[#This Row],[Boats]],-1,0)+OFFSET(TblProd[[#This Row],[Boats/hr]],-1,0)</f>
        <v>4.25</v>
      </c>
      <c r="P44" s="69" t="n">
        <f aca="false">OFFSET(TblProd[[#This Row],[Prestige]],-1,0)</f>
        <v>250</v>
      </c>
      <c r="Q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4" s="69" t="n">
        <f aca="false">MAX(3750,_xlfn.CEILING.MATH(TblProd[[#This Row],[Land]]*2.5+OFFSET(TblTech[[#This Row],[Sum of tech]],-1,0)*150))</f>
        <v>3750</v>
      </c>
      <c r="S44" s="132"/>
      <c r="T44" s="69" t="n">
        <f aca="false">ROUNDDOWN(TblProd[[#This Row],[Raw Plat/hr]]*(1+TblProd[[#This Row],[Bonus Plat/hr]]),0)</f>
        <v>33142</v>
      </c>
      <c r="U44" s="69" t="n">
        <f aca="false">ROUND(TblProd[[#This Row],[Raw Food/hr]]*(1+TblProd[[#This Row],[Bonus Food/hr]])-TblProd[[#This Row],[Food decay]]-TblProd[[#This Row],[Food eaten]],0)</f>
        <v>-7075</v>
      </c>
      <c r="V44" s="69" t="n">
        <f aca="false">ROUND(TblProd[[#This Row],[Raw Lumber/hr]]*(1+TblProd[[#This Row],[Bonus Lumber/hr]])-TblProd[[#This Row],[Lumber rot]],0)</f>
        <v>901</v>
      </c>
      <c r="W44" s="69" t="n">
        <f aca="false">ROUND(TblProd[[#This Row],[Raw Mana/hr]]*(1+TblProd[[#This Row],[Bonus Mana/hr]])-TblProd[[#This Row],[Mana drain]],0)</f>
        <v>-15473</v>
      </c>
      <c r="X44" s="69" t="n">
        <f aca="false">ROUNDDOWN(TblProd[[#This Row],[Raw Ore/hr]]*(1+TblProd[[#This Row],[Bonux Ore/hr]]),0)</f>
        <v>0</v>
      </c>
      <c r="Y44" s="69" t="n">
        <f aca="false">ROUNDDOWN(TblProd[[#This Row],[Raw Gems/hr]]*(1+TblProd[[#This Row],[Bonus Gems/hr]]),0)</f>
        <v>0</v>
      </c>
      <c r="Z44" s="148" t="n">
        <f aca="false">OFFSET(TblConstr[[#This Row],[Tot Doc]],1,0)*dock_boats_hr * (1 + tech_4_1*TblTech[[#This Row],[4-1]])</f>
        <v>0.5</v>
      </c>
      <c r="AA44" s="146"/>
      <c r="AB44" s="69" t="n">
        <f aca="false">TblPop[[#This Row],[Peasants]]*tax*TblPop[[#This Row],[Employment]] + (Construction!AZ45+Construction!BX45)*(alch_plat+(Magic!AM44&gt;0)*alchemist_flame_bonus)</f>
        <v>30129.8</v>
      </c>
      <c r="AC44" s="69" t="n">
        <f aca="false">TblConstr[[#This Row],[Tot Farm]]*farm_food + TblConstr[[#This Row],[Tot Doc]]*dock_food</f>
        <v>840</v>
      </c>
      <c r="AD44" s="69" t="n">
        <f aca="false">TblConstr[[#This Row],[Tot Ly]]*ly_lumber + TblConstr[[#This Row],[Tot Hav]]*fh_lumber</f>
        <v>1150</v>
      </c>
      <c r="AE44" s="69" t="n">
        <f aca="false">OFFSET(TblConstr[[#This Row],[Tot Tow]],1,0)*(tower_mana + tech_4_5*TblTech[[#This Row],[4-5]]) + OFFSET(TblConstr[[#This Row],[Tot WG]],1,0)*wg_mana_prod</f>
        <v>450</v>
      </c>
      <c r="AF44" s="69" t="n">
        <f aca="false">OFFSET(TblConstr[[#This Row],[Tot OM]],1,0)*om_ore+IF(race="Dwarf",ROUNDDOWN(TblMili[[#This Row],[Unit 2]]*0.4,0),)</f>
        <v>0</v>
      </c>
      <c r="AG44" s="69" t="n">
        <f aca="false">OFFSET(TblConstr[[#This Row],[Tot DM]],1,0)*dm_gems</f>
        <v>0</v>
      </c>
      <c r="AH44" s="132"/>
      <c r="AI44" s="149" t="n">
        <f aca="false">MIN(race_platinum_bonus + IF(TblMagic[[#This Row],[Active Alch Frost]]&gt;0,alch_frost_bonus,IF(Magic!AD44&gt;0,midas_bonus)) + TblImps[[#This Row],[Science]] - TblProd[[#This Row],[Guard]]*(0.02 + tech_5_7*TblTech[[#This Row],[5-7]]) + tech_1_5*TblTech[[#This Row],[1-5]] + tech_4_4*TblTech[[#This Row],[4-4]], 0.5)</f>
        <v>0.1</v>
      </c>
      <c r="AJ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4" s="149" t="n">
        <f aca="false">race_lumber_bonus+ IF(TblMagic[[#This Row],[Active Gaia''s Blessing]]&gt;0,gaias_blessing_lumber)+ tech_1_3*TblTech[[#This Row],[1-3]] + tech_1_6*TblTech[[#This Row],[1-6]] + tech_3_3*TblTech[[#This Row],[3-3]]</f>
        <v>-0.1</v>
      </c>
      <c r="AL44" s="149" t="n">
        <f aca="false">race_mana_bonus+ 0 + TblImps[[#This Row],[Towers]] + tech_1_2*TblTech[[#This Row],[1-2]] + tech_3_4*TblTech[[#This Row],[3-4]]</f>
        <v>0</v>
      </c>
      <c r="AM44" s="149" t="n">
        <f aca="false">race_ore_bonus + IF(TblMagic[[#This Row],[Active Miner''s Sight]]&gt;0,miners_sight_bonus,IF(TblMagic[[#This Row],[Active Mining Strength]]&gt;0,mining_strength_bonus)) +  tech_1_6*TblTech[[#This Row],[1-6]]</f>
        <v>0</v>
      </c>
      <c r="AN44" s="149" t="n">
        <f aca="false">race_gem_bonus+ tech_3_2*TblTech[[#This Row],[3-2]] + tech_4_3*TblTech[[#This Row],[4-3]] + tech_6_2*TblTech[[#This Row],[6-2]]</f>
        <v>0.15</v>
      </c>
      <c r="AO44" s="132"/>
      <c r="AP44" s="69" t="n">
        <f aca="false">TblProd[[#This Row],[Food]]*food_decay * (1 + tech_2_1*TblTech[[#This Row],[2-1]] + tech_2_8*TblTech[[#This Row],[2-8]])</f>
        <v>6223.99</v>
      </c>
      <c r="AQ44" s="69" t="n">
        <f aca="false">(1+race_food_consumption)*TblPop[[#This Row],[Total]]*food_per_person*(1+tech_1_10*TblTech[[#This Row],[1-10]]+tech_7_5*TblTech[[#This Row],[7-5]])</f>
        <v>1712.25</v>
      </c>
      <c r="AR44" s="69" t="n">
        <f aca="false">TblProd[[#This Row],[Lumber]]*lumber_rot * (1 + tech_2_1*TblTech[[#This Row],[2-1]] + tech_2_8*TblTech[[#This Row],[2-8]] + tech_5_2*TblTech[[#This Row],[5-2]])</f>
        <v>134.24</v>
      </c>
      <c r="AS44" s="69" t="n">
        <f aca="false">TblProd[[#This Row],[Mana]]*mana_drain * (1 + tech_2_1*TblTech[[#This Row],[2-1]] + tech_2_8*TblTech[[#This Row],[2-8]])</f>
        <v>15923.13</v>
      </c>
      <c r="AT44" s="146"/>
      <c r="AU44" s="69" t="n">
        <f aca="false">TblExplore[[#This Row],[Platinum (2)]]+TblConstr[[#This Row],[Total Plat Cost]]+TblMili[[#This Row],[Plat Cost]]+TblRezone[[#This Row],[Platinum cost]]+TblImps[[#This Row],[P1]]-TblProd[[#This Row],[Bank Plat]]</f>
        <v>30557</v>
      </c>
      <c r="AV44" s="69" t="n">
        <f aca="false">TblConstr[[#This Row],[Total Lum Cost]]+TblImps[[#This Row],[L1]]-TblProd[[#This Row],[Bank Lumber]] + Military!$CL$25*TblMili[[#This Row],[Sec. rec. Cost]]</f>
        <v>2016</v>
      </c>
      <c r="AW44" s="69" t="n">
        <f aca="false">TblMagic[[#This Row],[Mana cost]] + Military!$CL$26*TblMili[[#This Row],[Sec. rec. Cost]]</f>
        <v>0</v>
      </c>
      <c r="AX44" s="69" t="n">
        <f aca="false">Military!$CL$24*TblMili[[#This Row],[Sec. rec. Cost]]+TblImps[[#This Row],[O1]]-TblProd[[#This Row],[Bank Ore]]</f>
        <v>0</v>
      </c>
      <c r="AY44" s="69" t="n">
        <f aca="false">TblImps[[#This Row],[G1]]-TblProd[[#This Row],[Bank Gems]]</f>
        <v>0</v>
      </c>
      <c r="AZ44" s="132"/>
      <c r="BA44" s="33" t="n">
        <f aca="false">IF(TblProd[[#This Row],[Set Guard]]&lt;&gt;"",TblProd[[#This Row],[Set Guard]],OFFSET(TblProd[[#This Row],[Guard]],-1,0))</f>
        <v>0</v>
      </c>
      <c r="BB44" s="145"/>
      <c r="BC44" s="151" t="n">
        <f aca="false">TblProd[[#This Row],[Hour]]</f>
        <v>41</v>
      </c>
      <c r="BD44" s="152" t="n">
        <f aca="false">-TblProd[[#This Row],[Bank Lumber]] / 2 + -TblProd[[#This Row],[Bank Gems]] * 2 + -TblProd[[#This Row],[Bank Ore]] / 2</f>
        <v>0</v>
      </c>
      <c r="BE44" s="152"/>
      <c r="BF44" s="152"/>
      <c r="BG44" s="152"/>
      <c r="BH44" s="153" t="n">
        <f aca="false">TblProd[[#This Row],[Time]]</f>
        <v>45431.4166666667</v>
      </c>
      <c r="BI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J44" s="69" t="n">
        <f aca="false">TblProd[[#This Row],[Platinum]]</f>
        <v>123382</v>
      </c>
      <c r="BK44" s="69" t="n">
        <f aca="false">TblProd[[#This Row],[Food]]</f>
        <v>622399</v>
      </c>
      <c r="BL44" s="69" t="n">
        <f aca="false">TblProd[[#This Row],[Lumber]]</f>
        <v>13424</v>
      </c>
      <c r="BM44" s="69" t="n">
        <f aca="false">TblProd[[#This Row],[Mana]]</f>
        <v>796156.5</v>
      </c>
      <c r="BN44" s="69" t="n">
        <f aca="false">TblProd[[#This Row],[Ore]]</f>
        <v>-357</v>
      </c>
    </row>
    <row r="45" customFormat="false" ht="12.75" hidden="false" customHeight="false" outlineLevel="0" collapsed="false">
      <c r="A45" s="128" t="n">
        <v>42</v>
      </c>
      <c r="B45" s="144" t="n">
        <f aca="false">TblImps[[#This Row],[Time]]</f>
        <v>45431.4583333333</v>
      </c>
      <c r="C45" s="145"/>
      <c r="D45" s="146"/>
      <c r="E45" s="69" t="n">
        <f aca="false">TblConstr[[#This Row],[Land]]</f>
        <v>456</v>
      </c>
      <c r="F45" s="69" t="n">
        <f aca="false">TblPop[[#This Row],[Peasants]]</f>
        <v>7091</v>
      </c>
      <c r="G45" s="69"/>
      <c r="H45" s="69" t="e">
        <f aca="false">TblMili[[#This Row],[Networth (2)]]</f>
        <v>#VALUE!</v>
      </c>
      <c r="I45" s="69" t="n">
        <f aca="false">OFFSET(TblProd[[#This Row],[Platinum]],-1,0)+OFFSET(TblProd[[#This Row],[Plat/hr]],-1,0) - TblProd[[#This Row],[Expenses Platinum]] + IF(TblProd[[#This Row],[Plat Bonus]],TblPop[[#This Row],[Peasants]]*4) + SUM(TblConstr[[#This Row],[Dest Hom]:[Dest Doc]])*TblConstr[[#This Row],[CPA Platinum -DB]]*tech_3_3_2*TblTech[[#This Row],[3-3]]</f>
        <v>155975</v>
      </c>
      <c r="J45" s="69" t="n">
        <f aca="false">OFFSET(TblProd[[#This Row],[Food]],-1,0)+OFFSET(TblProd[[#This Row],[Food/hr]],-1,0)+ROUNDUP((TblConstr[[#This Row],[Farms]]*80+TblConstr[[#This Row],[Docks]]*35)*(1+OFFSET(TblProd[[#This Row],[Bonus Food/hr]],-1,0)),0)</f>
        <v>615750</v>
      </c>
      <c r="K45" s="69" t="n">
        <f aca="false">OFFSET(TblProd[[#This Row],[Lumber]],-1,0)+OFFSET(TblProd[[#This Row],[Lumber/hr]],-1,0) - TblProd[[#This Row],[Expenses Lumber]] + SUM(TblConstr[[#This Row],[Dest Hom]:[Dest Doc]])*TblConstr[[#This Row],[CPA Lumber -DB]]*tech_3_3_2*TblTech[[#This Row],[3-3]]</f>
        <v>17610</v>
      </c>
      <c r="L45" s="69" t="n">
        <f aca="false">OFFSET(TblProd[[#This Row],[Mana]],-1,0)+OFFSET(TblProd[[#This Row],[Mana/hr]],-1,0)- TblProd[[#This Row],[Expenses Mana]]</f>
        <v>780683.5</v>
      </c>
      <c r="M45" s="69" t="n">
        <f aca="false">OFFSET(TblProd[[#This Row],[Ore]],-1,0)+OFFSET(TblProd[[#This Row],[Ore/hr]],-1,0) -TblProd[[#This Row],[Expenses Ore]]</f>
        <v>-357</v>
      </c>
      <c r="N45" s="69" t="n">
        <f aca="false">OFFSET(TblProd[[#This Row],[Gems]],-1,0)+OFFSET(TblProd[[#This Row],[Gems/hr]],-1,0) - TblProd[[#This Row],[Expenses Gems]]</f>
        <v>-1000</v>
      </c>
      <c r="O45" s="69" t="n">
        <f aca="false">OFFSET(TblProd[[#This Row],[Boats]],-1,0)+OFFSET(TblProd[[#This Row],[Boats/hr]],-1,0)</f>
        <v>4.75</v>
      </c>
      <c r="P45" s="69" t="n">
        <f aca="false">OFFSET(TblProd[[#This Row],[Prestige]],-1,0)</f>
        <v>250</v>
      </c>
      <c r="Q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5" s="69" t="n">
        <f aca="false">MAX(3750,_xlfn.CEILING.MATH(TblProd[[#This Row],[Land]]*2.5+OFFSET(TblTech[[#This Row],[Sum of tech]],-1,0)*150))</f>
        <v>3750</v>
      </c>
      <c r="S45" s="132"/>
      <c r="T45" s="69" t="n">
        <f aca="false">ROUNDDOWN(TblProd[[#This Row],[Raw Plat/hr]]*(1+TblProd[[#This Row],[Bonus Plat/hr]]),0)</f>
        <v>34841</v>
      </c>
      <c r="U45" s="69" t="n">
        <f aca="false">ROUND(TblProd[[#This Row],[Raw Food/hr]]*(1+TblProd[[#This Row],[Bonus Food/hr]])-TblProd[[#This Row],[Food decay]]-TblProd[[#This Row],[Food eaten]],0)</f>
        <v>-6646</v>
      </c>
      <c r="V45" s="69" t="n">
        <f aca="false">ROUND(TblProd[[#This Row],[Raw Lumber/hr]]*(1+TblProd[[#This Row],[Bonus Lumber/hr]])-TblProd[[#This Row],[Lumber rot]],0)</f>
        <v>949</v>
      </c>
      <c r="W45" s="69" t="n">
        <f aca="false">ROUND(TblProd[[#This Row],[Raw Mana/hr]]*(1+TblProd[[#This Row],[Bonus Mana/hr]])-TblProd[[#This Row],[Mana drain]],0)</f>
        <v>-15164</v>
      </c>
      <c r="X45" s="69" t="n">
        <f aca="false">ROUNDDOWN(TblProd[[#This Row],[Raw Ore/hr]]*(1+TblProd[[#This Row],[Bonux Ore/hr]]),0)</f>
        <v>0</v>
      </c>
      <c r="Y45" s="69" t="n">
        <f aca="false">ROUNDDOWN(TblProd[[#This Row],[Raw Gems/hr]]*(1+TblProd[[#This Row],[Bonus Gems/hr]]),0)</f>
        <v>0</v>
      </c>
      <c r="Z45" s="148" t="n">
        <f aca="false">OFFSET(TblConstr[[#This Row],[Tot Doc]],1,0)*dock_boats_hr * (1 + tech_4_1*TblTech[[#This Row],[4-1]])</f>
        <v>0.5</v>
      </c>
      <c r="AA45" s="146"/>
      <c r="AB45" s="69" t="n">
        <f aca="false">TblPop[[#This Row],[Peasants]]*tax*TblPop[[#This Row],[Employment]] + (Construction!AZ46+Construction!BX46)*(alch_plat+(Magic!AM45&gt;0)*alchemist_flame_bonus)</f>
        <v>31673.7</v>
      </c>
      <c r="AC45" s="69" t="n">
        <f aca="false">TblConstr[[#This Row],[Tot Farm]]*farm_food + TblConstr[[#This Row],[Tot Doc]]*dock_food</f>
        <v>1280</v>
      </c>
      <c r="AD45" s="69" t="n">
        <f aca="false">TblConstr[[#This Row],[Tot Ly]]*ly_lumber + TblConstr[[#This Row],[Tot Hav]]*fh_lumber</f>
        <v>1250</v>
      </c>
      <c r="AE45" s="69" t="n">
        <f aca="false">OFFSET(TblConstr[[#This Row],[Tot Tow]],1,0)*(tower_mana + tech_4_5*TblTech[[#This Row],[4-5]]) + OFFSET(TblConstr[[#This Row],[Tot WG]],1,0)*wg_mana_prod</f>
        <v>450</v>
      </c>
      <c r="AF45" s="69" t="n">
        <f aca="false">OFFSET(TblConstr[[#This Row],[Tot OM]],1,0)*om_ore+IF(race="Dwarf",ROUNDDOWN(TblMili[[#This Row],[Unit 2]]*0.4,0),)</f>
        <v>0</v>
      </c>
      <c r="AG45" s="69" t="n">
        <f aca="false">OFFSET(TblConstr[[#This Row],[Tot DM]],1,0)*dm_gems</f>
        <v>0</v>
      </c>
      <c r="AH45" s="132"/>
      <c r="AI45" s="149" t="n">
        <f aca="false">MIN(race_platinum_bonus + IF(TblMagic[[#This Row],[Active Alch Frost]]&gt;0,alch_frost_bonus,IF(Magic!AD45&gt;0,midas_bonus)) + TblImps[[#This Row],[Science]] - TblProd[[#This Row],[Guard]]*(0.02 + tech_5_7*TblTech[[#This Row],[5-7]]) + tech_1_5*TblTech[[#This Row],[1-5]] + tech_4_4*TblTech[[#This Row],[4-4]], 0.5)</f>
        <v>0.1</v>
      </c>
      <c r="AJ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5" s="149" t="n">
        <f aca="false">race_lumber_bonus+ IF(TblMagic[[#This Row],[Active Gaia''s Blessing]]&gt;0,gaias_blessing_lumber)+ tech_1_3*TblTech[[#This Row],[1-3]] + tech_1_6*TblTech[[#This Row],[1-6]] + tech_3_3*TblTech[[#This Row],[3-3]]</f>
        <v>-0.1</v>
      </c>
      <c r="AL45" s="149" t="n">
        <f aca="false">race_mana_bonus+ 0 + TblImps[[#This Row],[Towers]] + tech_1_2*TblTech[[#This Row],[1-2]] + tech_3_4*TblTech[[#This Row],[3-4]]</f>
        <v>0</v>
      </c>
      <c r="AM45" s="149" t="n">
        <f aca="false">race_ore_bonus + IF(TblMagic[[#This Row],[Active Miner''s Sight]]&gt;0,miners_sight_bonus,IF(TblMagic[[#This Row],[Active Mining Strength]]&gt;0,mining_strength_bonus)) +  tech_1_6*TblTech[[#This Row],[1-6]]</f>
        <v>0</v>
      </c>
      <c r="AN45" s="149" t="n">
        <f aca="false">race_gem_bonus+ tech_3_2*TblTech[[#This Row],[3-2]] + tech_4_3*TblTech[[#This Row],[4-3]] + tech_6_2*TblTech[[#This Row],[6-2]]</f>
        <v>0.15</v>
      </c>
      <c r="AO45" s="132"/>
      <c r="AP45" s="69" t="n">
        <f aca="false">TblProd[[#This Row],[Food]]*food_decay * (1 + tech_2_1*TblTech[[#This Row],[2-1]] + tech_2_8*TblTech[[#This Row],[2-8]])</f>
        <v>6157.5</v>
      </c>
      <c r="AQ45" s="69" t="n">
        <f aca="false">(1+race_food_consumption)*TblPop[[#This Row],[Total]]*food_per_person*(1+tech_1_10*TblTech[[#This Row],[1-10]]+tech_7_5*TblTech[[#This Row],[7-5]])</f>
        <v>1800.25</v>
      </c>
      <c r="AR45" s="69" t="n">
        <f aca="false">TblProd[[#This Row],[Lumber]]*lumber_rot * (1 + tech_2_1*TblTech[[#This Row],[2-1]] + tech_2_8*TblTech[[#This Row],[2-8]] + tech_5_2*TblTech[[#This Row],[5-2]])</f>
        <v>176.1</v>
      </c>
      <c r="AS45" s="69" t="n">
        <f aca="false">TblProd[[#This Row],[Mana]]*mana_drain * (1 + tech_2_1*TblTech[[#This Row],[2-1]] + tech_2_8*TblTech[[#This Row],[2-8]])</f>
        <v>15613.67</v>
      </c>
      <c r="AT45" s="146"/>
      <c r="AU45" s="69" t="n">
        <f aca="false">TblExplore[[#This Row],[Platinum (2)]]+TblConstr[[#This Row],[Total Plat Cost]]+TblMili[[#This Row],[Plat Cost]]+TblRezone[[#This Row],[Platinum cost]]+TblImps[[#This Row],[P1]]-TblProd[[#This Row],[Bank Plat]]</f>
        <v>549</v>
      </c>
      <c r="AV45" s="69" t="n">
        <f aca="false">TblConstr[[#This Row],[Total Lum Cost]]+TblImps[[#This Row],[L1]]-TblProd[[#This Row],[Bank Lumber]] + Military!$CL$25*TblMili[[#This Row],[Sec. rec. Cost]]</f>
        <v>-3285</v>
      </c>
      <c r="AW45" s="69" t="n">
        <f aca="false">TblMagic[[#This Row],[Mana cost]] + Military!$CL$26*TblMili[[#This Row],[Sec. rec. Cost]]</f>
        <v>0</v>
      </c>
      <c r="AX45" s="69" t="n">
        <f aca="false">Military!$CL$24*TblMili[[#This Row],[Sec. rec. Cost]]+TblImps[[#This Row],[O1]]-TblProd[[#This Row],[Bank Ore]]</f>
        <v>0</v>
      </c>
      <c r="AY45" s="69" t="n">
        <f aca="false">TblImps[[#This Row],[G1]]-TblProd[[#This Row],[Bank Gems]]</f>
        <v>0</v>
      </c>
      <c r="AZ45" s="132"/>
      <c r="BA45" s="33" t="n">
        <f aca="false">IF(TblProd[[#This Row],[Set Guard]]&lt;&gt;"",TblProd[[#This Row],[Set Guard]],OFFSET(TblProd[[#This Row],[Guard]],-1,0))</f>
        <v>0</v>
      </c>
      <c r="BB45" s="145"/>
      <c r="BC45" s="151" t="n">
        <f aca="false">TblProd[[#This Row],[Hour]]</f>
        <v>42</v>
      </c>
      <c r="BD45" s="152" t="n">
        <f aca="false">-TblProd[[#This Row],[Bank Lumber]] / 2 + -TblProd[[#This Row],[Bank Gems]] * 2 + -TblProd[[#This Row],[Bank Ore]] / 2</f>
        <v>0</v>
      </c>
      <c r="BE45" s="152"/>
      <c r="BF45" s="152"/>
      <c r="BG45" s="152"/>
      <c r="BH45" s="153" t="n">
        <f aca="false">TblProd[[#This Row],[Time]]</f>
        <v>45431.4583333333</v>
      </c>
      <c r="BI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J45" s="69" t="n">
        <f aca="false">TblProd[[#This Row],[Platinum]]</f>
        <v>155975</v>
      </c>
      <c r="BK45" s="69" t="n">
        <f aca="false">TblProd[[#This Row],[Food]]</f>
        <v>615750</v>
      </c>
      <c r="BL45" s="69" t="n">
        <f aca="false">TblProd[[#This Row],[Lumber]]</f>
        <v>17610</v>
      </c>
      <c r="BM45" s="69" t="n">
        <f aca="false">TblProd[[#This Row],[Mana]]</f>
        <v>780683.5</v>
      </c>
      <c r="BN45" s="69" t="n">
        <f aca="false">TblProd[[#This Row],[Ore]]</f>
        <v>-357</v>
      </c>
    </row>
    <row r="46" customFormat="false" ht="12.75" hidden="false" customHeight="false" outlineLevel="0" collapsed="false">
      <c r="A46" s="128" t="n">
        <v>43</v>
      </c>
      <c r="B46" s="144" t="n">
        <f aca="false">TblImps[[#This Row],[Time]]</f>
        <v>45431.5</v>
      </c>
      <c r="C46" s="145"/>
      <c r="D46" s="146"/>
      <c r="E46" s="69" t="n">
        <f aca="false">TblConstr[[#This Row],[Land]]</f>
        <v>466</v>
      </c>
      <c r="F46" s="69" t="n">
        <f aca="false">TblPop[[#This Row],[Peasants]]</f>
        <v>7463</v>
      </c>
      <c r="G46" s="69"/>
      <c r="H46" s="69" t="e">
        <f aca="false">TblMili[[#This Row],[Networth (2)]]</f>
        <v>#VALUE!</v>
      </c>
      <c r="I46" s="69" t="n">
        <f aca="false">OFFSET(TblProd[[#This Row],[Platinum]],-1,0)+OFFSET(TblProd[[#This Row],[Plat/hr]],-1,0) - TblProd[[#This Row],[Expenses Platinum]] + IF(TblProd[[#This Row],[Plat Bonus]],TblPop[[#This Row],[Peasants]]*4) + SUM(TblConstr[[#This Row],[Dest Hom]:[Dest Doc]])*TblConstr[[#This Row],[CPA Platinum -DB]]*tech_3_3_2*TblTech[[#This Row],[3-3]]</f>
        <v>196488</v>
      </c>
      <c r="J46" s="69" t="n">
        <f aca="false">OFFSET(TblProd[[#This Row],[Food]],-1,0)+OFFSET(TblProd[[#This Row],[Food/hr]],-1,0)+ROUNDUP((TblConstr[[#This Row],[Farms]]*80+TblConstr[[#This Row],[Docks]]*35)*(1+OFFSET(TblProd[[#This Row],[Bonus Food/hr]],-1,0)),0)</f>
        <v>609104</v>
      </c>
      <c r="K46" s="69" t="n">
        <f aca="false">OFFSET(TblProd[[#This Row],[Lumber]],-1,0)+OFFSET(TblProd[[#This Row],[Lumber/hr]],-1,0) - TblProd[[#This Row],[Expenses Lumber]] + SUM(TblConstr[[#This Row],[Dest Hom]:[Dest Doc]])*TblConstr[[#This Row],[CPA Lumber -DB]]*tech_3_3_2*TblTech[[#This Row],[3-3]]</f>
        <v>21815</v>
      </c>
      <c r="L46" s="69" t="n">
        <f aca="false">OFFSET(TblProd[[#This Row],[Mana]],-1,0)+OFFSET(TblProd[[#This Row],[Mana/hr]],-1,0)- TblProd[[#This Row],[Expenses Mana]]</f>
        <v>765519.5</v>
      </c>
      <c r="M46" s="69" t="n">
        <f aca="false">OFFSET(TblProd[[#This Row],[Ore]],-1,0)+OFFSET(TblProd[[#This Row],[Ore/hr]],-1,0) -TblProd[[#This Row],[Expenses Ore]]</f>
        <v>-357</v>
      </c>
      <c r="N46" s="69" t="n">
        <f aca="false">OFFSET(TblProd[[#This Row],[Gems]],-1,0)+OFFSET(TblProd[[#This Row],[Gems/hr]],-1,0) - TblProd[[#This Row],[Expenses Gems]]</f>
        <v>-1000</v>
      </c>
      <c r="O46" s="69" t="n">
        <f aca="false">OFFSET(TblProd[[#This Row],[Boats]],-1,0)+OFFSET(TblProd[[#This Row],[Boats/hr]],-1,0)</f>
        <v>5.25</v>
      </c>
      <c r="P46" s="69" t="n">
        <f aca="false">OFFSET(TblProd[[#This Row],[Prestige]],-1,0)</f>
        <v>250</v>
      </c>
      <c r="Q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6" s="69" t="n">
        <f aca="false">MAX(3750,_xlfn.CEILING.MATH(TblProd[[#This Row],[Land]]*2.5+OFFSET(TblTech[[#This Row],[Sum of tech]],-1,0)*150))</f>
        <v>3750</v>
      </c>
      <c r="S46" s="132"/>
      <c r="T46" s="69" t="n">
        <f aca="false">ROUNDDOWN(TblProd[[#This Row],[Raw Plat/hr]]*(1+TblProd[[#This Row],[Bonus Plat/hr]]),0)</f>
        <v>36583</v>
      </c>
      <c r="U46" s="69" t="n">
        <f aca="false">ROUND(TblProd[[#This Row],[Raw Food/hr]]*(1+TblProd[[#This Row],[Bonus Food/hr]])-TblProd[[#This Row],[Food decay]]-TblProd[[#This Row],[Food eaten]],0)</f>
        <v>-6678</v>
      </c>
      <c r="V46" s="69" t="n">
        <f aca="false">ROUND(TblProd[[#This Row],[Raw Lumber/hr]]*(1+TblProd[[#This Row],[Bonus Lumber/hr]])-TblProd[[#This Row],[Lumber rot]],0)</f>
        <v>907</v>
      </c>
      <c r="W46" s="69" t="n">
        <f aca="false">ROUND(TblProd[[#This Row],[Raw Mana/hr]]*(1+TblProd[[#This Row],[Bonus Mana/hr]])-TblProd[[#This Row],[Mana drain]],0)</f>
        <v>-14835</v>
      </c>
      <c r="X46" s="69" t="n">
        <f aca="false">ROUNDDOWN(TblProd[[#This Row],[Raw Ore/hr]]*(1+TblProd[[#This Row],[Bonux Ore/hr]]),0)</f>
        <v>0</v>
      </c>
      <c r="Y46" s="69" t="n">
        <f aca="false">ROUNDDOWN(TblProd[[#This Row],[Raw Gems/hr]]*(1+TblProd[[#This Row],[Bonus Gems/hr]]),0)</f>
        <v>0</v>
      </c>
      <c r="Z46" s="148" t="n">
        <f aca="false">OFFSET(TblConstr[[#This Row],[Tot Doc]],1,0)*dock_boats_hr * (1 + tech_4_1*TblTech[[#This Row],[4-1]])</f>
        <v>0.5</v>
      </c>
      <c r="AA46" s="146"/>
      <c r="AB46" s="69" t="n">
        <f aca="false">TblPop[[#This Row],[Peasants]]*tax*TblPop[[#This Row],[Employment]] + (Construction!AZ47+Construction!BX47)*(alch_plat+(Magic!AM46&gt;0)*alchemist_flame_bonus)</f>
        <v>33258.1</v>
      </c>
      <c r="AC46" s="69" t="n">
        <f aca="false">TblConstr[[#This Row],[Tot Farm]]*farm_food + TblConstr[[#This Row],[Tot Doc]]*dock_food</f>
        <v>1280</v>
      </c>
      <c r="AD46" s="69" t="n">
        <f aca="false">TblConstr[[#This Row],[Tot Ly]]*ly_lumber + TblConstr[[#This Row],[Tot Hav]]*fh_lumber</f>
        <v>1250</v>
      </c>
      <c r="AE46" s="69" t="n">
        <f aca="false">OFFSET(TblConstr[[#This Row],[Tot Tow]],1,0)*(tower_mana + tech_4_5*TblTech[[#This Row],[4-5]]) + OFFSET(TblConstr[[#This Row],[Tot WG]],1,0)*wg_mana_prod</f>
        <v>475</v>
      </c>
      <c r="AF46" s="69" t="n">
        <f aca="false">OFFSET(TblConstr[[#This Row],[Tot OM]],1,0)*om_ore+IF(race="Dwarf",ROUNDDOWN(TblMili[[#This Row],[Unit 2]]*0.4,0),)</f>
        <v>0</v>
      </c>
      <c r="AG46" s="69" t="n">
        <f aca="false">OFFSET(TblConstr[[#This Row],[Tot DM]],1,0)*dm_gems</f>
        <v>0</v>
      </c>
      <c r="AH46" s="132"/>
      <c r="AI46" s="149" t="n">
        <f aca="false">MIN(race_platinum_bonus + IF(TblMagic[[#This Row],[Active Alch Frost]]&gt;0,alch_frost_bonus,IF(Magic!AD46&gt;0,midas_bonus)) + TblImps[[#This Row],[Science]] - TblProd[[#This Row],[Guard]]*(0.02 + tech_5_7*TblTech[[#This Row],[5-7]]) + tech_1_5*TblTech[[#This Row],[1-5]] + tech_4_4*TblTech[[#This Row],[4-4]], 0.5)</f>
        <v>0.1</v>
      </c>
      <c r="AJ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6" s="149" t="n">
        <f aca="false">race_lumber_bonus+ IF(TblMagic[[#This Row],[Active Gaia''s Blessing]]&gt;0,gaias_blessing_lumber)+ tech_1_3*TblTech[[#This Row],[1-3]] + tech_1_6*TblTech[[#This Row],[1-6]] + tech_3_3*TblTech[[#This Row],[3-3]]</f>
        <v>-0.1</v>
      </c>
      <c r="AL46" s="149" t="n">
        <f aca="false">race_mana_bonus+ 0 + TblImps[[#This Row],[Towers]] + tech_1_2*TblTech[[#This Row],[1-2]] + tech_3_4*TblTech[[#This Row],[3-4]]</f>
        <v>0</v>
      </c>
      <c r="AM46" s="149" t="n">
        <f aca="false">race_ore_bonus + IF(TblMagic[[#This Row],[Active Miner''s Sight]]&gt;0,miners_sight_bonus,IF(TblMagic[[#This Row],[Active Mining Strength]]&gt;0,mining_strength_bonus)) +  tech_1_6*TblTech[[#This Row],[1-6]]</f>
        <v>0</v>
      </c>
      <c r="AN46" s="149" t="n">
        <f aca="false">race_gem_bonus+ tech_3_2*TblTech[[#This Row],[3-2]] + tech_4_3*TblTech[[#This Row],[4-3]] + tech_6_2*TblTech[[#This Row],[6-2]]</f>
        <v>0.15</v>
      </c>
      <c r="AO46" s="132"/>
      <c r="AP46" s="69" t="n">
        <f aca="false">TblProd[[#This Row],[Food]]*food_decay * (1 + tech_2_1*TblTech[[#This Row],[2-1]] + tech_2_8*TblTech[[#This Row],[2-8]])</f>
        <v>6091.04</v>
      </c>
      <c r="AQ46" s="69" t="n">
        <f aca="false">(1+race_food_consumption)*TblPop[[#This Row],[Total]]*food_per_person*(1+tech_1_10*TblTech[[#This Row],[1-10]]+tech_7_5*TblTech[[#This Row],[7-5]])</f>
        <v>1899</v>
      </c>
      <c r="AR46" s="69" t="n">
        <f aca="false">TblProd[[#This Row],[Lumber]]*lumber_rot * (1 + tech_2_1*TblTech[[#This Row],[2-1]] + tech_2_8*TblTech[[#This Row],[2-8]] + tech_5_2*TblTech[[#This Row],[5-2]])</f>
        <v>218.15</v>
      </c>
      <c r="AS46" s="69" t="n">
        <f aca="false">TblProd[[#This Row],[Mana]]*mana_drain * (1 + tech_2_1*TblTech[[#This Row],[2-1]] + tech_2_8*TblTech[[#This Row],[2-8]])</f>
        <v>15310.39</v>
      </c>
      <c r="AT46" s="146"/>
      <c r="AU46" s="69" t="n">
        <f aca="false">TblExplore[[#This Row],[Platinum (2)]]+TblConstr[[#This Row],[Total Plat Cost]]+TblMili[[#This Row],[Plat Cost]]+TblRezone[[#This Row],[Platinum cost]]+TblImps[[#This Row],[P1]]-TblProd[[#This Row],[Bank Plat]]</f>
        <v>-5672</v>
      </c>
      <c r="AV46" s="69" t="n">
        <f aca="false">TblConstr[[#This Row],[Total Lum Cost]]+TblImps[[#This Row],[L1]]-TblProd[[#This Row],[Bank Lumber]] + Military!$CL$25*TblMili[[#This Row],[Sec. rec. Cost]]</f>
        <v>-3256</v>
      </c>
      <c r="AW46" s="69" t="n">
        <f aca="false">TblMagic[[#This Row],[Mana cost]] + Military!$CL$26*TblMili[[#This Row],[Sec. rec. Cost]]</f>
        <v>0</v>
      </c>
      <c r="AX46" s="69" t="n">
        <f aca="false">Military!$CL$24*TblMili[[#This Row],[Sec. rec. Cost]]+TblImps[[#This Row],[O1]]-TblProd[[#This Row],[Bank Ore]]</f>
        <v>0</v>
      </c>
      <c r="AY46" s="69" t="n">
        <f aca="false">TblImps[[#This Row],[G1]]-TblProd[[#This Row],[Bank Gems]]</f>
        <v>0</v>
      </c>
      <c r="AZ46" s="132"/>
      <c r="BA46" s="33" t="n">
        <f aca="false">IF(TblProd[[#This Row],[Set Guard]]&lt;&gt;"",TblProd[[#This Row],[Set Guard]],OFFSET(TblProd[[#This Row],[Guard]],-1,0))</f>
        <v>0</v>
      </c>
      <c r="BB46" s="145"/>
      <c r="BC46" s="151" t="n">
        <f aca="false">TblProd[[#This Row],[Hour]]</f>
        <v>43</v>
      </c>
      <c r="BD46" s="152" t="n">
        <f aca="false">-TblProd[[#This Row],[Bank Lumber]] / 2 + -TblProd[[#This Row],[Bank Gems]] * 2 + -TblProd[[#This Row],[Bank Ore]] / 2</f>
        <v>0</v>
      </c>
      <c r="BE46" s="152"/>
      <c r="BF46" s="152"/>
      <c r="BG46" s="152"/>
      <c r="BH46" s="153" t="n">
        <f aca="false">TblProd[[#This Row],[Time]]</f>
        <v>45431.5</v>
      </c>
      <c r="BI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J46" s="69" t="n">
        <f aca="false">TblProd[[#This Row],[Platinum]]</f>
        <v>196488</v>
      </c>
      <c r="BK46" s="69" t="n">
        <f aca="false">TblProd[[#This Row],[Food]]</f>
        <v>609104</v>
      </c>
      <c r="BL46" s="69" t="n">
        <f aca="false">TblProd[[#This Row],[Lumber]]</f>
        <v>21815</v>
      </c>
      <c r="BM46" s="69" t="n">
        <f aca="false">TblProd[[#This Row],[Mana]]</f>
        <v>765519.5</v>
      </c>
      <c r="BN46" s="69" t="n">
        <f aca="false">TblProd[[#This Row],[Ore]]</f>
        <v>-357</v>
      </c>
    </row>
    <row r="47" customFormat="false" ht="12.75" hidden="false" customHeight="false" outlineLevel="0" collapsed="false">
      <c r="A47" s="128" t="n">
        <v>44</v>
      </c>
      <c r="B47" s="144" t="n">
        <f aca="false">TblImps[[#This Row],[Time]]</f>
        <v>45431.5416666667</v>
      </c>
      <c r="C47" s="145"/>
      <c r="D47" s="146"/>
      <c r="E47" s="69" t="n">
        <f aca="false">TblConstr[[#This Row],[Land]]</f>
        <v>476</v>
      </c>
      <c r="F47" s="69" t="n">
        <f aca="false">TblPop[[#This Row],[Peasants]]</f>
        <v>7852</v>
      </c>
      <c r="G47" s="69"/>
      <c r="H47" s="69" t="e">
        <f aca="false">TblMili[[#This Row],[Networth (2)]]</f>
        <v>#VALUE!</v>
      </c>
      <c r="I47" s="69" t="n">
        <f aca="false">OFFSET(TblProd[[#This Row],[Platinum]],-1,0)+OFFSET(TblProd[[#This Row],[Plat/hr]],-1,0) - TblProd[[#This Row],[Expenses Platinum]] + IF(TblProd[[#This Row],[Plat Bonus]],TblPop[[#This Row],[Peasants]]*4) + SUM(TblConstr[[#This Row],[Dest Hom]:[Dest Doc]])*TblConstr[[#This Row],[CPA Platinum -DB]]*tech_3_3_2*TblTech[[#This Row],[3-3]]</f>
        <v>253003</v>
      </c>
      <c r="J47" s="69" t="n">
        <f aca="false">OFFSET(TblProd[[#This Row],[Food]],-1,0)+OFFSET(TblProd[[#This Row],[Food/hr]],-1,0)+ROUNDUP((TblConstr[[#This Row],[Farms]]*80+TblConstr[[#This Row],[Docks]]*35)*(1+OFFSET(TblProd[[#This Row],[Bonus Food/hr]],-1,0)),0)</f>
        <v>602426</v>
      </c>
      <c r="K47" s="69" t="n">
        <f aca="false">OFFSET(TblProd[[#This Row],[Lumber]],-1,0)+OFFSET(TblProd[[#This Row],[Lumber/hr]],-1,0) - TblProd[[#This Row],[Expenses Lumber]] + SUM(TblConstr[[#This Row],[Dest Hom]:[Dest Doc]])*TblConstr[[#This Row],[CPA Lumber -DB]]*tech_3_3_2*TblTech[[#This Row],[3-3]]</f>
        <v>26066</v>
      </c>
      <c r="L47" s="69" t="n">
        <f aca="false">OFFSET(TblProd[[#This Row],[Mana]],-1,0)+OFFSET(TblProd[[#This Row],[Mana/hr]],-1,0)- TblProd[[#This Row],[Expenses Mana]]</f>
        <v>750684.5</v>
      </c>
      <c r="M47" s="69" t="n">
        <f aca="false">OFFSET(TblProd[[#This Row],[Ore]],-1,0)+OFFSET(TblProd[[#This Row],[Ore/hr]],-1,0) -TblProd[[#This Row],[Expenses Ore]]</f>
        <v>-357</v>
      </c>
      <c r="N47" s="69" t="n">
        <f aca="false">OFFSET(TblProd[[#This Row],[Gems]],-1,0)+OFFSET(TblProd[[#This Row],[Gems/hr]],-1,0) - TblProd[[#This Row],[Expenses Gems]]</f>
        <v>-1000</v>
      </c>
      <c r="O47" s="69" t="n">
        <f aca="false">OFFSET(TblProd[[#This Row],[Boats]],-1,0)+OFFSET(TblProd[[#This Row],[Boats/hr]],-1,0)</f>
        <v>5.75</v>
      </c>
      <c r="P47" s="69" t="n">
        <f aca="false">OFFSET(TblProd[[#This Row],[Prestige]],-1,0)</f>
        <v>250</v>
      </c>
      <c r="Q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7" s="69" t="n">
        <f aca="false">MAX(3750,_xlfn.CEILING.MATH(TblProd[[#This Row],[Land]]*2.5+OFFSET(TblTech[[#This Row],[Sum of tech]],-1,0)*150))</f>
        <v>3750</v>
      </c>
      <c r="S47" s="132"/>
      <c r="T47" s="69" t="n">
        <f aca="false">ROUNDDOWN(TblProd[[#This Row],[Raw Plat/hr]]*(1+TblProd[[#This Row],[Bonus Plat/hr]]),0)</f>
        <v>37739</v>
      </c>
      <c r="U47" s="69" t="n">
        <f aca="false">ROUND(TblProd[[#This Row],[Raw Food/hr]]*(1+TblProd[[#This Row],[Bonus Food/hr]])-TblProd[[#This Row],[Food decay]]-TblProd[[#This Row],[Food eaten]],0)</f>
        <v>-6727</v>
      </c>
      <c r="V47" s="69" t="n">
        <f aca="false">ROUND(TblProd[[#This Row],[Raw Lumber/hr]]*(1+TblProd[[#This Row],[Bonus Lumber/hr]])-TblProd[[#This Row],[Lumber rot]],0)</f>
        <v>864</v>
      </c>
      <c r="W47" s="69" t="n">
        <f aca="false">ROUND(TblProd[[#This Row],[Raw Mana/hr]]*(1+TblProd[[#This Row],[Bonus Mana/hr]])-TblProd[[#This Row],[Mana drain]],0)</f>
        <v>-14389</v>
      </c>
      <c r="X47" s="69" t="n">
        <f aca="false">ROUNDDOWN(TblProd[[#This Row],[Raw Ore/hr]]*(1+TblProd[[#This Row],[Bonux Ore/hr]]),0)</f>
        <v>0</v>
      </c>
      <c r="Y47" s="69" t="n">
        <f aca="false">ROUNDDOWN(TblProd[[#This Row],[Raw Gems/hr]]*(1+TblProd[[#This Row],[Bonus Gems/hr]]),0)</f>
        <v>0</v>
      </c>
      <c r="Z47" s="148" t="n">
        <f aca="false">OFFSET(TblConstr[[#This Row],[Tot Doc]],1,0)*dock_boats_hr * (1 + tech_4_1*TblTech[[#This Row],[4-1]])</f>
        <v>0.5</v>
      </c>
      <c r="AA47" s="146"/>
      <c r="AB47" s="69" t="n">
        <f aca="false">TblPop[[#This Row],[Peasants]]*tax*TblPop[[#This Row],[Employment]] + (Construction!AZ48+Construction!BX48)*(alch_plat+(Magic!AM47&gt;0)*alchemist_flame_bonus)</f>
        <v>34308.4</v>
      </c>
      <c r="AC47" s="69" t="n">
        <f aca="false">TblConstr[[#This Row],[Tot Farm]]*farm_food + TblConstr[[#This Row],[Tot Doc]]*dock_food</f>
        <v>1280</v>
      </c>
      <c r="AD47" s="69" t="n">
        <f aca="false">TblConstr[[#This Row],[Tot Ly]]*ly_lumber + TblConstr[[#This Row],[Tot Hav]]*fh_lumber</f>
        <v>1250</v>
      </c>
      <c r="AE47" s="69" t="n">
        <f aca="false">OFFSET(TblConstr[[#This Row],[Tot Tow]],1,0)*(tower_mana + tech_4_5*TblTech[[#This Row],[4-5]]) + OFFSET(TblConstr[[#This Row],[Tot WG]],1,0)*wg_mana_prod</f>
        <v>625</v>
      </c>
      <c r="AF47" s="69" t="n">
        <f aca="false">OFFSET(TblConstr[[#This Row],[Tot OM]],1,0)*om_ore+IF(race="Dwarf",ROUNDDOWN(TblMili[[#This Row],[Unit 2]]*0.4,0),)</f>
        <v>0</v>
      </c>
      <c r="AG47" s="69" t="n">
        <f aca="false">OFFSET(TblConstr[[#This Row],[Tot DM]],1,0)*dm_gems</f>
        <v>0</v>
      </c>
      <c r="AH47" s="132"/>
      <c r="AI47" s="149" t="n">
        <f aca="false">MIN(race_platinum_bonus + IF(TblMagic[[#This Row],[Active Alch Frost]]&gt;0,alch_frost_bonus,IF(Magic!AD47&gt;0,midas_bonus)) + TblImps[[#This Row],[Science]] - TblProd[[#This Row],[Guard]]*(0.02 + tech_5_7*TblTech[[#This Row],[5-7]]) + tech_1_5*TblTech[[#This Row],[1-5]] + tech_4_4*TblTech[[#This Row],[4-4]], 0.5)</f>
        <v>0.1</v>
      </c>
      <c r="AJ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7" s="149" t="n">
        <f aca="false">race_lumber_bonus+ IF(TblMagic[[#This Row],[Active Gaia''s Blessing]]&gt;0,gaias_blessing_lumber)+ tech_1_3*TblTech[[#This Row],[1-3]] + tech_1_6*TblTech[[#This Row],[1-6]] + tech_3_3*TblTech[[#This Row],[3-3]]</f>
        <v>-0.1</v>
      </c>
      <c r="AL47" s="149" t="n">
        <f aca="false">race_mana_bonus+ 0 + TblImps[[#This Row],[Towers]] + tech_1_2*TblTech[[#This Row],[1-2]] + tech_3_4*TblTech[[#This Row],[3-4]]</f>
        <v>0</v>
      </c>
      <c r="AM47" s="149" t="n">
        <f aca="false">race_ore_bonus + IF(TblMagic[[#This Row],[Active Miner''s Sight]]&gt;0,miners_sight_bonus,IF(TblMagic[[#This Row],[Active Mining Strength]]&gt;0,mining_strength_bonus)) +  tech_1_6*TblTech[[#This Row],[1-6]]</f>
        <v>0</v>
      </c>
      <c r="AN47" s="149" t="n">
        <f aca="false">race_gem_bonus+ tech_3_2*TblTech[[#This Row],[3-2]] + tech_4_3*TblTech[[#This Row],[4-3]] + tech_6_2*TblTech[[#This Row],[6-2]]</f>
        <v>0.15</v>
      </c>
      <c r="AO47" s="132"/>
      <c r="AP47" s="69" t="n">
        <f aca="false">TblProd[[#This Row],[Food]]*food_decay * (1 + tech_2_1*TblTech[[#This Row],[2-1]] + tech_2_8*TblTech[[#This Row],[2-8]])</f>
        <v>6024.26</v>
      </c>
      <c r="AQ47" s="69" t="n">
        <f aca="false">(1+race_food_consumption)*TblPop[[#This Row],[Total]]*food_per_person*(1+tech_1_10*TblTech[[#This Row],[1-10]]+tech_7_5*TblTech[[#This Row],[7-5]])</f>
        <v>2015</v>
      </c>
      <c r="AR47" s="69" t="n">
        <f aca="false">TblProd[[#This Row],[Lumber]]*lumber_rot * (1 + tech_2_1*TblTech[[#This Row],[2-1]] + tech_2_8*TblTech[[#This Row],[2-8]] + tech_5_2*TblTech[[#This Row],[5-2]])</f>
        <v>260.66</v>
      </c>
      <c r="AS47" s="69" t="n">
        <f aca="false">TblProd[[#This Row],[Mana]]*mana_drain * (1 + tech_2_1*TblTech[[#This Row],[2-1]] + tech_2_8*TblTech[[#This Row],[2-8]])</f>
        <v>15013.69</v>
      </c>
      <c r="AT47" s="146"/>
      <c r="AU47" s="69" t="n">
        <f aca="false">TblExplore[[#This Row],[Platinum (2)]]+TblConstr[[#This Row],[Total Plat Cost]]+TblMili[[#This Row],[Plat Cost]]+TblRezone[[#This Row],[Platinum cost]]+TblImps[[#This Row],[P1]]-TblProd[[#This Row],[Bank Plat]]</f>
        <v>-19932</v>
      </c>
      <c r="AV47" s="69" t="n">
        <f aca="false">TblConstr[[#This Row],[Total Lum Cost]]+TblImps[[#This Row],[L1]]-TblProd[[#This Row],[Bank Lumber]] + Military!$CL$25*TblMili[[#This Row],[Sec. rec. Cost]]</f>
        <v>-3344</v>
      </c>
      <c r="AW47" s="69" t="n">
        <f aca="false">TblMagic[[#This Row],[Mana cost]] + Military!$CL$26*TblMili[[#This Row],[Sec. rec. Cost]]</f>
        <v>0</v>
      </c>
      <c r="AX47" s="69" t="n">
        <f aca="false">Military!$CL$24*TblMili[[#This Row],[Sec. rec. Cost]]+TblImps[[#This Row],[O1]]-TblProd[[#This Row],[Bank Ore]]</f>
        <v>0</v>
      </c>
      <c r="AY47" s="69" t="n">
        <f aca="false">TblImps[[#This Row],[G1]]-TblProd[[#This Row],[Bank Gems]]</f>
        <v>0</v>
      </c>
      <c r="AZ47" s="132"/>
      <c r="BA47" s="33" t="n">
        <f aca="false">IF(TblProd[[#This Row],[Set Guard]]&lt;&gt;"",TblProd[[#This Row],[Set Guard]],OFFSET(TblProd[[#This Row],[Guard]],-1,0))</f>
        <v>0</v>
      </c>
      <c r="BB47" s="145"/>
      <c r="BC47" s="151" t="n">
        <f aca="false">TblProd[[#This Row],[Hour]]</f>
        <v>44</v>
      </c>
      <c r="BD47" s="152" t="n">
        <f aca="false">-TblProd[[#This Row],[Bank Lumber]] / 2 + -TblProd[[#This Row],[Bank Gems]] * 2 + -TblProd[[#This Row],[Bank Ore]] / 2</f>
        <v>0</v>
      </c>
      <c r="BE47" s="152"/>
      <c r="BF47" s="152"/>
      <c r="BG47" s="152"/>
      <c r="BH47" s="153" t="n">
        <f aca="false">TblProd[[#This Row],[Time]]</f>
        <v>45431.5416666667</v>
      </c>
      <c r="BI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J47" s="69" t="n">
        <f aca="false">TblProd[[#This Row],[Platinum]]</f>
        <v>253003</v>
      </c>
      <c r="BK47" s="69" t="n">
        <f aca="false">TblProd[[#This Row],[Food]]</f>
        <v>602426</v>
      </c>
      <c r="BL47" s="69" t="n">
        <f aca="false">TblProd[[#This Row],[Lumber]]</f>
        <v>26066</v>
      </c>
      <c r="BM47" s="69" t="n">
        <f aca="false">TblProd[[#This Row],[Mana]]</f>
        <v>750684.5</v>
      </c>
      <c r="BN47" s="69" t="n">
        <f aca="false">TblProd[[#This Row],[Ore]]</f>
        <v>-357</v>
      </c>
    </row>
    <row r="48" customFormat="false" ht="12.75" hidden="false" customHeight="false" outlineLevel="0" collapsed="false">
      <c r="A48" s="128" t="n">
        <v>45</v>
      </c>
      <c r="B48" s="144" t="n">
        <f aca="false">TblImps[[#This Row],[Time]]</f>
        <v>45431.5833333333</v>
      </c>
      <c r="C48" s="145"/>
      <c r="D48" s="146"/>
      <c r="E48" s="69" t="n">
        <f aca="false">TblConstr[[#This Row],[Land]]</f>
        <v>486</v>
      </c>
      <c r="F48" s="69" t="n">
        <f aca="false">TblPop[[#This Row],[Peasants]]</f>
        <v>8032</v>
      </c>
      <c r="G48" s="69"/>
      <c r="H48" s="69" t="e">
        <f aca="false">TblMili[[#This Row],[Networth (2)]]</f>
        <v>#VALUE!</v>
      </c>
      <c r="I48" s="69" t="n">
        <f aca="false">OFFSET(TblProd[[#This Row],[Platinum]],-1,0)+OFFSET(TblProd[[#This Row],[Plat/hr]],-1,0) - TblProd[[#This Row],[Expenses Platinum]] + IF(TblProd[[#This Row],[Plat Bonus]],TblPop[[#This Row],[Peasants]]*4) + SUM(TblConstr[[#This Row],[Dest Hom]:[Dest Doc]])*TblConstr[[#This Row],[CPA Platinum -DB]]*tech_3_3_2*TblTech[[#This Row],[3-3]]</f>
        <v>310894</v>
      </c>
      <c r="J48" s="69" t="n">
        <f aca="false">OFFSET(TblProd[[#This Row],[Food]],-1,0)+OFFSET(TblProd[[#This Row],[Food/hr]],-1,0)+ROUNDUP((TblConstr[[#This Row],[Farms]]*80+TblConstr[[#This Row],[Docks]]*35)*(1+OFFSET(TblProd[[#This Row],[Bonus Food/hr]],-1,0)),0)</f>
        <v>596109</v>
      </c>
      <c r="K48" s="69" t="n">
        <f aca="false">OFFSET(TblProd[[#This Row],[Lumber]],-1,0)+OFFSET(TblProd[[#This Row],[Lumber/hr]],-1,0) - TblProd[[#This Row],[Expenses Lumber]] + SUM(TblConstr[[#This Row],[Dest Hom]:[Dest Doc]])*TblConstr[[#This Row],[CPA Lumber -DB]]*tech_3_3_2*TblTech[[#This Row],[3-3]]</f>
        <v>30318</v>
      </c>
      <c r="L48" s="69" t="n">
        <f aca="false">OFFSET(TblProd[[#This Row],[Mana]],-1,0)+OFFSET(TblProd[[#This Row],[Mana/hr]],-1,0)- TblProd[[#This Row],[Expenses Mana]]</f>
        <v>736295.5</v>
      </c>
      <c r="M48" s="69" t="n">
        <f aca="false">OFFSET(TblProd[[#This Row],[Ore]],-1,0)+OFFSET(TblProd[[#This Row],[Ore/hr]],-1,0) -TblProd[[#This Row],[Expenses Ore]]</f>
        <v>-357</v>
      </c>
      <c r="N48" s="69" t="n">
        <f aca="false">OFFSET(TblProd[[#This Row],[Gems]],-1,0)+OFFSET(TblProd[[#This Row],[Gems/hr]],-1,0) - TblProd[[#This Row],[Expenses Gems]]</f>
        <v>-1000</v>
      </c>
      <c r="O48" s="69" t="n">
        <f aca="false">OFFSET(TblProd[[#This Row],[Boats]],-1,0)+OFFSET(TblProd[[#This Row],[Boats/hr]],-1,0)</f>
        <v>6.25</v>
      </c>
      <c r="P48" s="69" t="n">
        <f aca="false">OFFSET(TblProd[[#This Row],[Prestige]],-1,0)</f>
        <v>250</v>
      </c>
      <c r="Q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8" s="69" t="n">
        <f aca="false">MAX(3750,_xlfn.CEILING.MATH(TblProd[[#This Row],[Land]]*2.5+OFFSET(TblTech[[#This Row],[Sum of tech]],-1,0)*150))</f>
        <v>3750</v>
      </c>
      <c r="S48" s="132"/>
      <c r="T48" s="69" t="n">
        <f aca="false">ROUNDDOWN(TblProd[[#This Row],[Raw Plat/hr]]*(1+TblProd[[#This Row],[Bonus Plat/hr]]),0)</f>
        <v>38273</v>
      </c>
      <c r="U48" s="69" t="n">
        <f aca="false">ROUND(TblProd[[#This Row],[Raw Food/hr]]*(1+TblProd[[#This Row],[Bonus Food/hr]])-TblProd[[#This Row],[Food decay]]-TblProd[[#This Row],[Food eaten]],0)</f>
        <v>-6319</v>
      </c>
      <c r="V48" s="69" t="n">
        <f aca="false">ROUND(TblProd[[#This Row],[Raw Lumber/hr]]*(1+TblProd[[#This Row],[Bonus Lumber/hr]])-TblProd[[#This Row],[Lumber rot]],0)</f>
        <v>822</v>
      </c>
      <c r="W48" s="69" t="n">
        <f aca="false">ROUND(TblProd[[#This Row],[Raw Mana/hr]]*(1+TblProd[[#This Row],[Bonus Mana/hr]])-TblProd[[#This Row],[Mana drain]],0)</f>
        <v>-14101</v>
      </c>
      <c r="X48" s="69" t="n">
        <f aca="false">ROUNDDOWN(TblProd[[#This Row],[Raw Ore/hr]]*(1+TblProd[[#This Row],[Bonux Ore/hr]]),0)</f>
        <v>0</v>
      </c>
      <c r="Y48" s="69" t="n">
        <f aca="false">ROUNDDOWN(TblProd[[#This Row],[Raw Gems/hr]]*(1+TblProd[[#This Row],[Bonus Gems/hr]]),0)</f>
        <v>0</v>
      </c>
      <c r="Z48" s="148" t="n">
        <f aca="false">OFFSET(TblConstr[[#This Row],[Tot Doc]],1,0)*dock_boats_hr * (1 + tech_4_1*TblTech[[#This Row],[4-1]])</f>
        <v>0.5</v>
      </c>
      <c r="AA48" s="146"/>
      <c r="AB48" s="69" t="n">
        <f aca="false">TblPop[[#This Row],[Peasants]]*tax*TblPop[[#This Row],[Employment]] + (Construction!AZ49+Construction!BX49)*(alch_plat+(Magic!AM48&gt;0)*alchemist_flame_bonus)</f>
        <v>34794.4</v>
      </c>
      <c r="AC48" s="69" t="n">
        <f aca="false">TblConstr[[#This Row],[Tot Farm]]*farm_food + TblConstr[[#This Row],[Tot Doc]]*dock_food</f>
        <v>1680</v>
      </c>
      <c r="AD48" s="69" t="n">
        <f aca="false">TblConstr[[#This Row],[Tot Ly]]*ly_lumber + TblConstr[[#This Row],[Tot Hav]]*fh_lumber</f>
        <v>1250</v>
      </c>
      <c r="AE48" s="69" t="n">
        <f aca="false">OFFSET(TblConstr[[#This Row],[Tot Tow]],1,0)*(tower_mana + tech_4_5*TblTech[[#This Row],[4-5]]) + OFFSET(TblConstr[[#This Row],[Tot WG]],1,0)*wg_mana_prod</f>
        <v>625</v>
      </c>
      <c r="AF48" s="69" t="n">
        <f aca="false">OFFSET(TblConstr[[#This Row],[Tot OM]],1,0)*om_ore+IF(race="Dwarf",ROUNDDOWN(TblMili[[#This Row],[Unit 2]]*0.4,0),)</f>
        <v>0</v>
      </c>
      <c r="AG48" s="69" t="n">
        <f aca="false">OFFSET(TblConstr[[#This Row],[Tot DM]],1,0)*dm_gems</f>
        <v>0</v>
      </c>
      <c r="AH48" s="132"/>
      <c r="AI48" s="149" t="n">
        <f aca="false">MIN(race_platinum_bonus + IF(TblMagic[[#This Row],[Active Alch Frost]]&gt;0,alch_frost_bonus,IF(Magic!AD48&gt;0,midas_bonus)) + TblImps[[#This Row],[Science]] - TblProd[[#This Row],[Guard]]*(0.02 + tech_5_7*TblTech[[#This Row],[5-7]]) + tech_1_5*TblTech[[#This Row],[1-5]] + tech_4_4*TblTech[[#This Row],[4-4]], 0.5)</f>
        <v>0.1</v>
      </c>
      <c r="AJ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8" s="149" t="n">
        <f aca="false">race_lumber_bonus+ IF(TblMagic[[#This Row],[Active Gaia''s Blessing]]&gt;0,gaias_blessing_lumber)+ tech_1_3*TblTech[[#This Row],[1-3]] + tech_1_6*TblTech[[#This Row],[1-6]] + tech_3_3*TblTech[[#This Row],[3-3]]</f>
        <v>-0.1</v>
      </c>
      <c r="AL48" s="149" t="n">
        <f aca="false">race_mana_bonus+ 0 + TblImps[[#This Row],[Towers]] + tech_1_2*TblTech[[#This Row],[1-2]] + tech_3_4*TblTech[[#This Row],[3-4]]</f>
        <v>0</v>
      </c>
      <c r="AM48" s="149" t="n">
        <f aca="false">race_ore_bonus + IF(TblMagic[[#This Row],[Active Miner''s Sight]]&gt;0,miners_sight_bonus,IF(TblMagic[[#This Row],[Active Mining Strength]]&gt;0,mining_strength_bonus)) +  tech_1_6*TblTech[[#This Row],[1-6]]</f>
        <v>0</v>
      </c>
      <c r="AN48" s="149" t="n">
        <f aca="false">race_gem_bonus+ tech_3_2*TblTech[[#This Row],[3-2]] + tech_4_3*TblTech[[#This Row],[4-3]] + tech_6_2*TblTech[[#This Row],[6-2]]</f>
        <v>0.15</v>
      </c>
      <c r="AO48" s="132"/>
      <c r="AP48" s="69" t="n">
        <f aca="false">TblProd[[#This Row],[Food]]*food_decay * (1 + tech_2_1*TblTech[[#This Row],[2-1]] + tech_2_8*TblTech[[#This Row],[2-8]])</f>
        <v>5961.09</v>
      </c>
      <c r="AQ48" s="69" t="n">
        <f aca="false">(1+race_food_consumption)*TblPop[[#This Row],[Total]]*food_per_person*(1+tech_1_10*TblTech[[#This Row],[1-10]]+tech_7_5*TblTech[[#This Row],[7-5]])</f>
        <v>2079.75</v>
      </c>
      <c r="AR48" s="69" t="n">
        <f aca="false">TblProd[[#This Row],[Lumber]]*lumber_rot * (1 + tech_2_1*TblTech[[#This Row],[2-1]] + tech_2_8*TblTech[[#This Row],[2-8]] + tech_5_2*TblTech[[#This Row],[5-2]])</f>
        <v>303.18</v>
      </c>
      <c r="AS48" s="69" t="n">
        <f aca="false">TblProd[[#This Row],[Mana]]*mana_drain * (1 + tech_2_1*TblTech[[#This Row],[2-1]] + tech_2_8*TblTech[[#This Row],[2-8]])</f>
        <v>14725.91</v>
      </c>
      <c r="AT48" s="146"/>
      <c r="AU48" s="69" t="n">
        <f aca="false">TblExplore[[#This Row],[Platinum (2)]]+TblConstr[[#This Row],[Total Plat Cost]]+TblMili[[#This Row],[Plat Cost]]+TblRezone[[#This Row],[Platinum cost]]+TblImps[[#This Row],[P1]]-TblProd[[#This Row],[Bank Plat]]</f>
        <v>-20152</v>
      </c>
      <c r="AV48" s="69" t="n">
        <f aca="false">TblConstr[[#This Row],[Total Lum Cost]]+TblImps[[#This Row],[L1]]-TblProd[[#This Row],[Bank Lumber]] + Military!$CL$25*TblMili[[#This Row],[Sec. rec. Cost]]</f>
        <v>-3388</v>
      </c>
      <c r="AW48" s="69" t="n">
        <f aca="false">TblMagic[[#This Row],[Mana cost]] + Military!$CL$26*TblMili[[#This Row],[Sec. rec. Cost]]</f>
        <v>0</v>
      </c>
      <c r="AX48" s="69" t="n">
        <f aca="false">Military!$CL$24*TblMili[[#This Row],[Sec. rec. Cost]]+TblImps[[#This Row],[O1]]-TblProd[[#This Row],[Bank Ore]]</f>
        <v>0</v>
      </c>
      <c r="AY48" s="69" t="n">
        <f aca="false">TblImps[[#This Row],[G1]]-TblProd[[#This Row],[Bank Gems]]</f>
        <v>0</v>
      </c>
      <c r="AZ48" s="132"/>
      <c r="BA48" s="33" t="n">
        <f aca="false">IF(TblProd[[#This Row],[Set Guard]]&lt;&gt;"",TblProd[[#This Row],[Set Guard]],OFFSET(TblProd[[#This Row],[Guard]],-1,0))</f>
        <v>0</v>
      </c>
      <c r="BB48" s="145"/>
      <c r="BC48" s="151" t="n">
        <f aca="false">TblProd[[#This Row],[Hour]]</f>
        <v>45</v>
      </c>
      <c r="BD48" s="152" t="n">
        <f aca="false">-TblProd[[#This Row],[Bank Lumber]] / 2 + -TblProd[[#This Row],[Bank Gems]] * 2 + -TblProd[[#This Row],[Bank Ore]] / 2</f>
        <v>0</v>
      </c>
      <c r="BE48" s="152"/>
      <c r="BF48" s="152"/>
      <c r="BG48" s="152"/>
      <c r="BH48" s="153" t="n">
        <f aca="false">TblProd[[#This Row],[Time]]</f>
        <v>45431.5833333333</v>
      </c>
      <c r="BI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J48" s="69" t="n">
        <f aca="false">TblProd[[#This Row],[Platinum]]</f>
        <v>310894</v>
      </c>
      <c r="BK48" s="69" t="n">
        <f aca="false">TblProd[[#This Row],[Food]]</f>
        <v>596109</v>
      </c>
      <c r="BL48" s="69" t="n">
        <f aca="false">TblProd[[#This Row],[Lumber]]</f>
        <v>30318</v>
      </c>
      <c r="BM48" s="69" t="n">
        <f aca="false">TblProd[[#This Row],[Mana]]</f>
        <v>736295.5</v>
      </c>
      <c r="BN48" s="69" t="n">
        <f aca="false">TblProd[[#This Row],[Ore]]</f>
        <v>-357</v>
      </c>
    </row>
    <row r="49" customFormat="false" ht="12.75" hidden="false" customHeight="false" outlineLevel="0" collapsed="false">
      <c r="A49" s="128" t="n">
        <v>46</v>
      </c>
      <c r="B49" s="144" t="n">
        <f aca="false">TblImps[[#This Row],[Time]]</f>
        <v>45431.625</v>
      </c>
      <c r="C49" s="145"/>
      <c r="D49" s="146"/>
      <c r="E49" s="69" t="n">
        <f aca="false">TblConstr[[#This Row],[Land]]</f>
        <v>497</v>
      </c>
      <c r="F49" s="69" t="n">
        <f aca="false">TblPop[[#This Row],[Peasants]]</f>
        <v>8119</v>
      </c>
      <c r="G49" s="69"/>
      <c r="H49" s="69" t="e">
        <f aca="false">TblMili[[#This Row],[Networth (2)]]</f>
        <v>#VALUE!</v>
      </c>
      <c r="I49" s="69" t="n">
        <f aca="false">OFFSET(TblProd[[#This Row],[Platinum]],-1,0)+OFFSET(TblProd[[#This Row],[Plat/hr]],-1,0) - TblProd[[#This Row],[Expenses Platinum]] + IF(TblProd[[#This Row],[Plat Bonus]],TblPop[[#This Row],[Peasants]]*4) + SUM(TblConstr[[#This Row],[Dest Hom]:[Dest Doc]])*TblConstr[[#This Row],[CPA Platinum -DB]]*tech_3_3_2*TblTech[[#This Row],[3-3]]</f>
        <v>369076</v>
      </c>
      <c r="J49" s="69" t="n">
        <f aca="false">OFFSET(TblProd[[#This Row],[Food]],-1,0)+OFFSET(TblProd[[#This Row],[Food/hr]],-1,0)+ROUNDUP((TblConstr[[#This Row],[Farms]]*80+TblConstr[[#This Row],[Docks]]*35)*(1+OFFSET(TblProd[[#This Row],[Bonus Food/hr]],-1,0)),0)</f>
        <v>589954</v>
      </c>
      <c r="K49" s="69" t="n">
        <f aca="false">OFFSET(TblProd[[#This Row],[Lumber]],-1,0)+OFFSET(TblProd[[#This Row],[Lumber/hr]],-1,0) - TblProd[[#This Row],[Expenses Lumber]] + SUM(TblConstr[[#This Row],[Dest Hom]:[Dest Doc]])*TblConstr[[#This Row],[CPA Lumber -DB]]*tech_3_3_2*TblTech[[#This Row],[3-3]]</f>
        <v>34537</v>
      </c>
      <c r="L49" s="69" t="n">
        <f aca="false">OFFSET(TblProd[[#This Row],[Mana]],-1,0)+OFFSET(TblProd[[#This Row],[Mana/hr]],-1,0)- TblProd[[#This Row],[Expenses Mana]]</f>
        <v>722194.5</v>
      </c>
      <c r="M49" s="69" t="n">
        <f aca="false">OFFSET(TblProd[[#This Row],[Ore]],-1,0)+OFFSET(TblProd[[#This Row],[Ore/hr]],-1,0) -TblProd[[#This Row],[Expenses Ore]]</f>
        <v>-357</v>
      </c>
      <c r="N49" s="69" t="n">
        <f aca="false">OFFSET(TblProd[[#This Row],[Gems]],-1,0)+OFFSET(TblProd[[#This Row],[Gems/hr]],-1,0) - TblProd[[#This Row],[Expenses Gems]]</f>
        <v>-1000</v>
      </c>
      <c r="O49" s="69" t="n">
        <f aca="false">OFFSET(TblProd[[#This Row],[Boats]],-1,0)+OFFSET(TblProd[[#This Row],[Boats/hr]],-1,0)</f>
        <v>6.75</v>
      </c>
      <c r="P49" s="69" t="n">
        <f aca="false">OFFSET(TblProd[[#This Row],[Prestige]],-1,0)</f>
        <v>250</v>
      </c>
      <c r="Q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49" s="69" t="n">
        <f aca="false">MAX(3750,_xlfn.CEILING.MATH(TblProd[[#This Row],[Land]]*2.5+OFFSET(TblTech[[#This Row],[Sum of tech]],-1,0)*150))</f>
        <v>3750</v>
      </c>
      <c r="S49" s="132"/>
      <c r="T49" s="69" t="n">
        <f aca="false">ROUNDDOWN(TblProd[[#This Row],[Raw Plat/hr]]*(1+TblProd[[#This Row],[Bonus Plat/hr]]),0)</f>
        <v>38532</v>
      </c>
      <c r="U49" s="69" t="n">
        <f aca="false">ROUND(TblProd[[#This Row],[Raw Food/hr]]*(1+TblProd[[#This Row],[Bonus Food/hr]])-TblProd[[#This Row],[Food decay]]-TblProd[[#This Row],[Food eaten]],0)</f>
        <v>-6135</v>
      </c>
      <c r="V49" s="69" t="n">
        <f aca="false">ROUND(TblProd[[#This Row],[Raw Lumber/hr]]*(1+TblProd[[#This Row],[Bonus Lumber/hr]])-TblProd[[#This Row],[Lumber rot]],0)</f>
        <v>780</v>
      </c>
      <c r="W49" s="69" t="n">
        <f aca="false">ROUND(TblProd[[#This Row],[Raw Mana/hr]]*(1+TblProd[[#This Row],[Bonus Mana/hr]])-TblProd[[#This Row],[Mana drain]],0)</f>
        <v>-13819</v>
      </c>
      <c r="X49" s="69" t="n">
        <f aca="false">ROUNDDOWN(TblProd[[#This Row],[Raw Ore/hr]]*(1+TblProd[[#This Row],[Bonux Ore/hr]]),0)</f>
        <v>0</v>
      </c>
      <c r="Y49" s="69" t="n">
        <f aca="false">ROUNDDOWN(TblProd[[#This Row],[Raw Gems/hr]]*(1+TblProd[[#This Row],[Bonus Gems/hr]]),0)</f>
        <v>0</v>
      </c>
      <c r="Z49" s="148" t="n">
        <f aca="false">OFFSET(TblConstr[[#This Row],[Tot Doc]],1,0)*dock_boats_hr * (1 + tech_4_1*TblTech[[#This Row],[4-1]])</f>
        <v>0.5</v>
      </c>
      <c r="AA49" s="146"/>
      <c r="AB49" s="69" t="n">
        <f aca="false">TblPop[[#This Row],[Peasants]]*tax*TblPop[[#This Row],[Employment]] + (Construction!AZ50+Construction!BX50)*(alch_plat+(Magic!AM49&gt;0)*alchemist_flame_bonus)</f>
        <v>35029.3</v>
      </c>
      <c r="AC49" s="69" t="n">
        <f aca="false">TblConstr[[#This Row],[Tot Farm]]*farm_food + TblConstr[[#This Row],[Tot Doc]]*dock_food</f>
        <v>1840</v>
      </c>
      <c r="AD49" s="69" t="n">
        <f aca="false">TblConstr[[#This Row],[Tot Ly]]*ly_lumber + TblConstr[[#This Row],[Tot Hav]]*fh_lumber</f>
        <v>1250</v>
      </c>
      <c r="AE49" s="69" t="n">
        <f aca="false">OFFSET(TblConstr[[#This Row],[Tot Tow]],1,0)*(tower_mana + tech_4_5*TblTech[[#This Row],[4-5]]) + OFFSET(TblConstr[[#This Row],[Tot WG]],1,0)*wg_mana_prod</f>
        <v>625</v>
      </c>
      <c r="AF49" s="69" t="n">
        <f aca="false">OFFSET(TblConstr[[#This Row],[Tot OM]],1,0)*om_ore+IF(race="Dwarf",ROUNDDOWN(TblMili[[#This Row],[Unit 2]]*0.4,0),)</f>
        <v>0</v>
      </c>
      <c r="AG49" s="69" t="n">
        <f aca="false">OFFSET(TblConstr[[#This Row],[Tot DM]],1,0)*dm_gems</f>
        <v>0</v>
      </c>
      <c r="AH49" s="132"/>
      <c r="AI49" s="149" t="n">
        <f aca="false">MIN(race_platinum_bonus + IF(TblMagic[[#This Row],[Active Alch Frost]]&gt;0,alch_frost_bonus,IF(Magic!AD49&gt;0,midas_bonus)) + TblImps[[#This Row],[Science]] - TblProd[[#This Row],[Guard]]*(0.02 + tech_5_7*TblTech[[#This Row],[5-7]]) + tech_1_5*TblTech[[#This Row],[1-5]] + tech_4_4*TblTech[[#This Row],[4-4]], 0.5)</f>
        <v>0.1</v>
      </c>
      <c r="AJ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49" s="149" t="n">
        <f aca="false">race_lumber_bonus+ IF(TblMagic[[#This Row],[Active Gaia''s Blessing]]&gt;0,gaias_blessing_lumber)+ tech_1_3*TblTech[[#This Row],[1-3]] + tech_1_6*TblTech[[#This Row],[1-6]] + tech_3_3*TblTech[[#This Row],[3-3]]</f>
        <v>-0.1</v>
      </c>
      <c r="AL49" s="149" t="n">
        <f aca="false">race_mana_bonus+ 0 + TblImps[[#This Row],[Towers]] + tech_1_2*TblTech[[#This Row],[1-2]] + tech_3_4*TblTech[[#This Row],[3-4]]</f>
        <v>0</v>
      </c>
      <c r="AM49" s="149" t="n">
        <f aca="false">race_ore_bonus + IF(TblMagic[[#This Row],[Active Miner''s Sight]]&gt;0,miners_sight_bonus,IF(TblMagic[[#This Row],[Active Mining Strength]]&gt;0,mining_strength_bonus)) +  tech_1_6*TblTech[[#This Row],[1-6]]</f>
        <v>0</v>
      </c>
      <c r="AN49" s="149" t="n">
        <f aca="false">race_gem_bonus+ tech_3_2*TblTech[[#This Row],[3-2]] + tech_4_3*TblTech[[#This Row],[4-3]] + tech_6_2*TblTech[[#This Row],[6-2]]</f>
        <v>0.15</v>
      </c>
      <c r="AO49" s="132"/>
      <c r="AP49" s="69" t="n">
        <f aca="false">TblProd[[#This Row],[Food]]*food_decay * (1 + tech_2_1*TblTech[[#This Row],[2-1]] + tech_2_8*TblTech[[#This Row],[2-8]])</f>
        <v>5899.54</v>
      </c>
      <c r="AQ49" s="69" t="n">
        <f aca="false">(1+race_food_consumption)*TblPop[[#This Row],[Total]]*food_per_person*(1+tech_1_10*TblTech[[#This Row],[1-10]]+tech_7_5*TblTech[[#This Row],[7-5]])</f>
        <v>2121.5</v>
      </c>
      <c r="AR49" s="69" t="n">
        <f aca="false">TblProd[[#This Row],[Lumber]]*lumber_rot * (1 + tech_2_1*TblTech[[#This Row],[2-1]] + tech_2_8*TblTech[[#This Row],[2-8]] + tech_5_2*TblTech[[#This Row],[5-2]])</f>
        <v>345.37</v>
      </c>
      <c r="AS49" s="69" t="n">
        <f aca="false">TblProd[[#This Row],[Mana]]*mana_drain * (1 + tech_2_1*TblTech[[#This Row],[2-1]] + tech_2_8*TblTech[[#This Row],[2-8]])</f>
        <v>14443.89</v>
      </c>
      <c r="AT49" s="146"/>
      <c r="AU49" s="69" t="n">
        <f aca="false">TblExplore[[#This Row],[Platinum (2)]]+TblConstr[[#This Row],[Total Plat Cost]]+TblMili[[#This Row],[Plat Cost]]+TblRezone[[#This Row],[Platinum cost]]+TblImps[[#This Row],[P1]]-TblProd[[#This Row],[Bank Plat]]</f>
        <v>-19909</v>
      </c>
      <c r="AV49" s="69" t="n">
        <f aca="false">TblConstr[[#This Row],[Total Lum Cost]]+TblImps[[#This Row],[L1]]-TblProd[[#This Row],[Bank Lumber]] + Military!$CL$25*TblMili[[#This Row],[Sec. rec. Cost]]</f>
        <v>-3397</v>
      </c>
      <c r="AW49" s="69" t="n">
        <f aca="false">TblMagic[[#This Row],[Mana cost]] + Military!$CL$26*TblMili[[#This Row],[Sec. rec. Cost]]</f>
        <v>0</v>
      </c>
      <c r="AX49" s="69" t="n">
        <f aca="false">Military!$CL$24*TblMili[[#This Row],[Sec. rec. Cost]]+TblImps[[#This Row],[O1]]-TblProd[[#This Row],[Bank Ore]]</f>
        <v>0</v>
      </c>
      <c r="AY49" s="69" t="n">
        <f aca="false">TblImps[[#This Row],[G1]]-TblProd[[#This Row],[Bank Gems]]</f>
        <v>0</v>
      </c>
      <c r="AZ49" s="132"/>
      <c r="BA49" s="33" t="n">
        <f aca="false">IF(TblProd[[#This Row],[Set Guard]]&lt;&gt;"",TblProd[[#This Row],[Set Guard]],OFFSET(TblProd[[#This Row],[Guard]],-1,0))</f>
        <v>0</v>
      </c>
      <c r="BB49" s="145"/>
      <c r="BC49" s="151" t="n">
        <f aca="false">TblProd[[#This Row],[Hour]]</f>
        <v>46</v>
      </c>
      <c r="BD49" s="152" t="n">
        <f aca="false">-TblProd[[#This Row],[Bank Lumber]] / 2 + -TblProd[[#This Row],[Bank Gems]] * 2 + -TblProd[[#This Row],[Bank Ore]] / 2</f>
        <v>0</v>
      </c>
      <c r="BE49" s="152"/>
      <c r="BF49" s="152"/>
      <c r="BG49" s="152"/>
      <c r="BH49" s="153" t="n">
        <f aca="false">TblProd[[#This Row],[Time]]</f>
        <v>45431.625</v>
      </c>
      <c r="BI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J49" s="69" t="n">
        <f aca="false">TblProd[[#This Row],[Platinum]]</f>
        <v>369076</v>
      </c>
      <c r="BK49" s="69" t="n">
        <f aca="false">TblProd[[#This Row],[Food]]</f>
        <v>589954</v>
      </c>
      <c r="BL49" s="69" t="n">
        <f aca="false">TblProd[[#This Row],[Lumber]]</f>
        <v>34537</v>
      </c>
      <c r="BM49" s="69" t="n">
        <f aca="false">TblProd[[#This Row],[Mana]]</f>
        <v>722194.5</v>
      </c>
      <c r="BN49" s="69" t="n">
        <f aca="false">TblProd[[#This Row],[Ore]]</f>
        <v>-357</v>
      </c>
    </row>
    <row r="50" customFormat="false" ht="12.75" hidden="false" customHeight="false" outlineLevel="0" collapsed="false">
      <c r="A50" s="128" t="n">
        <v>47</v>
      </c>
      <c r="B50" s="144" t="n">
        <f aca="false">TblImps[[#This Row],[Time]]</f>
        <v>45431.6666666667</v>
      </c>
      <c r="C50" s="145"/>
      <c r="D50" s="146"/>
      <c r="E50" s="69" t="n">
        <f aca="false">TblConstr[[#This Row],[Land]]</f>
        <v>509</v>
      </c>
      <c r="F50" s="69" t="n">
        <f aca="false">TblPop[[#This Row],[Peasants]]</f>
        <v>8221</v>
      </c>
      <c r="G50" s="69"/>
      <c r="H50" s="69" t="e">
        <f aca="false">TblMili[[#This Row],[Networth (2)]]</f>
        <v>#VALUE!</v>
      </c>
      <c r="I50" s="69" t="n">
        <f aca="false">OFFSET(TblProd[[#This Row],[Platinum]],-1,0)+OFFSET(TblProd[[#This Row],[Plat/hr]],-1,0) - TblProd[[#This Row],[Expenses Platinum]] + IF(TblProd[[#This Row],[Plat Bonus]],TblPop[[#This Row],[Peasants]]*4) + SUM(TblConstr[[#This Row],[Dest Hom]:[Dest Doc]])*TblConstr[[#This Row],[CPA Platinum -DB]]*tech_3_3_2*TblTech[[#This Row],[3-3]]</f>
        <v>427306</v>
      </c>
      <c r="J50" s="69" t="n">
        <f aca="false">OFFSET(TblProd[[#This Row],[Food]],-1,0)+OFFSET(TblProd[[#This Row],[Food/hr]],-1,0)+ROUNDUP((TblConstr[[#This Row],[Farms]]*80+TblConstr[[#This Row],[Docks]]*35)*(1+OFFSET(TblProd[[#This Row],[Bonus Food/hr]],-1,0)),0)</f>
        <v>583901</v>
      </c>
      <c r="K50" s="69" t="n">
        <f aca="false">OFFSET(TblProd[[#This Row],[Lumber]],-1,0)+OFFSET(TblProd[[#This Row],[Lumber/hr]],-1,0) - TblProd[[#This Row],[Expenses Lumber]] + SUM(TblConstr[[#This Row],[Dest Hom]:[Dest Doc]])*TblConstr[[#This Row],[CPA Lumber -DB]]*tech_3_3_2*TblTech[[#This Row],[3-3]]</f>
        <v>38677</v>
      </c>
      <c r="L50" s="69" t="n">
        <f aca="false">OFFSET(TblProd[[#This Row],[Mana]],-1,0)+OFFSET(TblProd[[#This Row],[Mana/hr]],-1,0)- TblProd[[#This Row],[Expenses Mana]]</f>
        <v>708375.5</v>
      </c>
      <c r="M50" s="69" t="n">
        <f aca="false">OFFSET(TblProd[[#This Row],[Ore]],-1,0)+OFFSET(TblProd[[#This Row],[Ore/hr]],-1,0) -TblProd[[#This Row],[Expenses Ore]]</f>
        <v>-357</v>
      </c>
      <c r="N50" s="69" t="n">
        <f aca="false">OFFSET(TblProd[[#This Row],[Gems]],-1,0)+OFFSET(TblProd[[#This Row],[Gems/hr]],-1,0) - TblProd[[#This Row],[Expenses Gems]]</f>
        <v>-1000</v>
      </c>
      <c r="O50" s="69" t="n">
        <f aca="false">OFFSET(TblProd[[#This Row],[Boats]],-1,0)+OFFSET(TblProd[[#This Row],[Boats/hr]],-1,0)</f>
        <v>7.25</v>
      </c>
      <c r="P50" s="69" t="n">
        <f aca="false">OFFSET(TblProd[[#This Row],[Prestige]],-1,0)</f>
        <v>250</v>
      </c>
      <c r="Q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R50" s="69" t="n">
        <f aca="false">MAX(3750,_xlfn.CEILING.MATH(TblProd[[#This Row],[Land]]*2.5+OFFSET(TblTech[[#This Row],[Sum of tech]],-1,0)*150))</f>
        <v>3750</v>
      </c>
      <c r="S50" s="132"/>
      <c r="T50" s="69" t="n">
        <f aca="false">ROUNDDOWN(TblProd[[#This Row],[Raw Plat/hr]]*(1+TblProd[[#This Row],[Bonus Plat/hr]]),0)</f>
        <v>38835</v>
      </c>
      <c r="U50" s="69" t="n">
        <f aca="false">ROUND(TblProd[[#This Row],[Raw Food/hr]]*(1+TblProd[[#This Row],[Bonus Food/hr]])-TblProd[[#This Row],[Food decay]]-TblProd[[#This Row],[Food eaten]],0)</f>
        <v>-6038</v>
      </c>
      <c r="V50" s="69" t="n">
        <f aca="false">ROUND(TblProd[[#This Row],[Raw Lumber/hr]]*(1+TblProd[[#This Row],[Bonus Lumber/hr]])-TblProd[[#This Row],[Lumber rot]],0)</f>
        <v>738</v>
      </c>
      <c r="W50" s="69" t="n">
        <f aca="false">ROUND(TblProd[[#This Row],[Raw Mana/hr]]*(1+TblProd[[#This Row],[Bonus Mana/hr]])-TblProd[[#This Row],[Mana drain]],0)</f>
        <v>-13543</v>
      </c>
      <c r="X50" s="69" t="n">
        <f aca="false">ROUNDDOWN(TblProd[[#This Row],[Raw Ore/hr]]*(1+TblProd[[#This Row],[Bonux Ore/hr]]),0)</f>
        <v>0</v>
      </c>
      <c r="Y50" s="69" t="n">
        <f aca="false">ROUNDDOWN(TblProd[[#This Row],[Raw Gems/hr]]*(1+TblProd[[#This Row],[Bonus Gems/hr]]),0)</f>
        <v>0</v>
      </c>
      <c r="Z50" s="148" t="n">
        <f aca="false">OFFSET(TblConstr[[#This Row],[Tot Doc]],1,0)*dock_boats_hr * (1 + tech_4_1*TblTech[[#This Row],[4-1]])</f>
        <v>0.5</v>
      </c>
      <c r="AA50" s="146"/>
      <c r="AB50" s="69" t="n">
        <f aca="false">TblPop[[#This Row],[Peasants]]*tax*TblPop[[#This Row],[Employment]] + (Construction!AZ51+Construction!BX51)*(alch_plat+(Magic!AM50&gt;0)*alchemist_flame_bonus)</f>
        <v>35304.7</v>
      </c>
      <c r="AC50" s="69" t="n">
        <f aca="false">TblConstr[[#This Row],[Tot Farm]]*farm_food + TblConstr[[#This Row],[Tot Doc]]*dock_food</f>
        <v>1920</v>
      </c>
      <c r="AD50" s="69" t="n">
        <f aca="false">TblConstr[[#This Row],[Tot Ly]]*ly_lumber + TblConstr[[#This Row],[Tot Hav]]*fh_lumber</f>
        <v>1250</v>
      </c>
      <c r="AE50" s="69" t="n">
        <f aca="false">OFFSET(TblConstr[[#This Row],[Tot Tow]],1,0)*(tower_mana + tech_4_5*TblTech[[#This Row],[4-5]]) + OFFSET(TblConstr[[#This Row],[Tot WG]],1,0)*wg_mana_prod</f>
        <v>625</v>
      </c>
      <c r="AF50" s="69" t="n">
        <f aca="false">OFFSET(TblConstr[[#This Row],[Tot OM]],1,0)*om_ore+IF(race="Dwarf",ROUNDDOWN(TblMili[[#This Row],[Unit 2]]*0.4,0),)</f>
        <v>0</v>
      </c>
      <c r="AG50" s="69" t="n">
        <f aca="false">OFFSET(TblConstr[[#This Row],[Tot DM]],1,0)*dm_gems</f>
        <v>0</v>
      </c>
      <c r="AH50" s="132"/>
      <c r="AI50" s="149" t="n">
        <f aca="false">MIN(race_platinum_bonus + IF(TblMagic[[#This Row],[Active Alch Frost]]&gt;0,alch_frost_bonus,IF(Magic!AD50&gt;0,midas_bonus)) + TblImps[[#This Row],[Science]] - TblProd[[#This Row],[Guard]]*(0.02 + tech_5_7*TblTech[[#This Row],[5-7]]) + tech_1_5*TblTech[[#This Row],[1-5]] + tech_4_4*TblTech[[#This Row],[4-4]], 0.5)</f>
        <v>0.1</v>
      </c>
      <c r="AJ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0" s="149" t="n">
        <f aca="false">race_lumber_bonus+ IF(TblMagic[[#This Row],[Active Gaia''s Blessing]]&gt;0,gaias_blessing_lumber)+ tech_1_3*TblTech[[#This Row],[1-3]] + tech_1_6*TblTech[[#This Row],[1-6]] + tech_3_3*TblTech[[#This Row],[3-3]]</f>
        <v>-0.1</v>
      </c>
      <c r="AL50" s="149" t="n">
        <f aca="false">race_mana_bonus+ 0 + TblImps[[#This Row],[Towers]] + tech_1_2*TblTech[[#This Row],[1-2]] + tech_3_4*TblTech[[#This Row],[3-4]]</f>
        <v>0</v>
      </c>
      <c r="AM50" s="149" t="n">
        <f aca="false">race_ore_bonus + IF(TblMagic[[#This Row],[Active Miner''s Sight]]&gt;0,miners_sight_bonus,IF(TblMagic[[#This Row],[Active Mining Strength]]&gt;0,mining_strength_bonus)) +  tech_1_6*TblTech[[#This Row],[1-6]]</f>
        <v>0</v>
      </c>
      <c r="AN50" s="149" t="n">
        <f aca="false">race_gem_bonus+ tech_3_2*TblTech[[#This Row],[3-2]] + tech_4_3*TblTech[[#This Row],[4-3]] + tech_6_2*TblTech[[#This Row],[6-2]]</f>
        <v>0.15</v>
      </c>
      <c r="AO50" s="132"/>
      <c r="AP50" s="69" t="n">
        <f aca="false">TblProd[[#This Row],[Food]]*food_decay * (1 + tech_2_1*TblTech[[#This Row],[2-1]] + tech_2_8*TblTech[[#This Row],[2-8]])</f>
        <v>5839.01</v>
      </c>
      <c r="AQ50" s="69" t="n">
        <f aca="false">(1+race_food_consumption)*TblPop[[#This Row],[Total]]*food_per_person*(1+tech_1_10*TblTech[[#This Row],[1-10]]+tech_7_5*TblTech[[#This Row],[7-5]])</f>
        <v>2167.25</v>
      </c>
      <c r="AR50" s="69" t="n">
        <f aca="false">TblProd[[#This Row],[Lumber]]*lumber_rot * (1 + tech_2_1*TblTech[[#This Row],[2-1]] + tech_2_8*TblTech[[#This Row],[2-8]] + tech_5_2*TblTech[[#This Row],[5-2]])</f>
        <v>386.77</v>
      </c>
      <c r="AS50" s="69" t="n">
        <f aca="false">TblProd[[#This Row],[Mana]]*mana_drain * (1 + tech_2_1*TblTech[[#This Row],[2-1]] + tech_2_8*TblTech[[#This Row],[2-8]])</f>
        <v>14167.51</v>
      </c>
      <c r="AT50" s="146"/>
      <c r="AU50" s="69" t="n">
        <f aca="false">TblExplore[[#This Row],[Platinum (2)]]+TblConstr[[#This Row],[Total Plat Cost]]+TblMili[[#This Row],[Plat Cost]]+TblRezone[[#This Row],[Platinum cost]]+TblImps[[#This Row],[P1]]-TblProd[[#This Row],[Bank Plat]]</f>
        <v>-19698</v>
      </c>
      <c r="AV50" s="69" t="n">
        <f aca="false">TblConstr[[#This Row],[Total Lum Cost]]+TblImps[[#This Row],[L1]]-TblProd[[#This Row],[Bank Lumber]] + Military!$CL$25*TblMili[[#This Row],[Sec. rec. Cost]]</f>
        <v>-3360</v>
      </c>
      <c r="AW50" s="69" t="n">
        <f aca="false">TblMagic[[#This Row],[Mana cost]] + Military!$CL$26*TblMili[[#This Row],[Sec. rec. Cost]]</f>
        <v>0</v>
      </c>
      <c r="AX50" s="69" t="n">
        <f aca="false">Military!$CL$24*TblMili[[#This Row],[Sec. rec. Cost]]+TblImps[[#This Row],[O1]]-TblProd[[#This Row],[Bank Ore]]</f>
        <v>0</v>
      </c>
      <c r="AY50" s="69" t="n">
        <f aca="false">TblImps[[#This Row],[G1]]-TblProd[[#This Row],[Bank Gems]]</f>
        <v>0</v>
      </c>
      <c r="AZ50" s="132"/>
      <c r="BA50" s="33" t="n">
        <f aca="false">IF(TblProd[[#This Row],[Set Guard]]&lt;&gt;"",TblProd[[#This Row],[Set Guard]],OFFSET(TblProd[[#This Row],[Guard]],-1,0))</f>
        <v>0</v>
      </c>
      <c r="BB50" s="145"/>
      <c r="BC50" s="151" t="n">
        <f aca="false">TblProd[[#This Row],[Hour]]</f>
        <v>47</v>
      </c>
      <c r="BD50" s="152" t="n">
        <f aca="false">-TblProd[[#This Row],[Bank Lumber]] / 2 + -TblProd[[#This Row],[Bank Gems]] * 2 + -TblProd[[#This Row],[Bank Ore]] / 2</f>
        <v>0</v>
      </c>
      <c r="BE50" s="152"/>
      <c r="BF50" s="152"/>
      <c r="BG50" s="152"/>
      <c r="BH50" s="153" t="n">
        <f aca="false">TblProd[[#This Row],[Time]]</f>
        <v>45431.6666666667</v>
      </c>
      <c r="BI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J50" s="69" t="n">
        <f aca="false">TblProd[[#This Row],[Platinum]]</f>
        <v>427306</v>
      </c>
      <c r="BK50" s="69" t="n">
        <f aca="false">TblProd[[#This Row],[Food]]</f>
        <v>583901</v>
      </c>
      <c r="BL50" s="69" t="n">
        <f aca="false">TblProd[[#This Row],[Lumber]]</f>
        <v>38677</v>
      </c>
      <c r="BM50" s="69" t="n">
        <f aca="false">TblProd[[#This Row],[Mana]]</f>
        <v>708375.5</v>
      </c>
      <c r="BN50" s="69" t="n">
        <f aca="false">TblProd[[#This Row],[Ore]]</f>
        <v>-357</v>
      </c>
    </row>
    <row r="51" customFormat="false" ht="12.75" hidden="false" customHeight="false" outlineLevel="0" collapsed="false">
      <c r="A51" s="128" t="n">
        <v>48</v>
      </c>
      <c r="B51" s="144" t="n">
        <f aca="false">TblImps[[#This Row],[Time]]</f>
        <v>45431.7083333333</v>
      </c>
      <c r="C51" s="145" t="n">
        <v>1</v>
      </c>
      <c r="D51" s="146"/>
      <c r="E51" s="69" t="n">
        <f aca="false">TblConstr[[#This Row],[Land]]</f>
        <v>542</v>
      </c>
      <c r="F51" s="69" t="n">
        <f aca="false">TblPop[[#This Row],[Peasants]]</f>
        <v>8338</v>
      </c>
      <c r="G51" s="69"/>
      <c r="H51" s="69" t="e">
        <f aca="false">TblMili[[#This Row],[Networth (2)]]</f>
        <v>#VALUE!</v>
      </c>
      <c r="I51" s="69" t="n">
        <f aca="false">OFFSET(TblProd[[#This Row],[Platinum]],-1,0)+OFFSET(TblProd[[#This Row],[Plat/hr]],-1,0) - TblProd[[#This Row],[Expenses Platinum]] + IF(TblProd[[#This Row],[Plat Bonus]],TblPop[[#This Row],[Peasants]]*4) + SUM(TblConstr[[#This Row],[Dest Hom]:[Dest Doc]])*TblConstr[[#This Row],[CPA Platinum -DB]]*tech_3_3_2*TblTech[[#This Row],[3-3]]</f>
        <v>509289</v>
      </c>
      <c r="J51" s="69" t="n">
        <f aca="false">OFFSET(TblProd[[#This Row],[Food]],-1,0)+OFFSET(TblProd[[#This Row],[Food/hr]],-1,0)+ROUNDUP((TblConstr[[#This Row],[Farms]]*80+TblConstr[[#This Row],[Docks]]*35)*(1+OFFSET(TblProd[[#This Row],[Bonus Food/hr]],-1,0)),0)</f>
        <v>577863</v>
      </c>
      <c r="K51" s="69" t="n">
        <f aca="false">OFFSET(TblProd[[#This Row],[Lumber]],-1,0)+OFFSET(TblProd[[#This Row],[Lumber/hr]],-1,0) - TblProd[[#This Row],[Expenses Lumber]] + SUM(TblConstr[[#This Row],[Dest Hom]:[Dest Doc]])*TblConstr[[#This Row],[CPA Lumber -DB]]*tech_3_3_2*TblTech[[#This Row],[3-3]]</f>
        <v>41077</v>
      </c>
      <c r="L51" s="69" t="n">
        <f aca="false">OFFSET(TblProd[[#This Row],[Mana]],-1,0)+OFFSET(TblProd[[#This Row],[Mana/hr]],-1,0)- TblProd[[#This Row],[Expenses Mana]]</f>
        <v>694832.5</v>
      </c>
      <c r="M51" s="69" t="n">
        <f aca="false">OFFSET(TblProd[[#This Row],[Ore]],-1,0)+OFFSET(TblProd[[#This Row],[Ore/hr]],-1,0) -TblProd[[#This Row],[Expenses Ore]]</f>
        <v>-357</v>
      </c>
      <c r="N51" s="69" t="n">
        <f aca="false">OFFSET(TblProd[[#This Row],[Gems]],-1,0)+OFFSET(TblProd[[#This Row],[Gems/hr]],-1,0) - TblProd[[#This Row],[Expenses Gems]]</f>
        <v>-1000</v>
      </c>
      <c r="O51" s="69" t="n">
        <f aca="false">OFFSET(TblProd[[#This Row],[Boats]],-1,0)+OFFSET(TblProd[[#This Row],[Boats/hr]],-1,0)</f>
        <v>7.75</v>
      </c>
      <c r="P51" s="69" t="n">
        <f aca="false">OFFSET(TblProd[[#This Row],[Prestige]],-1,0)</f>
        <v>250</v>
      </c>
      <c r="Q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1" s="69" t="n">
        <f aca="false">MAX(3750,_xlfn.CEILING.MATH(TblProd[[#This Row],[Land]]*2.5+OFFSET(TblTech[[#This Row],[Sum of tech]],-1,0)*150))</f>
        <v>3750</v>
      </c>
      <c r="S51" s="132"/>
      <c r="T51" s="69" t="n">
        <f aca="false">ROUNDDOWN(TblProd[[#This Row],[Raw Plat/hr]]*(1+TblProd[[#This Row],[Bonus Plat/hr]]),0)</f>
        <v>39182</v>
      </c>
      <c r="U51" s="69" t="n">
        <f aca="false">ROUND(TblProd[[#This Row],[Raw Food/hr]]*(1+TblProd[[#This Row],[Bonus Food/hr]])-TblProd[[#This Row],[Food decay]]-TblProd[[#This Row],[Food eaten]],0)</f>
        <v>-6028</v>
      </c>
      <c r="V51" s="69" t="n">
        <f aca="false">ROUND(TblProd[[#This Row],[Raw Lumber/hr]]*(1+TblProd[[#This Row],[Bonus Lumber/hr]])-TblProd[[#This Row],[Lumber rot]],0)</f>
        <v>714</v>
      </c>
      <c r="W51" s="69" t="n">
        <f aca="false">ROUND(TblProd[[#This Row],[Raw Mana/hr]]*(1+TblProd[[#This Row],[Bonus Mana/hr]])-TblProd[[#This Row],[Mana drain]],0)</f>
        <v>-13272</v>
      </c>
      <c r="X51" s="69" t="n">
        <f aca="false">ROUNDDOWN(TblProd[[#This Row],[Raw Ore/hr]]*(1+TblProd[[#This Row],[Bonux Ore/hr]]),0)</f>
        <v>0</v>
      </c>
      <c r="Y51" s="69" t="n">
        <f aca="false">ROUNDDOWN(TblProd[[#This Row],[Raw Gems/hr]]*(1+TblProd[[#This Row],[Bonus Gems/hr]]),0)</f>
        <v>0</v>
      </c>
      <c r="Z51" s="148" t="n">
        <f aca="false">OFFSET(TblConstr[[#This Row],[Tot Doc]],1,0)*dock_boats_hr * (1 + tech_4_1*TblTech[[#This Row],[4-1]])</f>
        <v>0.5</v>
      </c>
      <c r="AA51" s="146"/>
      <c r="AB51" s="69" t="n">
        <f aca="false">TblPop[[#This Row],[Peasants]]*tax*TblPop[[#This Row],[Employment]] + (Construction!AZ52+Construction!BX52)*(alch_plat+(Magic!AM51&gt;0)*alchemist_flame_bonus)</f>
        <v>35620.6</v>
      </c>
      <c r="AC51" s="69" t="n">
        <f aca="false">TblConstr[[#This Row],[Tot Farm]]*farm_food + TblConstr[[#This Row],[Tot Doc]]*dock_food</f>
        <v>1920</v>
      </c>
      <c r="AD51" s="69" t="n">
        <f aca="false">TblConstr[[#This Row],[Tot Ly]]*ly_lumber + TblConstr[[#This Row],[Tot Hav]]*fh_lumber</f>
        <v>1250</v>
      </c>
      <c r="AE51" s="69" t="n">
        <f aca="false">OFFSET(TblConstr[[#This Row],[Tot Tow]],1,0)*(tower_mana + tech_4_5*TblTech[[#This Row],[4-5]]) + OFFSET(TblConstr[[#This Row],[Tot WG]],1,0)*wg_mana_prod</f>
        <v>625</v>
      </c>
      <c r="AF51" s="69" t="n">
        <f aca="false">OFFSET(TblConstr[[#This Row],[Tot OM]],1,0)*om_ore+IF(race="Dwarf",ROUNDDOWN(TblMili[[#This Row],[Unit 2]]*0.4,0),)</f>
        <v>0</v>
      </c>
      <c r="AG51" s="69" t="n">
        <f aca="false">OFFSET(TblConstr[[#This Row],[Tot DM]],1,0)*dm_gems</f>
        <v>0</v>
      </c>
      <c r="AH51" s="132"/>
      <c r="AI51" s="149" t="n">
        <f aca="false">MIN(race_platinum_bonus + IF(TblMagic[[#This Row],[Active Alch Frost]]&gt;0,alch_frost_bonus,IF(Magic!AD51&gt;0,midas_bonus)) + TblImps[[#This Row],[Science]] - TblProd[[#This Row],[Guard]]*(0.02 + tech_5_7*TblTech[[#This Row],[5-7]]) + tech_1_5*TblTech[[#This Row],[1-5]] + tech_4_4*TblTech[[#This Row],[4-4]], 0.5)</f>
        <v>0.1</v>
      </c>
      <c r="AJ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1" s="149" t="n">
        <f aca="false">race_lumber_bonus+ IF(TblMagic[[#This Row],[Active Gaia''s Blessing]]&gt;0,gaias_blessing_lumber)+ tech_1_3*TblTech[[#This Row],[1-3]] + tech_1_6*TblTech[[#This Row],[1-6]] + tech_3_3*TblTech[[#This Row],[3-3]]</f>
        <v>-0.1</v>
      </c>
      <c r="AL51" s="149" t="n">
        <f aca="false">race_mana_bonus+ 0 + TblImps[[#This Row],[Towers]] + tech_1_2*TblTech[[#This Row],[1-2]] + tech_3_4*TblTech[[#This Row],[3-4]]</f>
        <v>0</v>
      </c>
      <c r="AM51" s="149" t="n">
        <f aca="false">race_ore_bonus + IF(TblMagic[[#This Row],[Active Miner''s Sight]]&gt;0,miners_sight_bonus,IF(TblMagic[[#This Row],[Active Mining Strength]]&gt;0,mining_strength_bonus)) +  tech_1_6*TblTech[[#This Row],[1-6]]</f>
        <v>0</v>
      </c>
      <c r="AN51" s="149" t="n">
        <f aca="false">race_gem_bonus+ tech_3_2*TblTech[[#This Row],[3-2]] + tech_4_3*TblTech[[#This Row],[4-3]] + tech_6_2*TblTech[[#This Row],[6-2]]</f>
        <v>0.15</v>
      </c>
      <c r="AO51" s="132"/>
      <c r="AP51" s="69" t="n">
        <f aca="false">TblProd[[#This Row],[Food]]*food_decay * (1 + tech_2_1*TblTech[[#This Row],[2-1]] + tech_2_8*TblTech[[#This Row],[2-8]])</f>
        <v>5778.63</v>
      </c>
      <c r="AQ51" s="69" t="n">
        <f aca="false">(1+race_food_consumption)*TblPop[[#This Row],[Total]]*food_per_person*(1+tech_1_10*TblTech[[#This Row],[1-10]]+tech_7_5*TblTech[[#This Row],[7-5]])</f>
        <v>2217</v>
      </c>
      <c r="AR51" s="69" t="n">
        <f aca="false">TblProd[[#This Row],[Lumber]]*lumber_rot * (1 + tech_2_1*TblTech[[#This Row],[2-1]] + tech_2_8*TblTech[[#This Row],[2-8]] + tech_5_2*TblTech[[#This Row],[5-2]])</f>
        <v>410.77</v>
      </c>
      <c r="AS51" s="69" t="n">
        <f aca="false">TblProd[[#This Row],[Mana]]*mana_drain * (1 + tech_2_1*TblTech[[#This Row],[2-1]] + tech_2_8*TblTech[[#This Row],[2-8]])</f>
        <v>13896.65</v>
      </c>
      <c r="AT51" s="146"/>
      <c r="AU51" s="69" t="n">
        <f aca="false">TblExplore[[#This Row],[Platinum (2)]]+TblConstr[[#This Row],[Total Plat Cost]]+TblMili[[#This Row],[Plat Cost]]+TblRezone[[#This Row],[Platinum cost]]+TblImps[[#This Row],[P1]]-TblProd[[#This Row],[Bank Plat]]</f>
        <v>-9796</v>
      </c>
      <c r="AV51" s="69" t="n">
        <f aca="false">TblConstr[[#This Row],[Total Lum Cost]]+TblImps[[#This Row],[L1]]-TblProd[[#This Row],[Bank Lumber]] + Military!$CL$25*TblMili[[#This Row],[Sec. rec. Cost]]</f>
        <v>-1662</v>
      </c>
      <c r="AW51" s="69" t="n">
        <f aca="false">TblMagic[[#This Row],[Mana cost]] + Military!$CL$26*TblMili[[#This Row],[Sec. rec. Cost]]</f>
        <v>0</v>
      </c>
      <c r="AX51" s="69" t="n">
        <f aca="false">Military!$CL$24*TblMili[[#This Row],[Sec. rec. Cost]]+TblImps[[#This Row],[O1]]-TblProd[[#This Row],[Bank Ore]]</f>
        <v>0</v>
      </c>
      <c r="AY51" s="69" t="n">
        <f aca="false">TblImps[[#This Row],[G1]]-TblProd[[#This Row],[Bank Gems]]</f>
        <v>0</v>
      </c>
      <c r="AZ51" s="132"/>
      <c r="BA51" s="33" t="n">
        <f aca="false">IF(TblProd[[#This Row],[Set Guard]]&lt;&gt;"",TblProd[[#This Row],[Set Guard]],OFFSET(TblProd[[#This Row],[Guard]],-1,0))</f>
        <v>0</v>
      </c>
      <c r="BB51" s="145"/>
      <c r="BC51" s="151" t="n">
        <f aca="false">TblProd[[#This Row],[Hour]]</f>
        <v>48</v>
      </c>
      <c r="BD51" s="152" t="n">
        <f aca="false">-TblProd[[#This Row],[Bank Lumber]] / 2 + -TblProd[[#This Row],[Bank Gems]] * 2 + -TblProd[[#This Row],[Bank Ore]] / 2</f>
        <v>0</v>
      </c>
      <c r="BE51" s="152"/>
      <c r="BF51" s="152"/>
      <c r="BG51" s="152"/>
      <c r="BH51" s="153" t="n">
        <f aca="false">TblProd[[#This Row],[Time]]</f>
        <v>45431.7083333333</v>
      </c>
      <c r="BI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J51" s="69" t="n">
        <f aca="false">TblProd[[#This Row],[Platinum]]</f>
        <v>509289</v>
      </c>
      <c r="BK51" s="69" t="n">
        <f aca="false">TblProd[[#This Row],[Food]]</f>
        <v>577863</v>
      </c>
      <c r="BL51" s="69" t="n">
        <f aca="false">TblProd[[#This Row],[Lumber]]</f>
        <v>41077</v>
      </c>
      <c r="BM51" s="69" t="n">
        <f aca="false">TblProd[[#This Row],[Mana]]</f>
        <v>694832.5</v>
      </c>
      <c r="BN51" s="69" t="n">
        <f aca="false">TblProd[[#This Row],[Ore]]</f>
        <v>-357</v>
      </c>
    </row>
    <row r="52" customFormat="false" ht="12.75" hidden="false" customHeight="false" outlineLevel="0" collapsed="false">
      <c r="A52" s="128" t="n">
        <v>49</v>
      </c>
      <c r="B52" s="144" t="n">
        <f aca="false">TblImps[[#This Row],[Time]]</f>
        <v>45431.75</v>
      </c>
      <c r="C52" s="145"/>
      <c r="D52" s="146"/>
      <c r="E52" s="69" t="n">
        <f aca="false">TblConstr[[#This Row],[Land]]</f>
        <v>575</v>
      </c>
      <c r="F52" s="69" t="n">
        <f aca="false">TblPop[[#This Row],[Peasants]]</f>
        <v>8752</v>
      </c>
      <c r="G52" s="69"/>
      <c r="H52" s="69" t="e">
        <f aca="false">TblMili[[#This Row],[Networth (2)]]</f>
        <v>#VALUE!</v>
      </c>
      <c r="I52" s="69" t="n">
        <f aca="false">OFFSET(TblProd[[#This Row],[Platinum]],-1,0)+OFFSET(TblProd[[#This Row],[Plat/hr]],-1,0) - TblProd[[#This Row],[Expenses Platinum]] + IF(TblProd[[#This Row],[Plat Bonus]],TblPop[[#This Row],[Peasants]]*4) + SUM(TblConstr[[#This Row],[Dest Hom]:[Dest Doc]])*TblConstr[[#This Row],[CPA Platinum -DB]]*tech_3_3_2*TblTech[[#This Row],[3-3]]</f>
        <v>558603</v>
      </c>
      <c r="J52" s="69" t="n">
        <f aca="false">OFFSET(TblProd[[#This Row],[Food]],-1,0)+OFFSET(TblProd[[#This Row],[Food/hr]],-1,0)+ROUNDUP((TblConstr[[#This Row],[Farms]]*80+TblConstr[[#This Row],[Docks]]*35)*(1+OFFSET(TblProd[[#This Row],[Bonus Food/hr]],-1,0)),0)</f>
        <v>571835</v>
      </c>
      <c r="K52" s="69" t="n">
        <f aca="false">OFFSET(TblProd[[#This Row],[Lumber]],-1,0)+OFFSET(TblProd[[#This Row],[Lumber/hr]],-1,0) - TblProd[[#This Row],[Expenses Lumber]] + SUM(TblConstr[[#This Row],[Dest Hom]:[Dest Doc]])*TblConstr[[#This Row],[CPA Lumber -DB]]*tech_3_3_2*TblTech[[#This Row],[3-3]]</f>
        <v>43558</v>
      </c>
      <c r="L52" s="69" t="n">
        <f aca="false">OFFSET(TblProd[[#This Row],[Mana]],-1,0)+OFFSET(TblProd[[#This Row],[Mana/hr]],-1,0)- TblProd[[#This Row],[Expenses Mana]]</f>
        <v>681560.5</v>
      </c>
      <c r="M52" s="69" t="n">
        <f aca="false">OFFSET(TblProd[[#This Row],[Ore]],-1,0)+OFFSET(TblProd[[#This Row],[Ore/hr]],-1,0) -TblProd[[#This Row],[Expenses Ore]]</f>
        <v>-357</v>
      </c>
      <c r="N52" s="69" t="n">
        <f aca="false">OFFSET(TblProd[[#This Row],[Gems]],-1,0)+OFFSET(TblProd[[#This Row],[Gems/hr]],-1,0) - TblProd[[#This Row],[Expenses Gems]]</f>
        <v>-1000</v>
      </c>
      <c r="O52" s="69" t="n">
        <f aca="false">OFFSET(TblProd[[#This Row],[Boats]],-1,0)+OFFSET(TblProd[[#This Row],[Boats/hr]],-1,0)</f>
        <v>8.25</v>
      </c>
      <c r="P52" s="69" t="n">
        <f aca="false">OFFSET(TblProd[[#This Row],[Prestige]],-1,0)</f>
        <v>250</v>
      </c>
      <c r="Q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2" s="69" t="n">
        <f aca="false">MAX(3750,_xlfn.CEILING.MATH(TblProd[[#This Row],[Land]]*2.5+OFFSET(TblTech[[#This Row],[Sum of tech]],-1,0)*150))</f>
        <v>3750</v>
      </c>
      <c r="S52" s="132"/>
      <c r="T52" s="69" t="n">
        <f aca="false">ROUNDDOWN(TblProd[[#This Row],[Raw Plat/hr]]*(1+TblProd[[#This Row],[Bonus Plat/hr]]),0)</f>
        <v>40302</v>
      </c>
      <c r="U52" s="69" t="n">
        <f aca="false">ROUND(TblProd[[#This Row],[Raw Food/hr]]*(1+TblProd[[#This Row],[Bonus Food/hr]])-TblProd[[#This Row],[Food decay]]-TblProd[[#This Row],[Food eaten]],0)</f>
        <v>-6092</v>
      </c>
      <c r="V52" s="69" t="n">
        <f aca="false">ROUND(TblProd[[#This Row],[Raw Lumber/hr]]*(1+TblProd[[#This Row],[Bonus Lumber/hr]])-TblProd[[#This Row],[Lumber rot]],0)</f>
        <v>689</v>
      </c>
      <c r="W52" s="69" t="n">
        <f aca="false">ROUND(TblProd[[#This Row],[Raw Mana/hr]]*(1+TblProd[[#This Row],[Bonus Mana/hr]])-TblProd[[#This Row],[Mana drain]],0)</f>
        <v>-13006</v>
      </c>
      <c r="X52" s="69" t="n">
        <f aca="false">ROUNDDOWN(TblProd[[#This Row],[Raw Ore/hr]]*(1+TblProd[[#This Row],[Bonux Ore/hr]]),0)</f>
        <v>0</v>
      </c>
      <c r="Y52" s="69" t="n">
        <f aca="false">ROUNDDOWN(TblProd[[#This Row],[Raw Gems/hr]]*(1+TblProd[[#This Row],[Bonus Gems/hr]]),0)</f>
        <v>0</v>
      </c>
      <c r="Z52" s="148" t="n">
        <f aca="false">OFFSET(TblConstr[[#This Row],[Tot Doc]],1,0)*dock_boats_hr * (1 + tech_4_1*TblTech[[#This Row],[4-1]])</f>
        <v>0.5</v>
      </c>
      <c r="AA52" s="146"/>
      <c r="AB52" s="69" t="n">
        <f aca="false">TblPop[[#This Row],[Peasants]]*tax*TblPop[[#This Row],[Employment]] + (Construction!AZ53+Construction!BX53)*(alch_plat+(Magic!AM52&gt;0)*alchemist_flame_bonus)</f>
        <v>36638.5</v>
      </c>
      <c r="AC52" s="69" t="n">
        <f aca="false">TblConstr[[#This Row],[Tot Farm]]*farm_food + TblConstr[[#This Row],[Tot Doc]]*dock_food</f>
        <v>1920</v>
      </c>
      <c r="AD52" s="69" t="n">
        <f aca="false">TblConstr[[#This Row],[Tot Ly]]*ly_lumber + TblConstr[[#This Row],[Tot Hav]]*fh_lumber</f>
        <v>1250</v>
      </c>
      <c r="AE52" s="69" t="n">
        <f aca="false">OFFSET(TblConstr[[#This Row],[Tot Tow]],1,0)*(tower_mana + tech_4_5*TblTech[[#This Row],[4-5]]) + OFFSET(TblConstr[[#This Row],[Tot WG]],1,0)*wg_mana_prod</f>
        <v>625</v>
      </c>
      <c r="AF52" s="69" t="n">
        <f aca="false">OFFSET(TblConstr[[#This Row],[Tot OM]],1,0)*om_ore+IF(race="Dwarf",ROUNDDOWN(TblMili[[#This Row],[Unit 2]]*0.4,0),)</f>
        <v>0</v>
      </c>
      <c r="AG52" s="69" t="n">
        <f aca="false">OFFSET(TblConstr[[#This Row],[Tot DM]],1,0)*dm_gems</f>
        <v>0</v>
      </c>
      <c r="AH52" s="132"/>
      <c r="AI52" s="149" t="n">
        <f aca="false">MIN(race_platinum_bonus + IF(TblMagic[[#This Row],[Active Alch Frost]]&gt;0,alch_frost_bonus,IF(Magic!AD52&gt;0,midas_bonus)) + TblImps[[#This Row],[Science]] - TblProd[[#This Row],[Guard]]*(0.02 + tech_5_7*TblTech[[#This Row],[5-7]]) + tech_1_5*TblTech[[#This Row],[1-5]] + tech_4_4*TblTech[[#This Row],[4-4]], 0.5)</f>
        <v>0.1</v>
      </c>
      <c r="AJ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2" s="149" t="n">
        <f aca="false">race_lumber_bonus+ IF(TblMagic[[#This Row],[Active Gaia''s Blessing]]&gt;0,gaias_blessing_lumber)+ tech_1_3*TblTech[[#This Row],[1-3]] + tech_1_6*TblTech[[#This Row],[1-6]] + tech_3_3*TblTech[[#This Row],[3-3]]</f>
        <v>-0.1</v>
      </c>
      <c r="AL52" s="149" t="n">
        <f aca="false">race_mana_bonus+ 0 + TblImps[[#This Row],[Towers]] + tech_1_2*TblTech[[#This Row],[1-2]] + tech_3_4*TblTech[[#This Row],[3-4]]</f>
        <v>0</v>
      </c>
      <c r="AM52" s="149" t="n">
        <f aca="false">race_ore_bonus + IF(TblMagic[[#This Row],[Active Miner''s Sight]]&gt;0,miners_sight_bonus,IF(TblMagic[[#This Row],[Active Mining Strength]]&gt;0,mining_strength_bonus)) +  tech_1_6*TblTech[[#This Row],[1-6]]</f>
        <v>0</v>
      </c>
      <c r="AN52" s="149" t="n">
        <f aca="false">race_gem_bonus+ tech_3_2*TblTech[[#This Row],[3-2]] + tech_4_3*TblTech[[#This Row],[4-3]] + tech_6_2*TblTech[[#This Row],[6-2]]</f>
        <v>0.15</v>
      </c>
      <c r="AO52" s="132"/>
      <c r="AP52" s="69" t="n">
        <f aca="false">TblProd[[#This Row],[Food]]*food_decay * (1 + tech_2_1*TblTech[[#This Row],[2-1]] + tech_2_8*TblTech[[#This Row],[2-8]])</f>
        <v>5718.35</v>
      </c>
      <c r="AQ52" s="69" t="n">
        <f aca="false">(1+race_food_consumption)*TblPop[[#This Row],[Total]]*food_per_person*(1+tech_1_10*TblTech[[#This Row],[1-10]]+tech_7_5*TblTech[[#This Row],[7-5]])</f>
        <v>2341.25</v>
      </c>
      <c r="AR52" s="69" t="n">
        <f aca="false">TblProd[[#This Row],[Lumber]]*lumber_rot * (1 + tech_2_1*TblTech[[#This Row],[2-1]] + tech_2_8*TblTech[[#This Row],[2-8]] + tech_5_2*TblTech[[#This Row],[5-2]])</f>
        <v>435.58</v>
      </c>
      <c r="AS52" s="69" t="n">
        <f aca="false">TblProd[[#This Row],[Mana]]*mana_drain * (1 + tech_2_1*TblTech[[#This Row],[2-1]] + tech_2_8*TblTech[[#This Row],[2-8]])</f>
        <v>13631.21</v>
      </c>
      <c r="AT52" s="146"/>
      <c r="AU52" s="69" t="n">
        <f aca="false">TblExplore[[#This Row],[Platinum (2)]]+TblConstr[[#This Row],[Total Plat Cost]]+TblMili[[#This Row],[Plat Cost]]+TblRezone[[#This Row],[Platinum cost]]+TblImps[[#This Row],[P1]]-TblProd[[#This Row],[Bank Plat]]</f>
        <v>-10132</v>
      </c>
      <c r="AV52" s="69" t="n">
        <f aca="false">TblConstr[[#This Row],[Total Lum Cost]]+TblImps[[#This Row],[L1]]-TblProd[[#This Row],[Bank Lumber]] + Military!$CL$25*TblMili[[#This Row],[Sec. rec. Cost]]</f>
        <v>-1767</v>
      </c>
      <c r="AW52" s="69" t="n">
        <f aca="false">TblMagic[[#This Row],[Mana cost]] + Military!$CL$26*TblMili[[#This Row],[Sec. rec. Cost]]</f>
        <v>0</v>
      </c>
      <c r="AX52" s="69" t="n">
        <f aca="false">Military!$CL$24*TblMili[[#This Row],[Sec. rec. Cost]]+TblImps[[#This Row],[O1]]-TblProd[[#This Row],[Bank Ore]]</f>
        <v>0</v>
      </c>
      <c r="AY52" s="69" t="n">
        <f aca="false">TblImps[[#This Row],[G1]]-TblProd[[#This Row],[Bank Gems]]</f>
        <v>0</v>
      </c>
      <c r="AZ52" s="132"/>
      <c r="BA52" s="33" t="n">
        <f aca="false">IF(TblProd[[#This Row],[Set Guard]]&lt;&gt;"",TblProd[[#This Row],[Set Guard]],OFFSET(TblProd[[#This Row],[Guard]],-1,0))</f>
        <v>0</v>
      </c>
      <c r="BB52" s="145"/>
      <c r="BC52" s="151" t="n">
        <f aca="false">TblProd[[#This Row],[Hour]]</f>
        <v>49</v>
      </c>
      <c r="BD52" s="152" t="n">
        <f aca="false">-TblProd[[#This Row],[Bank Lumber]] / 2 + -TblProd[[#This Row],[Bank Gems]] * 2 + -TblProd[[#This Row],[Bank Ore]] / 2</f>
        <v>0</v>
      </c>
      <c r="BE52" s="152"/>
      <c r="BF52" s="152"/>
      <c r="BG52" s="152"/>
      <c r="BH52" s="153" t="n">
        <f aca="false">TblProd[[#This Row],[Time]]</f>
        <v>45431.75</v>
      </c>
      <c r="BI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J52" s="69" t="n">
        <f aca="false">TblProd[[#This Row],[Platinum]]</f>
        <v>558603</v>
      </c>
      <c r="BK52" s="69" t="n">
        <f aca="false">TblProd[[#This Row],[Food]]</f>
        <v>571835</v>
      </c>
      <c r="BL52" s="69" t="n">
        <f aca="false">TblProd[[#This Row],[Lumber]]</f>
        <v>43558</v>
      </c>
      <c r="BM52" s="69" t="n">
        <f aca="false">TblProd[[#This Row],[Mana]]</f>
        <v>681560.5</v>
      </c>
      <c r="BN52" s="69" t="n">
        <f aca="false">TblProd[[#This Row],[Ore]]</f>
        <v>-357</v>
      </c>
    </row>
    <row r="53" customFormat="false" ht="12.75" hidden="false" customHeight="false" outlineLevel="0" collapsed="false">
      <c r="A53" s="128" t="n">
        <v>50</v>
      </c>
      <c r="B53" s="144" t="n">
        <f aca="false">TblImps[[#This Row],[Time]]</f>
        <v>45431.7916666667</v>
      </c>
      <c r="C53" s="145"/>
      <c r="D53" s="146"/>
      <c r="E53" s="69" t="n">
        <f aca="false">TblConstr[[#This Row],[Land]]</f>
        <v>588</v>
      </c>
      <c r="F53" s="69" t="n">
        <f aca="false">TblPop[[#This Row],[Peasants]]</f>
        <v>9179</v>
      </c>
      <c r="G53" s="69"/>
      <c r="H53" s="69" t="e">
        <f aca="false">TblMili[[#This Row],[Networth (2)]]</f>
        <v>#VALUE!</v>
      </c>
      <c r="I53" s="69" t="n">
        <f aca="false">OFFSET(TblProd[[#This Row],[Platinum]],-1,0)+OFFSET(TblProd[[#This Row],[Plat/hr]],-1,0) - TblProd[[#This Row],[Expenses Platinum]] + IF(TblProd[[#This Row],[Plat Bonus]],TblPop[[#This Row],[Peasants]]*4) + SUM(TblConstr[[#This Row],[Dest Hom]:[Dest Doc]])*TblConstr[[#This Row],[CPA Platinum -DB]]*tech_3_3_2*TblTech[[#This Row],[3-3]]</f>
        <v>619774</v>
      </c>
      <c r="J53" s="69" t="n">
        <f aca="false">OFFSET(TblProd[[#This Row],[Food]],-1,0)+OFFSET(TblProd[[#This Row],[Food/hr]],-1,0)+ROUNDUP((TblConstr[[#This Row],[Farms]]*80+TblConstr[[#This Row],[Docks]]*35)*(1+OFFSET(TblProd[[#This Row],[Bonus Food/hr]],-1,0)),0)</f>
        <v>565743</v>
      </c>
      <c r="K53" s="69" t="n">
        <f aca="false">OFFSET(TblProd[[#This Row],[Lumber]],-1,0)+OFFSET(TblProd[[#This Row],[Lumber/hr]],-1,0) - TblProd[[#This Row],[Expenses Lumber]] + SUM(TblConstr[[#This Row],[Dest Hom]:[Dest Doc]])*TblConstr[[#This Row],[CPA Lumber -DB]]*tech_3_3_2*TblTech[[#This Row],[3-3]]</f>
        <v>48019</v>
      </c>
      <c r="L53" s="69" t="n">
        <f aca="false">OFFSET(TblProd[[#This Row],[Mana]],-1,0)+OFFSET(TblProd[[#This Row],[Mana/hr]],-1,0)- TblProd[[#This Row],[Expenses Mana]]</f>
        <v>665614.5</v>
      </c>
      <c r="M53" s="69" t="n">
        <f aca="false">OFFSET(TblProd[[#This Row],[Ore]],-1,0)+OFFSET(TblProd[[#This Row],[Ore/hr]],-1,0) -TblProd[[#This Row],[Expenses Ore]]</f>
        <v>-357</v>
      </c>
      <c r="N53" s="69" t="n">
        <f aca="false">OFFSET(TblProd[[#This Row],[Gems]],-1,0)+OFFSET(TblProd[[#This Row],[Gems/hr]],-1,0) - TblProd[[#This Row],[Expenses Gems]]</f>
        <v>-1000</v>
      </c>
      <c r="O53" s="69" t="n">
        <f aca="false">OFFSET(TblProd[[#This Row],[Boats]],-1,0)+OFFSET(TblProd[[#This Row],[Boats/hr]],-1,0)</f>
        <v>8.75</v>
      </c>
      <c r="P53" s="69" t="n">
        <f aca="false">OFFSET(TblProd[[#This Row],[Prestige]],-1,0)</f>
        <v>250</v>
      </c>
      <c r="Q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3" s="69" t="n">
        <f aca="false">MAX(3750,_xlfn.CEILING.MATH(TblProd[[#This Row],[Land]]*2.5+OFFSET(TblTech[[#This Row],[Sum of tech]],-1,0)*150))</f>
        <v>3750</v>
      </c>
      <c r="S53" s="132"/>
      <c r="T53" s="69" t="n">
        <f aca="false">ROUNDDOWN(TblProd[[#This Row],[Raw Plat/hr]]*(1+TblProd[[#This Row],[Bonus Plat/hr]]),0)</f>
        <v>40302</v>
      </c>
      <c r="U53" s="69" t="n">
        <f aca="false">ROUND(TblProd[[#This Row],[Raw Food/hr]]*(1+TblProd[[#This Row],[Bonus Food/hr]])-TblProd[[#This Row],[Food decay]]-TblProd[[#This Row],[Food eaten]],0)</f>
        <v>-6159</v>
      </c>
      <c r="V53" s="69" t="n">
        <f aca="false">ROUND(TblProd[[#This Row],[Raw Lumber/hr]]*(1+TblProd[[#This Row],[Bonus Lumber/hr]])-TblProd[[#This Row],[Lumber rot]],0)</f>
        <v>645</v>
      </c>
      <c r="W53" s="69" t="n">
        <f aca="false">ROUND(TblProd[[#This Row],[Raw Mana/hr]]*(1+TblProd[[#This Row],[Bonus Mana/hr]])-TblProd[[#This Row],[Mana drain]],0)</f>
        <v>-12687</v>
      </c>
      <c r="X53" s="69" t="n">
        <f aca="false">ROUNDDOWN(TblProd[[#This Row],[Raw Ore/hr]]*(1+TblProd[[#This Row],[Bonux Ore/hr]]),0)</f>
        <v>0</v>
      </c>
      <c r="Y53" s="69" t="n">
        <f aca="false">ROUNDDOWN(TblProd[[#This Row],[Raw Gems/hr]]*(1+TblProd[[#This Row],[Bonus Gems/hr]]),0)</f>
        <v>0</v>
      </c>
      <c r="Z53" s="148" t="n">
        <f aca="false">OFFSET(TblConstr[[#This Row],[Tot Doc]],1,0)*dock_boats_hr * (1 + tech_4_1*TblTech[[#This Row],[4-1]])</f>
        <v>0.5</v>
      </c>
      <c r="AA53" s="146"/>
      <c r="AB53" s="69" t="n">
        <f aca="false">TblPop[[#This Row],[Peasants]]*tax*TblPop[[#This Row],[Employment]] + (Construction!AZ54+Construction!BX54)*(alch_plat+(Magic!AM53&gt;0)*alchemist_flame_bonus)</f>
        <v>36638.5</v>
      </c>
      <c r="AC53" s="69" t="n">
        <f aca="false">TblConstr[[#This Row],[Tot Farm]]*farm_food + TblConstr[[#This Row],[Tot Doc]]*dock_food</f>
        <v>1920</v>
      </c>
      <c r="AD53" s="69" t="n">
        <f aca="false">TblConstr[[#This Row],[Tot Ly]]*ly_lumber + TblConstr[[#This Row],[Tot Hav]]*fh_lumber</f>
        <v>1250</v>
      </c>
      <c r="AE53" s="69" t="n">
        <f aca="false">OFFSET(TblConstr[[#This Row],[Tot Tow]],1,0)*(tower_mana + tech_4_5*TblTech[[#This Row],[4-5]]) + OFFSET(TblConstr[[#This Row],[Tot WG]],1,0)*wg_mana_prod</f>
        <v>625</v>
      </c>
      <c r="AF53" s="69" t="n">
        <f aca="false">OFFSET(TblConstr[[#This Row],[Tot OM]],1,0)*om_ore+IF(race="Dwarf",ROUNDDOWN(TblMili[[#This Row],[Unit 2]]*0.4,0),)</f>
        <v>0</v>
      </c>
      <c r="AG53" s="69" t="n">
        <f aca="false">OFFSET(TblConstr[[#This Row],[Tot DM]],1,0)*dm_gems</f>
        <v>0</v>
      </c>
      <c r="AH53" s="132"/>
      <c r="AI53" s="149" t="n">
        <f aca="false">MIN(race_platinum_bonus + IF(TblMagic[[#This Row],[Active Alch Frost]]&gt;0,alch_frost_bonus,IF(Magic!AD53&gt;0,midas_bonus)) + TblImps[[#This Row],[Science]] - TblProd[[#This Row],[Guard]]*(0.02 + tech_5_7*TblTech[[#This Row],[5-7]]) + tech_1_5*TblTech[[#This Row],[1-5]] + tech_4_4*TblTech[[#This Row],[4-4]], 0.5)</f>
        <v>0.1</v>
      </c>
      <c r="AJ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3" s="149" t="n">
        <f aca="false">race_lumber_bonus+ IF(TblMagic[[#This Row],[Active Gaia''s Blessing]]&gt;0,gaias_blessing_lumber)+ tech_1_3*TblTech[[#This Row],[1-3]] + tech_1_6*TblTech[[#This Row],[1-6]] + tech_3_3*TblTech[[#This Row],[3-3]]</f>
        <v>-0.1</v>
      </c>
      <c r="AL53" s="149" t="n">
        <f aca="false">race_mana_bonus+ 0 + TblImps[[#This Row],[Towers]] + tech_1_2*TblTech[[#This Row],[1-2]] + tech_3_4*TblTech[[#This Row],[3-4]]</f>
        <v>0</v>
      </c>
      <c r="AM53" s="149" t="n">
        <f aca="false">race_ore_bonus + IF(TblMagic[[#This Row],[Active Miner''s Sight]]&gt;0,miners_sight_bonus,IF(TblMagic[[#This Row],[Active Mining Strength]]&gt;0,mining_strength_bonus)) +  tech_1_6*TblTech[[#This Row],[1-6]]</f>
        <v>0</v>
      </c>
      <c r="AN53" s="149" t="n">
        <f aca="false">race_gem_bonus+ tech_3_2*TblTech[[#This Row],[3-2]] + tech_4_3*TblTech[[#This Row],[4-3]] + tech_6_2*TblTech[[#This Row],[6-2]]</f>
        <v>0.15</v>
      </c>
      <c r="AO53" s="132"/>
      <c r="AP53" s="69" t="n">
        <f aca="false">TblProd[[#This Row],[Food]]*food_decay * (1 + tech_2_1*TblTech[[#This Row],[2-1]] + tech_2_8*TblTech[[#This Row],[2-8]])</f>
        <v>5657.43</v>
      </c>
      <c r="AQ53" s="69" t="n">
        <f aca="false">(1+race_food_consumption)*TblPop[[#This Row],[Total]]*food_per_person*(1+tech_1_10*TblTech[[#This Row],[1-10]]+tech_7_5*TblTech[[#This Row],[7-5]])</f>
        <v>2470</v>
      </c>
      <c r="AR53" s="69" t="n">
        <f aca="false">TblProd[[#This Row],[Lumber]]*lumber_rot * (1 + tech_2_1*TblTech[[#This Row],[2-1]] + tech_2_8*TblTech[[#This Row],[2-8]] + tech_5_2*TblTech[[#This Row],[5-2]])</f>
        <v>480.19</v>
      </c>
      <c r="AS53" s="69" t="n">
        <f aca="false">TblProd[[#This Row],[Mana]]*mana_drain * (1 + tech_2_1*TblTech[[#This Row],[2-1]] + tech_2_8*TblTech[[#This Row],[2-8]])</f>
        <v>13312.29</v>
      </c>
      <c r="AT53" s="146"/>
      <c r="AU53" s="69" t="n">
        <f aca="false">TblExplore[[#This Row],[Platinum (2)]]+TblConstr[[#This Row],[Total Plat Cost]]+TblMili[[#This Row],[Plat Cost]]+TblRezone[[#This Row],[Platinum cost]]+TblImps[[#This Row],[P1]]-TblProd[[#This Row],[Bank Plat]]</f>
        <v>-20869</v>
      </c>
      <c r="AV53" s="69" t="n">
        <f aca="false">TblConstr[[#This Row],[Total Lum Cost]]+TblImps[[#This Row],[L1]]-TblProd[[#This Row],[Bank Lumber]] + Military!$CL$25*TblMili[[#This Row],[Sec. rec. Cost]]</f>
        <v>-3772</v>
      </c>
      <c r="AW53" s="69" t="n">
        <f aca="false">TblMagic[[#This Row],[Mana cost]] + Military!$CL$26*TblMili[[#This Row],[Sec. rec. Cost]]</f>
        <v>2940</v>
      </c>
      <c r="AX53" s="69" t="n">
        <f aca="false">Military!$CL$24*TblMili[[#This Row],[Sec. rec. Cost]]+TblImps[[#This Row],[O1]]-TblProd[[#This Row],[Bank Ore]]</f>
        <v>0</v>
      </c>
      <c r="AY53" s="69" t="n">
        <f aca="false">TblImps[[#This Row],[G1]]-TblProd[[#This Row],[Bank Gems]]</f>
        <v>0</v>
      </c>
      <c r="AZ53" s="132"/>
      <c r="BA53" s="33" t="n">
        <f aca="false">IF(TblProd[[#This Row],[Set Guard]]&lt;&gt;"",TblProd[[#This Row],[Set Guard]],OFFSET(TblProd[[#This Row],[Guard]],-1,0))</f>
        <v>0</v>
      </c>
      <c r="BB53" s="145"/>
      <c r="BC53" s="151" t="n">
        <f aca="false">TblProd[[#This Row],[Hour]]</f>
        <v>50</v>
      </c>
      <c r="BD53" s="152" t="n">
        <f aca="false">-TblProd[[#This Row],[Bank Lumber]] / 2 + -TblProd[[#This Row],[Bank Gems]] * 2 + -TblProd[[#This Row],[Bank Ore]] / 2</f>
        <v>0</v>
      </c>
      <c r="BE53" s="152"/>
      <c r="BF53" s="152"/>
      <c r="BG53" s="152"/>
      <c r="BH53" s="153" t="n">
        <f aca="false">TblProd[[#This Row],[Time]]</f>
        <v>45431.7916666667</v>
      </c>
      <c r="BI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J53" s="69" t="n">
        <f aca="false">TblProd[[#This Row],[Platinum]]</f>
        <v>619774</v>
      </c>
      <c r="BK53" s="69" t="n">
        <f aca="false">TblProd[[#This Row],[Food]]</f>
        <v>565743</v>
      </c>
      <c r="BL53" s="69" t="n">
        <f aca="false">TblProd[[#This Row],[Lumber]]</f>
        <v>48019</v>
      </c>
      <c r="BM53" s="69" t="n">
        <f aca="false">TblProd[[#This Row],[Mana]]</f>
        <v>665614.5</v>
      </c>
      <c r="BN53" s="69" t="n">
        <f aca="false">TblProd[[#This Row],[Ore]]</f>
        <v>-357</v>
      </c>
    </row>
    <row r="54" customFormat="false" ht="12.75" hidden="false" customHeight="false" outlineLevel="0" collapsed="false">
      <c r="A54" s="128" t="n">
        <v>51</v>
      </c>
      <c r="B54" s="144" t="n">
        <f aca="false">TblImps[[#This Row],[Time]]</f>
        <v>45431.8333333333</v>
      </c>
      <c r="C54" s="145"/>
      <c r="D54" s="146"/>
      <c r="E54" s="69" t="n">
        <f aca="false">TblConstr[[#This Row],[Land]]</f>
        <v>602</v>
      </c>
      <c r="F54" s="69" t="n">
        <f aca="false">TblPop[[#This Row],[Peasants]]</f>
        <v>9356</v>
      </c>
      <c r="G54" s="69"/>
      <c r="H54" s="69" t="e">
        <f aca="false">TblMili[[#This Row],[Networth (2)]]</f>
        <v>#VALUE!</v>
      </c>
      <c r="I54" s="69" t="n">
        <f aca="false">OFFSET(TblProd[[#This Row],[Platinum]],-1,0)+OFFSET(TblProd[[#This Row],[Plat/hr]],-1,0) - TblProd[[#This Row],[Expenses Platinum]] + IF(TblProd[[#This Row],[Plat Bonus]],TblPop[[#This Row],[Peasants]]*4) + SUM(TblConstr[[#This Row],[Dest Hom]:[Dest Doc]])*TblConstr[[#This Row],[CPA Platinum -DB]]*tech_3_3_2*TblTech[[#This Row],[3-3]]</f>
        <v>680716</v>
      </c>
      <c r="J54" s="69" t="n">
        <f aca="false">OFFSET(TblProd[[#This Row],[Food]],-1,0)+OFFSET(TblProd[[#This Row],[Food/hr]],-1,0)+ROUNDUP((TblConstr[[#This Row],[Farms]]*80+TblConstr[[#This Row],[Docks]]*35)*(1+OFFSET(TblProd[[#This Row],[Bonus Food/hr]],-1,0)),0)</f>
        <v>559584</v>
      </c>
      <c r="K54" s="69" t="n">
        <f aca="false">OFFSET(TblProd[[#This Row],[Lumber]],-1,0)+OFFSET(TblProd[[#This Row],[Lumber/hr]],-1,0) - TblProd[[#This Row],[Expenses Lumber]] + SUM(TblConstr[[#This Row],[Dest Hom]:[Dest Doc]])*TblConstr[[#This Row],[CPA Lumber -DB]]*tech_3_3_2*TblTech[[#This Row],[3-3]]</f>
        <v>52424</v>
      </c>
      <c r="L54" s="69" t="n">
        <f aca="false">OFFSET(TblProd[[#This Row],[Mana]],-1,0)+OFFSET(TblProd[[#This Row],[Mana/hr]],-1,0)- TblProd[[#This Row],[Expenses Mana]]</f>
        <v>652927.5</v>
      </c>
      <c r="M54" s="69" t="n">
        <f aca="false">OFFSET(TblProd[[#This Row],[Ore]],-1,0)+OFFSET(TblProd[[#This Row],[Ore/hr]],-1,0) -TblProd[[#This Row],[Expenses Ore]]</f>
        <v>-357</v>
      </c>
      <c r="N54" s="69" t="n">
        <f aca="false">OFFSET(TblProd[[#This Row],[Gems]],-1,0)+OFFSET(TblProd[[#This Row],[Gems/hr]],-1,0) - TblProd[[#This Row],[Expenses Gems]]</f>
        <v>-1000</v>
      </c>
      <c r="O54" s="69" t="n">
        <f aca="false">OFFSET(TblProd[[#This Row],[Boats]],-1,0)+OFFSET(TblProd[[#This Row],[Boats/hr]],-1,0)</f>
        <v>9.25</v>
      </c>
      <c r="P54" s="69" t="n">
        <f aca="false">OFFSET(TblProd[[#This Row],[Prestige]],-1,0)</f>
        <v>250</v>
      </c>
      <c r="Q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4" s="69" t="n">
        <f aca="false">MAX(3750,_xlfn.CEILING.MATH(TblProd[[#This Row],[Land]]*2.5+OFFSET(TblTech[[#This Row],[Sum of tech]],-1,0)*150))</f>
        <v>3750</v>
      </c>
      <c r="S54" s="132"/>
      <c r="T54" s="69" t="n">
        <f aca="false">ROUNDDOWN(TblProd[[#This Row],[Raw Plat/hr]]*(1+TblProd[[#This Row],[Bonus Plat/hr]]),0)</f>
        <v>40302</v>
      </c>
      <c r="U54" s="69" t="n">
        <f aca="false">ROUND(TblProd[[#This Row],[Raw Food/hr]]*(1+TblProd[[#This Row],[Bonus Food/hr]])-TblProd[[#This Row],[Food decay]]-TblProd[[#This Row],[Food eaten]],0)</f>
        <v>-6165</v>
      </c>
      <c r="V54" s="69" t="n">
        <f aca="false">ROUND(TblProd[[#This Row],[Raw Lumber/hr]]*(1+TblProd[[#This Row],[Bonus Lumber/hr]])-TblProd[[#This Row],[Lumber rot]],0)</f>
        <v>601</v>
      </c>
      <c r="W54" s="69" t="n">
        <f aca="false">ROUND(TblProd[[#This Row],[Raw Mana/hr]]*(1+TblProd[[#This Row],[Bonus Mana/hr]])-TblProd[[#This Row],[Mana drain]],0)</f>
        <v>-12434</v>
      </c>
      <c r="X54" s="69" t="n">
        <f aca="false">ROUNDDOWN(TblProd[[#This Row],[Raw Ore/hr]]*(1+TblProd[[#This Row],[Bonux Ore/hr]]),0)</f>
        <v>0</v>
      </c>
      <c r="Y54" s="69" t="n">
        <f aca="false">ROUNDDOWN(TblProd[[#This Row],[Raw Gems/hr]]*(1+TblProd[[#This Row],[Bonus Gems/hr]]),0)</f>
        <v>0</v>
      </c>
      <c r="Z54" s="148" t="n">
        <f aca="false">OFFSET(TblConstr[[#This Row],[Tot Doc]],1,0)*dock_boats_hr * (1 + tech_4_1*TblTech[[#This Row],[4-1]])</f>
        <v>0.5</v>
      </c>
      <c r="AA54" s="146"/>
      <c r="AB54" s="69" t="n">
        <f aca="false">TblPop[[#This Row],[Peasants]]*tax*TblPop[[#This Row],[Employment]] + (Construction!AZ55+Construction!BX55)*(alch_plat+(Magic!AM54&gt;0)*alchemist_flame_bonus)</f>
        <v>36638.5</v>
      </c>
      <c r="AC54" s="69" t="n">
        <f aca="false">TblConstr[[#This Row],[Tot Farm]]*farm_food + TblConstr[[#This Row],[Tot Doc]]*dock_food</f>
        <v>1920</v>
      </c>
      <c r="AD54" s="69" t="n">
        <f aca="false">TblConstr[[#This Row],[Tot Ly]]*ly_lumber + TblConstr[[#This Row],[Tot Hav]]*fh_lumber</f>
        <v>1250</v>
      </c>
      <c r="AE54" s="69" t="n">
        <f aca="false">OFFSET(TblConstr[[#This Row],[Tot Tow]],1,0)*(tower_mana + tech_4_5*TblTech[[#This Row],[4-5]]) + OFFSET(TblConstr[[#This Row],[Tot WG]],1,0)*wg_mana_prod</f>
        <v>625</v>
      </c>
      <c r="AF54" s="69" t="n">
        <f aca="false">OFFSET(TblConstr[[#This Row],[Tot OM]],1,0)*om_ore+IF(race="Dwarf",ROUNDDOWN(TblMili[[#This Row],[Unit 2]]*0.4,0),)</f>
        <v>0</v>
      </c>
      <c r="AG54" s="69" t="n">
        <f aca="false">OFFSET(TblConstr[[#This Row],[Tot DM]],1,0)*dm_gems</f>
        <v>0</v>
      </c>
      <c r="AH54" s="132"/>
      <c r="AI54" s="149" t="n">
        <f aca="false">MIN(race_platinum_bonus + IF(TblMagic[[#This Row],[Active Alch Frost]]&gt;0,alch_frost_bonus,IF(Magic!AD54&gt;0,midas_bonus)) + TblImps[[#This Row],[Science]] - TblProd[[#This Row],[Guard]]*(0.02 + tech_5_7*TblTech[[#This Row],[5-7]]) + tech_1_5*TblTech[[#This Row],[1-5]] + tech_4_4*TblTech[[#This Row],[4-4]], 0.5)</f>
        <v>0.1</v>
      </c>
      <c r="AJ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4" s="149" t="n">
        <f aca="false">race_lumber_bonus+ IF(TblMagic[[#This Row],[Active Gaia''s Blessing]]&gt;0,gaias_blessing_lumber)+ tech_1_3*TblTech[[#This Row],[1-3]] + tech_1_6*TblTech[[#This Row],[1-6]] + tech_3_3*TblTech[[#This Row],[3-3]]</f>
        <v>-0.1</v>
      </c>
      <c r="AL54" s="149" t="n">
        <f aca="false">race_mana_bonus+ 0 + TblImps[[#This Row],[Towers]] + tech_1_2*TblTech[[#This Row],[1-2]] + tech_3_4*TblTech[[#This Row],[3-4]]</f>
        <v>0</v>
      </c>
      <c r="AM54" s="149" t="n">
        <f aca="false">race_ore_bonus + IF(TblMagic[[#This Row],[Active Miner''s Sight]]&gt;0,miners_sight_bonus,IF(TblMagic[[#This Row],[Active Mining Strength]]&gt;0,mining_strength_bonus)) +  tech_1_6*TblTech[[#This Row],[1-6]]</f>
        <v>0</v>
      </c>
      <c r="AN54" s="149" t="n">
        <f aca="false">race_gem_bonus+ tech_3_2*TblTech[[#This Row],[3-2]] + tech_4_3*TblTech[[#This Row],[4-3]] + tech_6_2*TblTech[[#This Row],[6-2]]</f>
        <v>0.15</v>
      </c>
      <c r="AO54" s="132"/>
      <c r="AP54" s="69" t="n">
        <f aca="false">TblProd[[#This Row],[Food]]*food_decay * (1 + tech_2_1*TblTech[[#This Row],[2-1]] + tech_2_8*TblTech[[#This Row],[2-8]])</f>
        <v>5595.84</v>
      </c>
      <c r="AQ54" s="69" t="n">
        <f aca="false">(1+race_food_consumption)*TblPop[[#This Row],[Total]]*food_per_person*(1+tech_1_10*TblTech[[#This Row],[1-10]]+tech_7_5*TblTech[[#This Row],[7-5]])</f>
        <v>2537.25</v>
      </c>
      <c r="AR54" s="69" t="n">
        <f aca="false">TblProd[[#This Row],[Lumber]]*lumber_rot * (1 + tech_2_1*TblTech[[#This Row],[2-1]] + tech_2_8*TblTech[[#This Row],[2-8]] + tech_5_2*TblTech[[#This Row],[5-2]])</f>
        <v>524.24</v>
      </c>
      <c r="AS54" s="69" t="n">
        <f aca="false">TblProd[[#This Row],[Mana]]*mana_drain * (1 + tech_2_1*TblTech[[#This Row],[2-1]] + tech_2_8*TblTech[[#This Row],[2-8]])</f>
        <v>13058.55</v>
      </c>
      <c r="AT54" s="146"/>
      <c r="AU54" s="69" t="n">
        <f aca="false">TblExplore[[#This Row],[Platinum (2)]]+TblConstr[[#This Row],[Total Plat Cost]]+TblMili[[#This Row],[Plat Cost]]+TblRezone[[#This Row],[Platinum cost]]+TblImps[[#This Row],[P1]]-TblProd[[#This Row],[Bank Plat]]</f>
        <v>-20640</v>
      </c>
      <c r="AV54" s="69" t="n">
        <f aca="false">TblConstr[[#This Row],[Total Lum Cost]]+TblImps[[#This Row],[L1]]-TblProd[[#This Row],[Bank Lumber]] + Military!$CL$25*TblMili[[#This Row],[Sec. rec. Cost]]</f>
        <v>-3760</v>
      </c>
      <c r="AW54" s="69" t="n">
        <f aca="false">TblMagic[[#This Row],[Mana cost]] + Military!$CL$26*TblMili[[#This Row],[Sec. rec. Cost]]</f>
        <v>0</v>
      </c>
      <c r="AX54" s="69" t="n">
        <f aca="false">Military!$CL$24*TblMili[[#This Row],[Sec. rec. Cost]]+TblImps[[#This Row],[O1]]-TblProd[[#This Row],[Bank Ore]]</f>
        <v>0</v>
      </c>
      <c r="AY54" s="69" t="n">
        <f aca="false">TblImps[[#This Row],[G1]]-TblProd[[#This Row],[Bank Gems]]</f>
        <v>0</v>
      </c>
      <c r="AZ54" s="132"/>
      <c r="BA54" s="33" t="n">
        <f aca="false">IF(TblProd[[#This Row],[Set Guard]]&lt;&gt;"",TblProd[[#This Row],[Set Guard]],OFFSET(TblProd[[#This Row],[Guard]],-1,0))</f>
        <v>0</v>
      </c>
      <c r="BB54" s="145"/>
      <c r="BC54" s="151" t="n">
        <f aca="false">TblProd[[#This Row],[Hour]]</f>
        <v>51</v>
      </c>
      <c r="BD54" s="152" t="n">
        <f aca="false">-TblProd[[#This Row],[Bank Lumber]] / 2 + -TblProd[[#This Row],[Bank Gems]] * 2 + -TblProd[[#This Row],[Bank Ore]] / 2</f>
        <v>0</v>
      </c>
      <c r="BE54" s="152"/>
      <c r="BF54" s="152"/>
      <c r="BG54" s="152"/>
      <c r="BH54" s="153" t="n">
        <f aca="false">TblProd[[#This Row],[Time]]</f>
        <v>45431.8333333333</v>
      </c>
      <c r="BI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J54" s="69" t="n">
        <f aca="false">TblProd[[#This Row],[Platinum]]</f>
        <v>680716</v>
      </c>
      <c r="BK54" s="69" t="n">
        <f aca="false">TblProd[[#This Row],[Food]]</f>
        <v>559584</v>
      </c>
      <c r="BL54" s="69" t="n">
        <f aca="false">TblProd[[#This Row],[Lumber]]</f>
        <v>52424</v>
      </c>
      <c r="BM54" s="69" t="n">
        <f aca="false">TblProd[[#This Row],[Mana]]</f>
        <v>652927.5</v>
      </c>
      <c r="BN54" s="69" t="n">
        <f aca="false">TblProd[[#This Row],[Ore]]</f>
        <v>-357</v>
      </c>
    </row>
    <row r="55" customFormat="false" ht="12.75" hidden="false" customHeight="false" outlineLevel="0" collapsed="false">
      <c r="A55" s="128" t="n">
        <v>52</v>
      </c>
      <c r="B55" s="144" t="n">
        <f aca="false">TblImps[[#This Row],[Time]]</f>
        <v>45431.875</v>
      </c>
      <c r="C55" s="145"/>
      <c r="D55" s="146"/>
      <c r="E55" s="69" t="n">
        <f aca="false">TblConstr[[#This Row],[Land]]</f>
        <v>615</v>
      </c>
      <c r="F55" s="69" t="n">
        <f aca="false">TblPop[[#This Row],[Peasants]]</f>
        <v>9483</v>
      </c>
      <c r="G55" s="69"/>
      <c r="H55" s="69" t="e">
        <f aca="false">TblMili[[#This Row],[Networth (2)]]</f>
        <v>#VALUE!</v>
      </c>
      <c r="I55" s="69" t="n">
        <f aca="false">OFFSET(TblProd[[#This Row],[Platinum]],-1,0)+OFFSET(TblProd[[#This Row],[Plat/hr]],-1,0) - TblProd[[#This Row],[Expenses Platinum]] + IF(TblProd[[#This Row],[Plat Bonus]],TblPop[[#This Row],[Peasants]]*4) + SUM(TblConstr[[#This Row],[Dest Hom]:[Dest Doc]])*TblConstr[[#This Row],[CPA Platinum -DB]]*tech_3_3_2*TblTech[[#This Row],[3-3]]</f>
        <v>742420</v>
      </c>
      <c r="J55" s="69" t="n">
        <f aca="false">OFFSET(TblProd[[#This Row],[Food]],-1,0)+OFFSET(TblProd[[#This Row],[Food/hr]],-1,0)+ROUNDUP((TblConstr[[#This Row],[Farms]]*80+TblConstr[[#This Row],[Docks]]*35)*(1+OFFSET(TblProd[[#This Row],[Bonus Food/hr]],-1,0)),0)</f>
        <v>553419</v>
      </c>
      <c r="K55" s="69" t="n">
        <f aca="false">OFFSET(TblProd[[#This Row],[Lumber]],-1,0)+OFFSET(TblProd[[#This Row],[Lumber/hr]],-1,0) - TblProd[[#This Row],[Expenses Lumber]] + SUM(TblConstr[[#This Row],[Dest Hom]:[Dest Doc]])*TblConstr[[#This Row],[CPA Lumber -DB]]*tech_3_3_2*TblTech[[#This Row],[3-3]]</f>
        <v>56961</v>
      </c>
      <c r="L55" s="69" t="n">
        <f aca="false">OFFSET(TblProd[[#This Row],[Mana]],-1,0)+OFFSET(TblProd[[#This Row],[Mana/hr]],-1,0)- TblProd[[#This Row],[Expenses Mana]]</f>
        <v>638956</v>
      </c>
      <c r="M55" s="69" t="n">
        <f aca="false">OFFSET(TblProd[[#This Row],[Ore]],-1,0)+OFFSET(TblProd[[#This Row],[Ore/hr]],-1,0) -TblProd[[#This Row],[Expenses Ore]]</f>
        <v>-357</v>
      </c>
      <c r="N55" s="69" t="n">
        <f aca="false">OFFSET(TblProd[[#This Row],[Gems]],-1,0)+OFFSET(TblProd[[#This Row],[Gems/hr]],-1,0) - TblProd[[#This Row],[Expenses Gems]]</f>
        <v>-1000</v>
      </c>
      <c r="O55" s="69" t="n">
        <f aca="false">OFFSET(TblProd[[#This Row],[Boats]],-1,0)+OFFSET(TblProd[[#This Row],[Boats/hr]],-1,0)</f>
        <v>9.75</v>
      </c>
      <c r="P55" s="69" t="n">
        <f aca="false">OFFSET(TblProd[[#This Row],[Prestige]],-1,0)</f>
        <v>250</v>
      </c>
      <c r="Q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5" s="69" t="n">
        <f aca="false">MAX(3750,_xlfn.CEILING.MATH(TblProd[[#This Row],[Land]]*2.5+OFFSET(TblTech[[#This Row],[Sum of tech]],-1,0)*150))</f>
        <v>3750</v>
      </c>
      <c r="S55" s="132"/>
      <c r="T55" s="69" t="n">
        <f aca="false">ROUNDDOWN(TblProd[[#This Row],[Raw Plat/hr]]*(1+TblProd[[#This Row],[Bonus Plat/hr]]),0)</f>
        <v>44816</v>
      </c>
      <c r="U55" s="69" t="n">
        <f aca="false">ROUND(TblProd[[#This Row],[Raw Food/hr]]*(1+TblProd[[#This Row],[Bonus Food/hr]])-TblProd[[#This Row],[Food decay]]-TblProd[[#This Row],[Food eaten]],0)</f>
        <v>-6159</v>
      </c>
      <c r="V55" s="69" t="n">
        <f aca="false">ROUND(TblProd[[#This Row],[Raw Lumber/hr]]*(1+TblProd[[#This Row],[Bonus Lumber/hr]])-TblProd[[#This Row],[Lumber rot]],0)</f>
        <v>555</v>
      </c>
      <c r="W55" s="69" t="n">
        <f aca="false">ROUND(TblProd[[#This Row],[Raw Mana/hr]]*(1+TblProd[[#This Row],[Bonus Mana/hr]])-TblProd[[#This Row],[Mana drain]],0)</f>
        <v>-12154</v>
      </c>
      <c r="X55" s="69" t="n">
        <f aca="false">ROUNDDOWN(TblProd[[#This Row],[Raw Ore/hr]]*(1+TblProd[[#This Row],[Bonux Ore/hr]]),0)</f>
        <v>0</v>
      </c>
      <c r="Y55" s="69" t="n">
        <f aca="false">ROUNDDOWN(TblProd[[#This Row],[Raw Gems/hr]]*(1+TblProd[[#This Row],[Bonus Gems/hr]]),0)</f>
        <v>0</v>
      </c>
      <c r="Z55" s="148" t="n">
        <f aca="false">OFFSET(TblConstr[[#This Row],[Tot Doc]],1,0)*dock_boats_hr * (1 + tech_4_1*TblTech[[#This Row],[4-1]])</f>
        <v>0.5</v>
      </c>
      <c r="AA55" s="146"/>
      <c r="AB55" s="69" t="n">
        <f aca="false">TblPop[[#This Row],[Peasants]]*tax*TblPop[[#This Row],[Employment]] + (Construction!AZ56+Construction!BX56)*(alch_plat+(Magic!AM55&gt;0)*alchemist_flame_bonus)</f>
        <v>40742.1</v>
      </c>
      <c r="AC55" s="69" t="n">
        <f aca="false">TblConstr[[#This Row],[Tot Farm]]*farm_food + TblConstr[[#This Row],[Tot Doc]]*dock_food</f>
        <v>1920</v>
      </c>
      <c r="AD55" s="69" t="n">
        <f aca="false">TblConstr[[#This Row],[Tot Ly]]*ly_lumber + TblConstr[[#This Row],[Tot Hav]]*fh_lumber</f>
        <v>1250</v>
      </c>
      <c r="AE55" s="69" t="n">
        <f aca="false">OFFSET(TblConstr[[#This Row],[Tot Tow]],1,0)*(tower_mana + tech_4_5*TblTech[[#This Row],[4-5]]) + OFFSET(TblConstr[[#This Row],[Tot WG]],1,0)*wg_mana_prod</f>
        <v>625</v>
      </c>
      <c r="AF55" s="69" t="n">
        <f aca="false">OFFSET(TblConstr[[#This Row],[Tot OM]],1,0)*om_ore+IF(race="Dwarf",ROUNDDOWN(TblMili[[#This Row],[Unit 2]]*0.4,0),)</f>
        <v>0</v>
      </c>
      <c r="AG55" s="69" t="n">
        <f aca="false">OFFSET(TblConstr[[#This Row],[Tot DM]],1,0)*dm_gems</f>
        <v>0</v>
      </c>
      <c r="AH55" s="132"/>
      <c r="AI55" s="149" t="n">
        <f aca="false">MIN(race_platinum_bonus + IF(TblMagic[[#This Row],[Active Alch Frost]]&gt;0,alch_frost_bonus,IF(Magic!AD55&gt;0,midas_bonus)) + TblImps[[#This Row],[Science]] - TblProd[[#This Row],[Guard]]*(0.02 + tech_5_7*TblTech[[#This Row],[5-7]]) + tech_1_5*TblTech[[#This Row],[1-5]] + tech_4_4*TblTech[[#This Row],[4-4]], 0.5)</f>
        <v>0.1</v>
      </c>
      <c r="AJ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5" s="149" t="n">
        <f aca="false">race_lumber_bonus+ IF(TblMagic[[#This Row],[Active Gaia''s Blessing]]&gt;0,gaias_blessing_lumber)+ tech_1_3*TblTech[[#This Row],[1-3]] + tech_1_6*TblTech[[#This Row],[1-6]] + tech_3_3*TblTech[[#This Row],[3-3]]</f>
        <v>-0.1</v>
      </c>
      <c r="AL55" s="149" t="n">
        <f aca="false">race_mana_bonus+ 0 + TblImps[[#This Row],[Towers]] + tech_1_2*TblTech[[#This Row],[1-2]] + tech_3_4*TblTech[[#This Row],[3-4]]</f>
        <v>0</v>
      </c>
      <c r="AM55" s="149" t="n">
        <f aca="false">race_ore_bonus + IF(TblMagic[[#This Row],[Active Miner''s Sight]]&gt;0,miners_sight_bonus,IF(TblMagic[[#This Row],[Active Mining Strength]]&gt;0,mining_strength_bonus)) +  tech_1_6*TblTech[[#This Row],[1-6]]</f>
        <v>0</v>
      </c>
      <c r="AN55" s="149" t="n">
        <f aca="false">race_gem_bonus+ tech_3_2*TblTech[[#This Row],[3-2]] + tech_4_3*TblTech[[#This Row],[4-3]] + tech_6_2*TblTech[[#This Row],[6-2]]</f>
        <v>0.15</v>
      </c>
      <c r="AO55" s="132"/>
      <c r="AP55" s="69" t="n">
        <f aca="false">TblProd[[#This Row],[Food]]*food_decay * (1 + tech_2_1*TblTech[[#This Row],[2-1]] + tech_2_8*TblTech[[#This Row],[2-8]])</f>
        <v>5534.19</v>
      </c>
      <c r="AQ55" s="69" t="n">
        <f aca="false">(1+race_food_consumption)*TblPop[[#This Row],[Total]]*food_per_person*(1+tech_1_10*TblTech[[#This Row],[1-10]]+tech_7_5*TblTech[[#This Row],[7-5]])</f>
        <v>2592.5</v>
      </c>
      <c r="AR55" s="69" t="n">
        <f aca="false">TblProd[[#This Row],[Lumber]]*lumber_rot * (1 + tech_2_1*TblTech[[#This Row],[2-1]] + tech_2_8*TblTech[[#This Row],[2-8]] + tech_5_2*TblTech[[#This Row],[5-2]])</f>
        <v>569.61</v>
      </c>
      <c r="AS55" s="69" t="n">
        <f aca="false">TblProd[[#This Row],[Mana]]*mana_drain * (1 + tech_2_1*TblTech[[#This Row],[2-1]] + tech_2_8*TblTech[[#This Row],[2-8]])</f>
        <v>12779.12</v>
      </c>
      <c r="AT55" s="146"/>
      <c r="AU55" s="69" t="n">
        <f aca="false">TblExplore[[#This Row],[Platinum (2)]]+TblConstr[[#This Row],[Total Plat Cost]]+TblMili[[#This Row],[Plat Cost]]+TblRezone[[#This Row],[Platinum cost]]+TblImps[[#This Row],[P1]]-TblProd[[#This Row],[Bank Plat]]</f>
        <v>-21402</v>
      </c>
      <c r="AV55" s="69" t="n">
        <f aca="false">TblConstr[[#This Row],[Total Lum Cost]]+TblImps[[#This Row],[L1]]-TblProd[[#This Row],[Bank Lumber]] + Military!$CL$25*TblMili[[#This Row],[Sec. rec. Cost]]</f>
        <v>-3936</v>
      </c>
      <c r="AW55" s="69" t="n">
        <f aca="false">TblMagic[[#This Row],[Mana cost]] + Military!$CL$26*TblMili[[#This Row],[Sec. rec. Cost]]</f>
        <v>1537.5</v>
      </c>
      <c r="AX55" s="69" t="n">
        <f aca="false">Military!$CL$24*TblMili[[#This Row],[Sec. rec. Cost]]+TblImps[[#This Row],[O1]]-TblProd[[#This Row],[Bank Ore]]</f>
        <v>0</v>
      </c>
      <c r="AY55" s="69" t="n">
        <f aca="false">TblImps[[#This Row],[G1]]-TblProd[[#This Row],[Bank Gems]]</f>
        <v>0</v>
      </c>
      <c r="AZ55" s="132"/>
      <c r="BA55" s="33" t="n">
        <f aca="false">IF(TblProd[[#This Row],[Set Guard]]&lt;&gt;"",TblProd[[#This Row],[Set Guard]],OFFSET(TblProd[[#This Row],[Guard]],-1,0))</f>
        <v>0</v>
      </c>
      <c r="BB55" s="145"/>
      <c r="BC55" s="151" t="n">
        <f aca="false">TblProd[[#This Row],[Hour]]</f>
        <v>52</v>
      </c>
      <c r="BD55" s="152" t="n">
        <f aca="false">-TblProd[[#This Row],[Bank Lumber]] / 2 + -TblProd[[#This Row],[Bank Gems]] * 2 + -TblProd[[#This Row],[Bank Ore]] / 2</f>
        <v>0</v>
      </c>
      <c r="BE55" s="152"/>
      <c r="BF55" s="152"/>
      <c r="BG55" s="152"/>
      <c r="BH55" s="153" t="n">
        <f aca="false">TblProd[[#This Row],[Time]]</f>
        <v>45431.875</v>
      </c>
      <c r="BI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J55" s="69" t="n">
        <f aca="false">TblProd[[#This Row],[Platinum]]</f>
        <v>742420</v>
      </c>
      <c r="BK55" s="69" t="n">
        <f aca="false">TblProd[[#This Row],[Food]]</f>
        <v>553419</v>
      </c>
      <c r="BL55" s="69" t="n">
        <f aca="false">TblProd[[#This Row],[Lumber]]</f>
        <v>56961</v>
      </c>
      <c r="BM55" s="69" t="n">
        <f aca="false">TblProd[[#This Row],[Mana]]</f>
        <v>638956</v>
      </c>
      <c r="BN55" s="69" t="n">
        <f aca="false">TblProd[[#This Row],[Ore]]</f>
        <v>-357</v>
      </c>
    </row>
    <row r="56" customFormat="false" ht="12.75" hidden="false" customHeight="false" outlineLevel="0" collapsed="false">
      <c r="A56" s="128" t="n">
        <v>53</v>
      </c>
      <c r="B56" s="144" t="n">
        <f aca="false">TblImps[[#This Row],[Time]]</f>
        <v>45431.9166666667</v>
      </c>
      <c r="C56" s="145"/>
      <c r="D56" s="146"/>
      <c r="E56" s="69" t="n">
        <f aca="false">TblConstr[[#This Row],[Land]]</f>
        <v>626</v>
      </c>
      <c r="F56" s="69" t="n">
        <f aca="false">TblPop[[#This Row],[Peasants]]</f>
        <v>9587</v>
      </c>
      <c r="G56" s="69"/>
      <c r="H56" s="69" t="e">
        <f aca="false">TblMili[[#This Row],[Networth (2)]]</f>
        <v>#VALUE!</v>
      </c>
      <c r="I56" s="69" t="n">
        <f aca="false">OFFSET(TblProd[[#This Row],[Platinum]],-1,0)+OFFSET(TblProd[[#This Row],[Plat/hr]],-1,0) - TblProd[[#This Row],[Expenses Platinum]] + IF(TblProd[[#This Row],[Plat Bonus]],TblPop[[#This Row],[Peasants]]*4) + SUM(TblConstr[[#This Row],[Dest Hom]:[Dest Doc]])*TblConstr[[#This Row],[CPA Platinum -DB]]*tech_3_3_2*TblTech[[#This Row],[3-3]]</f>
        <v>809940</v>
      </c>
      <c r="J56" s="69" t="n">
        <f aca="false">OFFSET(TblProd[[#This Row],[Food]],-1,0)+OFFSET(TblProd[[#This Row],[Food/hr]],-1,0)+ROUNDUP((TblConstr[[#This Row],[Farms]]*80+TblConstr[[#This Row],[Docks]]*35)*(1+OFFSET(TblProd[[#This Row],[Bonus Food/hr]],-1,0)),0)</f>
        <v>547260</v>
      </c>
      <c r="K56" s="69" t="n">
        <f aca="false">OFFSET(TblProd[[#This Row],[Lumber]],-1,0)+OFFSET(TblProd[[#This Row],[Lumber/hr]],-1,0) - TblProd[[#This Row],[Expenses Lumber]] + SUM(TblConstr[[#This Row],[Dest Hom]:[Dest Doc]])*TblConstr[[#This Row],[CPA Lumber -DB]]*tech_3_3_2*TblTech[[#This Row],[3-3]]</f>
        <v>61687</v>
      </c>
      <c r="L56" s="69" t="n">
        <f aca="false">OFFSET(TblProd[[#This Row],[Mana]],-1,0)+OFFSET(TblProd[[#This Row],[Mana/hr]],-1,0)- TblProd[[#This Row],[Expenses Mana]]</f>
        <v>626802</v>
      </c>
      <c r="M56" s="69" t="n">
        <f aca="false">OFFSET(TblProd[[#This Row],[Ore]],-1,0)+OFFSET(TblProd[[#This Row],[Ore/hr]],-1,0) -TblProd[[#This Row],[Expenses Ore]]</f>
        <v>-357</v>
      </c>
      <c r="N56" s="69" t="n">
        <f aca="false">OFFSET(TblProd[[#This Row],[Gems]],-1,0)+OFFSET(TblProd[[#This Row],[Gems/hr]],-1,0) - TblProd[[#This Row],[Expenses Gems]]</f>
        <v>-1000</v>
      </c>
      <c r="O56" s="69" t="n">
        <f aca="false">OFFSET(TblProd[[#This Row],[Boats]],-1,0)+OFFSET(TblProd[[#This Row],[Boats/hr]],-1,0)</f>
        <v>10.25</v>
      </c>
      <c r="P56" s="69" t="n">
        <f aca="false">OFFSET(TblProd[[#This Row],[Prestige]],-1,0)</f>
        <v>250</v>
      </c>
      <c r="Q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6" s="69" t="n">
        <f aca="false">MAX(3750,_xlfn.CEILING.MATH(TblProd[[#This Row],[Land]]*2.5+OFFSET(TblTech[[#This Row],[Sum of tech]],-1,0)*150))</f>
        <v>3750</v>
      </c>
      <c r="S56" s="132"/>
      <c r="T56" s="69" t="n">
        <f aca="false">ROUNDDOWN(TblProd[[#This Row],[Raw Plat/hr]]*(1+TblProd[[#This Row],[Bonus Plat/hr]]),0)</f>
        <v>45188</v>
      </c>
      <c r="U56" s="69" t="n">
        <f aca="false">ROUND(TblProd[[#This Row],[Raw Food/hr]]*(1+TblProd[[#This Row],[Bonus Food/hr]])-TblProd[[#This Row],[Food decay]]-TblProd[[#This Row],[Food eaten]],0)</f>
        <v>-6147</v>
      </c>
      <c r="V56" s="69" t="n">
        <f aca="false">ROUND(TblProd[[#This Row],[Raw Lumber/hr]]*(1+TblProd[[#This Row],[Bonus Lumber/hr]])-TblProd[[#This Row],[Lumber rot]],0)</f>
        <v>508</v>
      </c>
      <c r="W56" s="69" t="n">
        <f aca="false">ROUND(TblProd[[#This Row],[Raw Mana/hr]]*(1+TblProd[[#This Row],[Bonus Mana/hr]])-TblProd[[#This Row],[Mana drain]],0)</f>
        <v>-11911</v>
      </c>
      <c r="X56" s="69" t="n">
        <f aca="false">ROUNDDOWN(TblProd[[#This Row],[Raw Ore/hr]]*(1+TblProd[[#This Row],[Bonux Ore/hr]]),0)</f>
        <v>0</v>
      </c>
      <c r="Y56" s="69" t="n">
        <f aca="false">ROUNDDOWN(TblProd[[#This Row],[Raw Gems/hr]]*(1+TblProd[[#This Row],[Bonus Gems/hr]]),0)</f>
        <v>0</v>
      </c>
      <c r="Z56" s="148" t="n">
        <f aca="false">OFFSET(TblConstr[[#This Row],[Tot Doc]],1,0)*dock_boats_hr * (1 + tech_4_1*TblTech[[#This Row],[4-1]])</f>
        <v>0.5</v>
      </c>
      <c r="AA56" s="146"/>
      <c r="AB56" s="69" t="n">
        <f aca="false">TblPop[[#This Row],[Peasants]]*tax*TblPop[[#This Row],[Employment]] + (Construction!AZ57+Construction!BX57)*(alch_plat+(Magic!AM56&gt;0)*alchemist_flame_bonus)</f>
        <v>41080.9</v>
      </c>
      <c r="AC56" s="69" t="n">
        <f aca="false">TblConstr[[#This Row],[Tot Farm]]*farm_food + TblConstr[[#This Row],[Tot Doc]]*dock_food</f>
        <v>1920</v>
      </c>
      <c r="AD56" s="69" t="n">
        <f aca="false">TblConstr[[#This Row],[Tot Ly]]*ly_lumber + TblConstr[[#This Row],[Tot Hav]]*fh_lumber</f>
        <v>1250</v>
      </c>
      <c r="AE56" s="69" t="n">
        <f aca="false">OFFSET(TblConstr[[#This Row],[Tot Tow]],1,0)*(tower_mana + tech_4_5*TblTech[[#This Row],[4-5]]) + OFFSET(TblConstr[[#This Row],[Tot WG]],1,0)*wg_mana_prod</f>
        <v>625</v>
      </c>
      <c r="AF56" s="69" t="n">
        <f aca="false">OFFSET(TblConstr[[#This Row],[Tot OM]],1,0)*om_ore+IF(race="Dwarf",ROUNDDOWN(TblMili[[#This Row],[Unit 2]]*0.4,0),)</f>
        <v>0</v>
      </c>
      <c r="AG56" s="69" t="n">
        <f aca="false">OFFSET(TblConstr[[#This Row],[Tot DM]],1,0)*dm_gems</f>
        <v>0</v>
      </c>
      <c r="AH56" s="132"/>
      <c r="AI56" s="149" t="n">
        <f aca="false">MIN(race_platinum_bonus + IF(TblMagic[[#This Row],[Active Alch Frost]]&gt;0,alch_frost_bonus,IF(Magic!AD56&gt;0,midas_bonus)) + TblImps[[#This Row],[Science]] - TblProd[[#This Row],[Guard]]*(0.02 + tech_5_7*TblTech[[#This Row],[5-7]]) + tech_1_5*TblTech[[#This Row],[1-5]] + tech_4_4*TblTech[[#This Row],[4-4]], 0.5)</f>
        <v>0.1</v>
      </c>
      <c r="AJ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6" s="149" t="n">
        <f aca="false">race_lumber_bonus+ IF(TblMagic[[#This Row],[Active Gaia''s Blessing]]&gt;0,gaias_blessing_lumber)+ tech_1_3*TblTech[[#This Row],[1-3]] + tech_1_6*TblTech[[#This Row],[1-6]] + tech_3_3*TblTech[[#This Row],[3-3]]</f>
        <v>-0.1</v>
      </c>
      <c r="AL56" s="149" t="n">
        <f aca="false">race_mana_bonus+ 0 + TblImps[[#This Row],[Towers]] + tech_1_2*TblTech[[#This Row],[1-2]] + tech_3_4*TblTech[[#This Row],[3-4]]</f>
        <v>0</v>
      </c>
      <c r="AM56" s="149" t="n">
        <f aca="false">race_ore_bonus + IF(TblMagic[[#This Row],[Active Miner''s Sight]]&gt;0,miners_sight_bonus,IF(TblMagic[[#This Row],[Active Mining Strength]]&gt;0,mining_strength_bonus)) +  tech_1_6*TblTech[[#This Row],[1-6]]</f>
        <v>0</v>
      </c>
      <c r="AN56" s="149" t="n">
        <f aca="false">race_gem_bonus+ tech_3_2*TblTech[[#This Row],[3-2]] + tech_4_3*TblTech[[#This Row],[4-3]] + tech_6_2*TblTech[[#This Row],[6-2]]</f>
        <v>0.15</v>
      </c>
      <c r="AO56" s="132"/>
      <c r="AP56" s="69" t="n">
        <f aca="false">TblProd[[#This Row],[Food]]*food_decay * (1 + tech_2_1*TblTech[[#This Row],[2-1]] + tech_2_8*TblTech[[#This Row],[2-8]])</f>
        <v>5472.6</v>
      </c>
      <c r="AQ56" s="69" t="n">
        <f aca="false">(1+race_food_consumption)*TblPop[[#This Row],[Total]]*food_per_person*(1+tech_1_10*TblTech[[#This Row],[1-10]]+tech_7_5*TblTech[[#This Row],[7-5]])</f>
        <v>2642.25</v>
      </c>
      <c r="AR56" s="69" t="n">
        <f aca="false">TblProd[[#This Row],[Lumber]]*lumber_rot * (1 + tech_2_1*TblTech[[#This Row],[2-1]] + tech_2_8*TblTech[[#This Row],[2-8]] + tech_5_2*TblTech[[#This Row],[5-2]])</f>
        <v>616.87</v>
      </c>
      <c r="AS56" s="69" t="n">
        <f aca="false">TblProd[[#This Row],[Mana]]*mana_drain * (1 + tech_2_1*TblTech[[#This Row],[2-1]] + tech_2_8*TblTech[[#This Row],[2-8]])</f>
        <v>12536.04</v>
      </c>
      <c r="AT56" s="146"/>
      <c r="AU56" s="69" t="n">
        <f aca="false">TblExplore[[#This Row],[Platinum (2)]]+TblConstr[[#This Row],[Total Plat Cost]]+TblMili[[#This Row],[Plat Cost]]+TblRezone[[#This Row],[Platinum cost]]+TblImps[[#This Row],[P1]]-TblProd[[#This Row],[Bank Plat]]</f>
        <v>-22704</v>
      </c>
      <c r="AV56" s="69" t="n">
        <f aca="false">TblConstr[[#This Row],[Total Lum Cost]]+TblImps[[#This Row],[L1]]-TblProd[[#This Row],[Bank Lumber]] + Military!$CL$25*TblMili[[#This Row],[Sec. rec. Cost]]</f>
        <v>-4171</v>
      </c>
      <c r="AW56" s="69" t="n">
        <f aca="false">TblMagic[[#This Row],[Mana cost]] + Military!$CL$26*TblMili[[#This Row],[Sec. rec. Cost]]</f>
        <v>0</v>
      </c>
      <c r="AX56" s="69" t="n">
        <f aca="false">Military!$CL$24*TblMili[[#This Row],[Sec. rec. Cost]]+TblImps[[#This Row],[O1]]-TblProd[[#This Row],[Bank Ore]]</f>
        <v>0</v>
      </c>
      <c r="AY56" s="69" t="n">
        <f aca="false">TblImps[[#This Row],[G1]]-TblProd[[#This Row],[Bank Gems]]</f>
        <v>0</v>
      </c>
      <c r="AZ56" s="132"/>
      <c r="BA56" s="33" t="n">
        <f aca="false">IF(TblProd[[#This Row],[Set Guard]]&lt;&gt;"",TblProd[[#This Row],[Set Guard]],OFFSET(TblProd[[#This Row],[Guard]],-1,0))</f>
        <v>0</v>
      </c>
      <c r="BB56" s="145"/>
      <c r="BC56" s="151" t="n">
        <f aca="false">TblProd[[#This Row],[Hour]]</f>
        <v>53</v>
      </c>
      <c r="BD56" s="152" t="n">
        <f aca="false">-TblProd[[#This Row],[Bank Lumber]] / 2 + -TblProd[[#This Row],[Bank Gems]] * 2 + -TblProd[[#This Row],[Bank Ore]] / 2</f>
        <v>0</v>
      </c>
      <c r="BE56" s="152"/>
      <c r="BF56" s="152"/>
      <c r="BG56" s="152"/>
      <c r="BH56" s="153" t="n">
        <f aca="false">TblProd[[#This Row],[Time]]</f>
        <v>45431.9166666667</v>
      </c>
      <c r="BI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J56" s="69" t="n">
        <f aca="false">TblProd[[#This Row],[Platinum]]</f>
        <v>809940</v>
      </c>
      <c r="BK56" s="69" t="n">
        <f aca="false">TblProd[[#This Row],[Food]]</f>
        <v>547260</v>
      </c>
      <c r="BL56" s="69" t="n">
        <f aca="false">TblProd[[#This Row],[Lumber]]</f>
        <v>61687</v>
      </c>
      <c r="BM56" s="69" t="n">
        <f aca="false">TblProd[[#This Row],[Mana]]</f>
        <v>626802</v>
      </c>
      <c r="BN56" s="69" t="n">
        <f aca="false">TblProd[[#This Row],[Ore]]</f>
        <v>-357</v>
      </c>
    </row>
    <row r="57" customFormat="false" ht="12.75" hidden="false" customHeight="false" outlineLevel="0" collapsed="false">
      <c r="A57" s="128" t="n">
        <v>54</v>
      </c>
      <c r="B57" s="144" t="n">
        <f aca="false">TblImps[[#This Row],[Time]]</f>
        <v>45431.9583333333</v>
      </c>
      <c r="C57" s="145"/>
      <c r="D57" s="146"/>
      <c r="E57" s="69" t="n">
        <f aca="false">TblConstr[[#This Row],[Land]]</f>
        <v>638</v>
      </c>
      <c r="F57" s="69" t="n">
        <f aca="false">TblPop[[#This Row],[Peasants]]</f>
        <v>9674</v>
      </c>
      <c r="G57" s="69"/>
      <c r="H57" s="69" t="e">
        <f aca="false">TblMili[[#This Row],[Networth (2)]]</f>
        <v>#VALUE!</v>
      </c>
      <c r="I57" s="69" t="n">
        <f aca="false">OFFSET(TblProd[[#This Row],[Platinum]],-1,0)+OFFSET(TblProd[[#This Row],[Plat/hr]],-1,0) - TblProd[[#This Row],[Expenses Platinum]] + IF(TblProd[[#This Row],[Plat Bonus]],TblPop[[#This Row],[Peasants]]*4) + SUM(TblConstr[[#This Row],[Dest Hom]:[Dest Doc]])*TblConstr[[#This Row],[CPA Platinum -DB]]*tech_3_3_2*TblTech[[#This Row],[3-3]]</f>
        <v>877556</v>
      </c>
      <c r="J57" s="69" t="n">
        <f aca="false">OFFSET(TblProd[[#This Row],[Food]],-1,0)+OFFSET(TblProd[[#This Row],[Food/hr]],-1,0)+ROUNDUP((TblConstr[[#This Row],[Farms]]*80+TblConstr[[#This Row],[Docks]]*35)*(1+OFFSET(TblProd[[#This Row],[Bonus Food/hr]],-1,0)),0)</f>
        <v>541113</v>
      </c>
      <c r="K57" s="69" t="n">
        <f aca="false">OFFSET(TblProd[[#This Row],[Lumber]],-1,0)+OFFSET(TblProd[[#This Row],[Lumber/hr]],-1,0) - TblProd[[#This Row],[Expenses Lumber]] + SUM(TblConstr[[#This Row],[Dest Hom]:[Dest Doc]])*TblConstr[[#This Row],[CPA Lumber -DB]]*tech_3_3_2*TblTech[[#This Row],[3-3]]</f>
        <v>66353</v>
      </c>
      <c r="L57" s="69" t="n">
        <f aca="false">OFFSET(TblProd[[#This Row],[Mana]],-1,0)+OFFSET(TblProd[[#This Row],[Mana/hr]],-1,0)- TblProd[[#This Row],[Expenses Mana]]</f>
        <v>614891</v>
      </c>
      <c r="M57" s="69" t="n">
        <f aca="false">OFFSET(TblProd[[#This Row],[Ore]],-1,0)+OFFSET(TblProd[[#This Row],[Ore/hr]],-1,0) -TblProd[[#This Row],[Expenses Ore]]</f>
        <v>-357</v>
      </c>
      <c r="N57" s="69" t="n">
        <f aca="false">OFFSET(TblProd[[#This Row],[Gems]],-1,0)+OFFSET(TblProd[[#This Row],[Gems/hr]],-1,0) - TblProd[[#This Row],[Expenses Gems]]</f>
        <v>-1000</v>
      </c>
      <c r="O57" s="69" t="n">
        <f aca="false">OFFSET(TblProd[[#This Row],[Boats]],-1,0)+OFFSET(TblProd[[#This Row],[Boats/hr]],-1,0)</f>
        <v>10.75</v>
      </c>
      <c r="P57" s="69" t="n">
        <f aca="false">OFFSET(TblProd[[#This Row],[Prestige]],-1,0)</f>
        <v>250</v>
      </c>
      <c r="Q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7" s="69" t="n">
        <f aca="false">MAX(3750,_xlfn.CEILING.MATH(TblProd[[#This Row],[Land]]*2.5+OFFSET(TblTech[[#This Row],[Sum of tech]],-1,0)*150))</f>
        <v>3750</v>
      </c>
      <c r="S57" s="132"/>
      <c r="T57" s="69" t="n">
        <f aca="false">ROUNDDOWN(TblProd[[#This Row],[Raw Plat/hr]]*(1+TblProd[[#This Row],[Bonus Plat/hr]]),0)</f>
        <v>45511</v>
      </c>
      <c r="U57" s="69" t="n">
        <f aca="false">ROUND(TblProd[[#This Row],[Raw Food/hr]]*(1+TblProd[[#This Row],[Bonus Food/hr]])-TblProd[[#This Row],[Food decay]]-TblProd[[#This Row],[Food eaten]],0)</f>
        <v>-6131</v>
      </c>
      <c r="V57" s="69" t="n">
        <f aca="false">ROUND(TblProd[[#This Row],[Raw Lumber/hr]]*(1+TblProd[[#This Row],[Bonus Lumber/hr]])-TblProd[[#This Row],[Lumber rot]],0)</f>
        <v>461</v>
      </c>
      <c r="W57" s="69" t="n">
        <f aca="false">ROUND(TblProd[[#This Row],[Raw Mana/hr]]*(1+TblProd[[#This Row],[Bonus Mana/hr]])-TblProd[[#This Row],[Mana drain]],0)</f>
        <v>-11673</v>
      </c>
      <c r="X57" s="69" t="n">
        <f aca="false">ROUNDDOWN(TblProd[[#This Row],[Raw Ore/hr]]*(1+TblProd[[#This Row],[Bonux Ore/hr]]),0)</f>
        <v>0</v>
      </c>
      <c r="Y57" s="69" t="n">
        <f aca="false">ROUNDDOWN(TblProd[[#This Row],[Raw Gems/hr]]*(1+TblProd[[#This Row],[Bonus Gems/hr]]),0)</f>
        <v>0</v>
      </c>
      <c r="Z57" s="148" t="n">
        <f aca="false">OFFSET(TblConstr[[#This Row],[Tot Doc]],1,0)*dock_boats_hr * (1 + tech_4_1*TblTech[[#This Row],[4-1]])</f>
        <v>0.5</v>
      </c>
      <c r="AA57" s="146"/>
      <c r="AB57" s="69" t="n">
        <f aca="false">TblPop[[#This Row],[Peasants]]*tax*TblPop[[#This Row],[Employment]] + (Construction!AZ58+Construction!BX58)*(alch_plat+(Magic!AM57&gt;0)*alchemist_flame_bonus)</f>
        <v>41373.8</v>
      </c>
      <c r="AC57" s="69" t="n">
        <f aca="false">TblConstr[[#This Row],[Tot Farm]]*farm_food + TblConstr[[#This Row],[Tot Doc]]*dock_food</f>
        <v>1920</v>
      </c>
      <c r="AD57" s="69" t="n">
        <f aca="false">TblConstr[[#This Row],[Tot Ly]]*ly_lumber + TblConstr[[#This Row],[Tot Hav]]*fh_lumber</f>
        <v>1250</v>
      </c>
      <c r="AE57" s="69" t="n">
        <f aca="false">OFFSET(TblConstr[[#This Row],[Tot Tow]],1,0)*(tower_mana + tech_4_5*TblTech[[#This Row],[4-5]]) + OFFSET(TblConstr[[#This Row],[Tot WG]],1,0)*wg_mana_prod</f>
        <v>625</v>
      </c>
      <c r="AF57" s="69" t="n">
        <f aca="false">OFFSET(TblConstr[[#This Row],[Tot OM]],1,0)*om_ore+IF(race="Dwarf",ROUNDDOWN(TblMili[[#This Row],[Unit 2]]*0.4,0),)</f>
        <v>0</v>
      </c>
      <c r="AG57" s="69" t="n">
        <f aca="false">OFFSET(TblConstr[[#This Row],[Tot DM]],1,0)*dm_gems</f>
        <v>0</v>
      </c>
      <c r="AH57" s="132"/>
      <c r="AI57" s="149" t="n">
        <f aca="false">MIN(race_platinum_bonus + IF(TblMagic[[#This Row],[Active Alch Frost]]&gt;0,alch_frost_bonus,IF(Magic!AD57&gt;0,midas_bonus)) + TblImps[[#This Row],[Science]] - TblProd[[#This Row],[Guard]]*(0.02 + tech_5_7*TblTech[[#This Row],[5-7]]) + tech_1_5*TblTech[[#This Row],[1-5]] + tech_4_4*TblTech[[#This Row],[4-4]], 0.5)</f>
        <v>0.1</v>
      </c>
      <c r="AJ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7" s="149" t="n">
        <f aca="false">race_lumber_bonus+ IF(TblMagic[[#This Row],[Active Gaia''s Blessing]]&gt;0,gaias_blessing_lumber)+ tech_1_3*TblTech[[#This Row],[1-3]] + tech_1_6*TblTech[[#This Row],[1-6]] + tech_3_3*TblTech[[#This Row],[3-3]]</f>
        <v>-0.1</v>
      </c>
      <c r="AL57" s="149" t="n">
        <f aca="false">race_mana_bonus+ 0 + TblImps[[#This Row],[Towers]] + tech_1_2*TblTech[[#This Row],[1-2]] + tech_3_4*TblTech[[#This Row],[3-4]]</f>
        <v>0</v>
      </c>
      <c r="AM57" s="149" t="n">
        <f aca="false">race_ore_bonus + IF(TblMagic[[#This Row],[Active Miner''s Sight]]&gt;0,miners_sight_bonus,IF(TblMagic[[#This Row],[Active Mining Strength]]&gt;0,mining_strength_bonus)) +  tech_1_6*TblTech[[#This Row],[1-6]]</f>
        <v>0</v>
      </c>
      <c r="AN57" s="149" t="n">
        <f aca="false">race_gem_bonus+ tech_3_2*TblTech[[#This Row],[3-2]] + tech_4_3*TblTech[[#This Row],[4-3]] + tech_6_2*TblTech[[#This Row],[6-2]]</f>
        <v>0.15</v>
      </c>
      <c r="AO57" s="132"/>
      <c r="AP57" s="69" t="n">
        <f aca="false">TblProd[[#This Row],[Food]]*food_decay * (1 + tech_2_1*TblTech[[#This Row],[2-1]] + tech_2_8*TblTech[[#This Row],[2-8]])</f>
        <v>5411.13</v>
      </c>
      <c r="AQ57" s="69" t="n">
        <f aca="false">(1+race_food_consumption)*TblPop[[#This Row],[Total]]*food_per_person*(1+tech_1_10*TblTech[[#This Row],[1-10]]+tech_7_5*TblTech[[#This Row],[7-5]])</f>
        <v>2688</v>
      </c>
      <c r="AR57" s="69" t="n">
        <f aca="false">TblProd[[#This Row],[Lumber]]*lumber_rot * (1 + tech_2_1*TblTech[[#This Row],[2-1]] + tech_2_8*TblTech[[#This Row],[2-8]] + tech_5_2*TblTech[[#This Row],[5-2]])</f>
        <v>663.53</v>
      </c>
      <c r="AS57" s="69" t="n">
        <f aca="false">TblProd[[#This Row],[Mana]]*mana_drain * (1 + tech_2_1*TblTech[[#This Row],[2-1]] + tech_2_8*TblTech[[#This Row],[2-8]])</f>
        <v>12297.82</v>
      </c>
      <c r="AT57" s="146"/>
      <c r="AU57" s="69" t="n">
        <f aca="false">TblExplore[[#This Row],[Platinum (2)]]+TblConstr[[#This Row],[Total Plat Cost]]+TblMili[[#This Row],[Plat Cost]]+TblRezone[[#This Row],[Platinum cost]]+TblImps[[#This Row],[P1]]-TblProd[[#This Row],[Bank Plat]]</f>
        <v>-22428</v>
      </c>
      <c r="AV57" s="69" t="n">
        <f aca="false">TblConstr[[#This Row],[Total Lum Cost]]+TblImps[[#This Row],[L1]]-TblProd[[#This Row],[Bank Lumber]] + Military!$CL$25*TblMili[[#This Row],[Sec. rec. Cost]]</f>
        <v>-4158</v>
      </c>
      <c r="AW57" s="69" t="n">
        <f aca="false">TblMagic[[#This Row],[Mana cost]] + Military!$CL$26*TblMili[[#This Row],[Sec. rec. Cost]]</f>
        <v>0</v>
      </c>
      <c r="AX57" s="69" t="n">
        <f aca="false">Military!$CL$24*TblMili[[#This Row],[Sec. rec. Cost]]+TblImps[[#This Row],[O1]]-TblProd[[#This Row],[Bank Ore]]</f>
        <v>0</v>
      </c>
      <c r="AY57" s="69" t="n">
        <f aca="false">TblImps[[#This Row],[G1]]-TblProd[[#This Row],[Bank Gems]]</f>
        <v>0</v>
      </c>
      <c r="AZ57" s="132"/>
      <c r="BA57" s="33" t="n">
        <f aca="false">IF(TblProd[[#This Row],[Set Guard]]&lt;&gt;"",TblProd[[#This Row],[Set Guard]],OFFSET(TblProd[[#This Row],[Guard]],-1,0))</f>
        <v>0</v>
      </c>
      <c r="BB57" s="145"/>
      <c r="BC57" s="151" t="n">
        <f aca="false">TblProd[[#This Row],[Hour]]</f>
        <v>54</v>
      </c>
      <c r="BD57" s="152" t="n">
        <f aca="false">-TblProd[[#This Row],[Bank Lumber]] / 2 + -TblProd[[#This Row],[Bank Gems]] * 2 + -TblProd[[#This Row],[Bank Ore]] / 2</f>
        <v>0</v>
      </c>
      <c r="BE57" s="152"/>
      <c r="BF57" s="152"/>
      <c r="BG57" s="152"/>
      <c r="BH57" s="153" t="n">
        <f aca="false">TblProd[[#This Row],[Time]]</f>
        <v>45431.9583333333</v>
      </c>
      <c r="BI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J57" s="69" t="n">
        <f aca="false">TblProd[[#This Row],[Platinum]]</f>
        <v>877556</v>
      </c>
      <c r="BK57" s="69" t="n">
        <f aca="false">TblProd[[#This Row],[Food]]</f>
        <v>541113</v>
      </c>
      <c r="BL57" s="69" t="n">
        <f aca="false">TblProd[[#This Row],[Lumber]]</f>
        <v>66353</v>
      </c>
      <c r="BM57" s="69" t="n">
        <f aca="false">TblProd[[#This Row],[Mana]]</f>
        <v>614891</v>
      </c>
      <c r="BN57" s="69" t="n">
        <f aca="false">TblProd[[#This Row],[Ore]]</f>
        <v>-357</v>
      </c>
    </row>
    <row r="58" customFormat="false" ht="12.75" hidden="false" customHeight="false" outlineLevel="0" collapsed="false">
      <c r="A58" s="128" t="n">
        <v>55</v>
      </c>
      <c r="B58" s="144" t="n">
        <f aca="false">TblImps[[#This Row],[Time]]</f>
        <v>45432</v>
      </c>
      <c r="C58" s="145"/>
      <c r="D58" s="146"/>
      <c r="E58" s="69" t="n">
        <f aca="false">TblConstr[[#This Row],[Land]]</f>
        <v>646</v>
      </c>
      <c r="F58" s="69" t="n">
        <f aca="false">TblPop[[#This Row],[Peasants]]</f>
        <v>9749</v>
      </c>
      <c r="G58" s="69"/>
      <c r="H58" s="69" t="e">
        <f aca="false">TblMili[[#This Row],[Networth (2)]]</f>
        <v>#VALUE!</v>
      </c>
      <c r="I58" s="69" t="n">
        <f aca="false">OFFSET(TblProd[[#This Row],[Platinum]],-1,0)+OFFSET(TblProd[[#This Row],[Plat/hr]],-1,0) - TblProd[[#This Row],[Expenses Platinum]] + IF(TblProd[[#This Row],[Plat Bonus]],TblPop[[#This Row],[Peasants]]*4) + SUM(TblConstr[[#This Row],[Dest Hom]:[Dest Doc]])*TblConstr[[#This Row],[CPA Platinum -DB]]*tech_3_3_2*TblTech[[#This Row],[3-3]]</f>
        <v>947815</v>
      </c>
      <c r="J58" s="69" t="n">
        <f aca="false">OFFSET(TblProd[[#This Row],[Food]],-1,0)+OFFSET(TblProd[[#This Row],[Food/hr]],-1,0)+ROUNDUP((TblConstr[[#This Row],[Farms]]*80+TblConstr[[#This Row],[Docks]]*35)*(1+OFFSET(TblProd[[#This Row],[Bonus Food/hr]],-1,0)),0)</f>
        <v>534982</v>
      </c>
      <c r="K58" s="69" t="n">
        <f aca="false">OFFSET(TblProd[[#This Row],[Lumber]],-1,0)+OFFSET(TblProd[[#This Row],[Lumber/hr]],-1,0) - TblProd[[#This Row],[Expenses Lumber]] + SUM(TblConstr[[#This Row],[Dest Hom]:[Dest Doc]])*TblConstr[[#This Row],[CPA Lumber -DB]]*tech_3_3_2*TblTech[[#This Row],[3-3]]</f>
        <v>71414</v>
      </c>
      <c r="L58" s="69" t="n">
        <f aca="false">OFFSET(TblProd[[#This Row],[Mana]],-1,0)+OFFSET(TblProd[[#This Row],[Mana/hr]],-1,0)- TblProd[[#This Row],[Expenses Mana]]</f>
        <v>603218</v>
      </c>
      <c r="M58" s="69" t="n">
        <f aca="false">OFFSET(TblProd[[#This Row],[Ore]],-1,0)+OFFSET(TblProd[[#This Row],[Ore/hr]],-1,0) -TblProd[[#This Row],[Expenses Ore]]</f>
        <v>-357</v>
      </c>
      <c r="N58" s="69" t="n">
        <f aca="false">OFFSET(TblProd[[#This Row],[Gems]],-1,0)+OFFSET(TblProd[[#This Row],[Gems/hr]],-1,0) - TblProd[[#This Row],[Expenses Gems]]</f>
        <v>-1000</v>
      </c>
      <c r="O58" s="69" t="n">
        <f aca="false">OFFSET(TblProd[[#This Row],[Boats]],-1,0)+OFFSET(TblProd[[#This Row],[Boats/hr]],-1,0)</f>
        <v>11.25</v>
      </c>
      <c r="P58" s="69" t="n">
        <f aca="false">OFFSET(TblProd[[#This Row],[Prestige]],-1,0)</f>
        <v>250</v>
      </c>
      <c r="Q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8" s="69" t="n">
        <f aca="false">MAX(3750,_xlfn.CEILING.MATH(TblProd[[#This Row],[Land]]*2.5+OFFSET(TblTech[[#This Row],[Sum of tech]],-1,0)*150))</f>
        <v>3750</v>
      </c>
      <c r="S58" s="132"/>
      <c r="T58" s="69" t="n">
        <f aca="false">ROUNDDOWN(TblProd[[#This Row],[Raw Plat/hr]]*(1+TblProd[[#This Row],[Bonus Plat/hr]]),0)</f>
        <v>45797</v>
      </c>
      <c r="U58" s="69" t="n">
        <f aca="false">ROUND(TblProd[[#This Row],[Raw Food/hr]]*(1+TblProd[[#This Row],[Bonus Food/hr]])-TblProd[[#This Row],[Food decay]]-TblProd[[#This Row],[Food eaten]],0)</f>
        <v>-6113</v>
      </c>
      <c r="V58" s="69" t="n">
        <f aca="false">ROUND(TblProd[[#This Row],[Raw Lumber/hr]]*(1+TblProd[[#This Row],[Bonus Lumber/hr]])-TblProd[[#This Row],[Lumber rot]],0)</f>
        <v>411</v>
      </c>
      <c r="W58" s="69" t="n">
        <f aca="false">ROUND(TblProd[[#This Row],[Raw Mana/hr]]*(1+TblProd[[#This Row],[Bonus Mana/hr]])-TblProd[[#This Row],[Mana drain]],0)</f>
        <v>-11439</v>
      </c>
      <c r="X58" s="69" t="n">
        <f aca="false">ROUNDDOWN(TblProd[[#This Row],[Raw Ore/hr]]*(1+TblProd[[#This Row],[Bonux Ore/hr]]),0)</f>
        <v>0</v>
      </c>
      <c r="Y58" s="69" t="n">
        <f aca="false">ROUNDDOWN(TblProd[[#This Row],[Raw Gems/hr]]*(1+TblProd[[#This Row],[Bonus Gems/hr]]),0)</f>
        <v>0</v>
      </c>
      <c r="Z58" s="148" t="n">
        <f aca="false">OFFSET(TblConstr[[#This Row],[Tot Doc]],1,0)*dock_boats_hr * (1 + tech_4_1*TblTech[[#This Row],[4-1]])</f>
        <v>0.5</v>
      </c>
      <c r="AA58" s="146"/>
      <c r="AB58" s="69" t="n">
        <f aca="false">TblPop[[#This Row],[Peasants]]*tax*TblPop[[#This Row],[Employment]] + (Construction!AZ59+Construction!BX59)*(alch_plat+(Magic!AM58&gt;0)*alchemist_flame_bonus)</f>
        <v>41634.3</v>
      </c>
      <c r="AC58" s="69" t="n">
        <f aca="false">TblConstr[[#This Row],[Tot Farm]]*farm_food + TblConstr[[#This Row],[Tot Doc]]*dock_food</f>
        <v>1920</v>
      </c>
      <c r="AD58" s="69" t="n">
        <f aca="false">TblConstr[[#This Row],[Tot Ly]]*ly_lumber + TblConstr[[#This Row],[Tot Hav]]*fh_lumber</f>
        <v>1250</v>
      </c>
      <c r="AE58" s="69" t="n">
        <f aca="false">OFFSET(TblConstr[[#This Row],[Tot Tow]],1,0)*(tower_mana + tech_4_5*TblTech[[#This Row],[4-5]]) + OFFSET(TblConstr[[#This Row],[Tot WG]],1,0)*wg_mana_prod</f>
        <v>625</v>
      </c>
      <c r="AF58" s="69" t="n">
        <f aca="false">OFFSET(TblConstr[[#This Row],[Tot OM]],1,0)*om_ore+IF(race="Dwarf",ROUNDDOWN(TblMili[[#This Row],[Unit 2]]*0.4,0),)</f>
        <v>0</v>
      </c>
      <c r="AG58" s="69" t="n">
        <f aca="false">OFFSET(TblConstr[[#This Row],[Tot DM]],1,0)*dm_gems</f>
        <v>0</v>
      </c>
      <c r="AH58" s="132"/>
      <c r="AI58" s="149" t="n">
        <f aca="false">MIN(race_platinum_bonus + IF(TblMagic[[#This Row],[Active Alch Frost]]&gt;0,alch_frost_bonus,IF(Magic!AD58&gt;0,midas_bonus)) + TblImps[[#This Row],[Science]] - TblProd[[#This Row],[Guard]]*(0.02 + tech_5_7*TblTech[[#This Row],[5-7]]) + tech_1_5*TblTech[[#This Row],[1-5]] + tech_4_4*TblTech[[#This Row],[4-4]], 0.5)</f>
        <v>0.1</v>
      </c>
      <c r="AJ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8" s="149" t="n">
        <f aca="false">race_lumber_bonus+ IF(TblMagic[[#This Row],[Active Gaia''s Blessing]]&gt;0,gaias_blessing_lumber)+ tech_1_3*TblTech[[#This Row],[1-3]] + tech_1_6*TblTech[[#This Row],[1-6]] + tech_3_3*TblTech[[#This Row],[3-3]]</f>
        <v>-0.1</v>
      </c>
      <c r="AL58" s="149" t="n">
        <f aca="false">race_mana_bonus+ 0 + TblImps[[#This Row],[Towers]] + tech_1_2*TblTech[[#This Row],[1-2]] + tech_3_4*TblTech[[#This Row],[3-4]]</f>
        <v>0</v>
      </c>
      <c r="AM58" s="149" t="n">
        <f aca="false">race_ore_bonus + IF(TblMagic[[#This Row],[Active Miner''s Sight]]&gt;0,miners_sight_bonus,IF(TblMagic[[#This Row],[Active Mining Strength]]&gt;0,mining_strength_bonus)) +  tech_1_6*TblTech[[#This Row],[1-6]]</f>
        <v>0</v>
      </c>
      <c r="AN58" s="149" t="n">
        <f aca="false">race_gem_bonus+ tech_3_2*TblTech[[#This Row],[3-2]] + tech_4_3*TblTech[[#This Row],[4-3]] + tech_6_2*TblTech[[#This Row],[6-2]]</f>
        <v>0.15</v>
      </c>
      <c r="AO58" s="132"/>
      <c r="AP58" s="69" t="n">
        <f aca="false">TblProd[[#This Row],[Food]]*food_decay * (1 + tech_2_1*TblTech[[#This Row],[2-1]] + tech_2_8*TblTech[[#This Row],[2-8]])</f>
        <v>5349.82</v>
      </c>
      <c r="AQ58" s="69" t="n">
        <f aca="false">(1+race_food_consumption)*TblPop[[#This Row],[Total]]*food_per_person*(1+tech_1_10*TblTech[[#This Row],[1-10]]+tech_7_5*TblTech[[#This Row],[7-5]])</f>
        <v>2731</v>
      </c>
      <c r="AR58" s="69" t="n">
        <f aca="false">TblProd[[#This Row],[Lumber]]*lumber_rot * (1 + tech_2_1*TblTech[[#This Row],[2-1]] + tech_2_8*TblTech[[#This Row],[2-8]] + tech_5_2*TblTech[[#This Row],[5-2]])</f>
        <v>714.14</v>
      </c>
      <c r="AS58" s="69" t="n">
        <f aca="false">TblProd[[#This Row],[Mana]]*mana_drain * (1 + tech_2_1*TblTech[[#This Row],[2-1]] + tech_2_8*TblTech[[#This Row],[2-8]])</f>
        <v>12064.36</v>
      </c>
      <c r="AT58" s="146"/>
      <c r="AU58" s="69" t="n">
        <f aca="false">TblExplore[[#This Row],[Platinum (2)]]+TblConstr[[#This Row],[Total Plat Cost]]+TblMili[[#This Row],[Plat Cost]]+TblRezone[[#This Row],[Platinum cost]]+TblImps[[#This Row],[P1]]-TblProd[[#This Row],[Bank Plat]]</f>
        <v>-24748</v>
      </c>
      <c r="AV58" s="69" t="n">
        <f aca="false">TblConstr[[#This Row],[Total Lum Cost]]+TblImps[[#This Row],[L1]]-TblProd[[#This Row],[Bank Lumber]] + Military!$CL$25*TblMili[[#This Row],[Sec. rec. Cost]]</f>
        <v>-4600</v>
      </c>
      <c r="AW58" s="69" t="n">
        <f aca="false">TblMagic[[#This Row],[Mana cost]] + Military!$CL$26*TblMili[[#This Row],[Sec. rec. Cost]]</f>
        <v>0</v>
      </c>
      <c r="AX58" s="69" t="n">
        <f aca="false">Military!$CL$24*TblMili[[#This Row],[Sec. rec. Cost]]+TblImps[[#This Row],[O1]]-TblProd[[#This Row],[Bank Ore]]</f>
        <v>0</v>
      </c>
      <c r="AY58" s="69" t="n">
        <f aca="false">TblImps[[#This Row],[G1]]-TblProd[[#This Row],[Bank Gems]]</f>
        <v>0</v>
      </c>
      <c r="AZ58" s="132"/>
      <c r="BA58" s="33" t="n">
        <f aca="false">IF(TblProd[[#This Row],[Set Guard]]&lt;&gt;"",TblProd[[#This Row],[Set Guard]],OFFSET(TblProd[[#This Row],[Guard]],-1,0))</f>
        <v>0</v>
      </c>
      <c r="BB58" s="145"/>
      <c r="BC58" s="151" t="n">
        <f aca="false">TblProd[[#This Row],[Hour]]</f>
        <v>55</v>
      </c>
      <c r="BD58" s="152" t="n">
        <f aca="false">-TblProd[[#This Row],[Bank Lumber]] / 2 + -TblProd[[#This Row],[Bank Gems]] * 2 + -TblProd[[#This Row],[Bank Ore]] / 2</f>
        <v>0</v>
      </c>
      <c r="BE58" s="152"/>
      <c r="BF58" s="152"/>
      <c r="BG58" s="152"/>
      <c r="BH58" s="153" t="n">
        <f aca="false">TblProd[[#This Row],[Time]]</f>
        <v>45432</v>
      </c>
      <c r="BI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J58" s="69" t="n">
        <f aca="false">TblProd[[#This Row],[Platinum]]</f>
        <v>947815</v>
      </c>
      <c r="BK58" s="69" t="n">
        <f aca="false">TblProd[[#This Row],[Food]]</f>
        <v>534982</v>
      </c>
      <c r="BL58" s="69" t="n">
        <f aca="false">TblProd[[#This Row],[Lumber]]</f>
        <v>71414</v>
      </c>
      <c r="BM58" s="69" t="n">
        <f aca="false">TblProd[[#This Row],[Mana]]</f>
        <v>603218</v>
      </c>
      <c r="BN58" s="69" t="n">
        <f aca="false">TblProd[[#This Row],[Ore]]</f>
        <v>-357</v>
      </c>
    </row>
    <row r="59" customFormat="false" ht="12.75" hidden="false" customHeight="false" outlineLevel="0" collapsed="false">
      <c r="A59" s="128" t="n">
        <v>56</v>
      </c>
      <c r="B59" s="144" t="n">
        <f aca="false">TblImps[[#This Row],[Time]]</f>
        <v>45432.0416666667</v>
      </c>
      <c r="C59" s="145"/>
      <c r="D59" s="146"/>
      <c r="E59" s="69" t="n">
        <f aca="false">TblConstr[[#This Row],[Land]]</f>
        <v>646</v>
      </c>
      <c r="F59" s="69" t="n">
        <f aca="false">TblPop[[#This Row],[Peasants]]</f>
        <v>9738</v>
      </c>
      <c r="G59" s="69"/>
      <c r="H59" s="69" t="e">
        <f aca="false">TblMili[[#This Row],[Networth (2)]]</f>
        <v>#VALUE!</v>
      </c>
      <c r="I59" s="69" t="n">
        <f aca="false">OFFSET(TblProd[[#This Row],[Platinum]],-1,0)+OFFSET(TblProd[[#This Row],[Plat/hr]],-1,0) - TblProd[[#This Row],[Expenses Platinum]] + IF(TblProd[[#This Row],[Plat Bonus]],TblPop[[#This Row],[Peasants]]*4) + SUM(TblConstr[[#This Row],[Dest Hom]:[Dest Doc]])*TblConstr[[#This Row],[CPA Platinum -DB]]*tech_3_3_2*TblTech[[#This Row],[3-3]]</f>
        <v>1022126</v>
      </c>
      <c r="J59" s="69" t="n">
        <f aca="false">OFFSET(TblProd[[#This Row],[Food]],-1,0)+OFFSET(TblProd[[#This Row],[Food/hr]],-1,0)+ROUNDUP((TblConstr[[#This Row],[Farms]]*80+TblConstr[[#This Row],[Docks]]*35)*(1+OFFSET(TblProd[[#This Row],[Bonus Food/hr]],-1,0)),0)</f>
        <v>528869</v>
      </c>
      <c r="K59" s="69" t="n">
        <f aca="false">OFFSET(TblProd[[#This Row],[Lumber]],-1,0)+OFFSET(TblProd[[#This Row],[Lumber/hr]],-1,0) - TblProd[[#This Row],[Expenses Lumber]] + SUM(TblConstr[[#This Row],[Dest Hom]:[Dest Doc]])*TblConstr[[#This Row],[CPA Lumber -DB]]*tech_3_3_2*TblTech[[#This Row],[3-3]]</f>
        <v>77125</v>
      </c>
      <c r="L59" s="69" t="n">
        <f aca="false">OFFSET(TblProd[[#This Row],[Mana]],-1,0)+OFFSET(TblProd[[#This Row],[Mana/hr]],-1,0)- TblProd[[#This Row],[Expenses Mana]]</f>
        <v>591779</v>
      </c>
      <c r="M59" s="69" t="n">
        <f aca="false">OFFSET(TblProd[[#This Row],[Ore]],-1,0)+OFFSET(TblProd[[#This Row],[Ore/hr]],-1,0) -TblProd[[#This Row],[Expenses Ore]]</f>
        <v>-357</v>
      </c>
      <c r="N59" s="69" t="n">
        <f aca="false">OFFSET(TblProd[[#This Row],[Gems]],-1,0)+OFFSET(TblProd[[#This Row],[Gems/hr]],-1,0) - TblProd[[#This Row],[Expenses Gems]]</f>
        <v>-1000</v>
      </c>
      <c r="O59" s="69" t="n">
        <f aca="false">OFFSET(TblProd[[#This Row],[Boats]],-1,0)+OFFSET(TblProd[[#This Row],[Boats/hr]],-1,0)</f>
        <v>11.75</v>
      </c>
      <c r="P59" s="69" t="n">
        <f aca="false">OFFSET(TblProd[[#This Row],[Prestige]],-1,0)</f>
        <v>250</v>
      </c>
      <c r="Q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59" s="69" t="n">
        <f aca="false">MAX(3750,_xlfn.CEILING.MATH(TblProd[[#This Row],[Land]]*2.5+OFFSET(TblTech[[#This Row],[Sum of tech]],-1,0)*150))</f>
        <v>3750</v>
      </c>
      <c r="S59" s="132"/>
      <c r="T59" s="69" t="n">
        <f aca="false">ROUNDDOWN(TblProd[[#This Row],[Raw Plat/hr]]*(1+TblProd[[#This Row],[Bonus Plat/hr]]),0)</f>
        <v>45828</v>
      </c>
      <c r="U59" s="69" t="n">
        <f aca="false">ROUND(TblProd[[#This Row],[Raw Food/hr]]*(1+TblProd[[#This Row],[Bonus Food/hr]])-TblProd[[#This Row],[Food decay]]-TblProd[[#This Row],[Food eaten]],0)</f>
        <v>-6073</v>
      </c>
      <c r="V59" s="69" t="n">
        <f aca="false">ROUND(TblProd[[#This Row],[Raw Lumber/hr]]*(1+TblProd[[#This Row],[Bonus Lumber/hr]])-TblProd[[#This Row],[Lumber rot]],0)</f>
        <v>354</v>
      </c>
      <c r="W59" s="69" t="n">
        <f aca="false">ROUND(TblProd[[#This Row],[Raw Mana/hr]]*(1+TblProd[[#This Row],[Bonus Mana/hr]])-TblProd[[#This Row],[Mana drain]],0)</f>
        <v>-11211</v>
      </c>
      <c r="X59" s="69" t="n">
        <f aca="false">ROUNDDOWN(TblProd[[#This Row],[Raw Ore/hr]]*(1+TblProd[[#This Row],[Bonux Ore/hr]]),0)</f>
        <v>0</v>
      </c>
      <c r="Y59" s="69" t="n">
        <f aca="false">ROUNDDOWN(TblProd[[#This Row],[Raw Gems/hr]]*(1+TblProd[[#This Row],[Bonus Gems/hr]]),0)</f>
        <v>0</v>
      </c>
      <c r="Z59" s="148" t="n">
        <f aca="false">OFFSET(TblConstr[[#This Row],[Tot Doc]],1,0)*dock_boats_hr * (1 + tech_4_1*TblTech[[#This Row],[4-1]])</f>
        <v>0.5</v>
      </c>
      <c r="AA59" s="146"/>
      <c r="AB59" s="69" t="n">
        <f aca="false">TblPop[[#This Row],[Peasants]]*tax*TblPop[[#This Row],[Employment]] + (Construction!AZ60+Construction!BX60)*(alch_plat+(Magic!AM59&gt;0)*alchemist_flame_bonus)</f>
        <v>41662.6</v>
      </c>
      <c r="AC59" s="69" t="n">
        <f aca="false">TblConstr[[#This Row],[Tot Farm]]*farm_food + TblConstr[[#This Row],[Tot Doc]]*dock_food</f>
        <v>1920</v>
      </c>
      <c r="AD59" s="69" t="n">
        <f aca="false">TblConstr[[#This Row],[Tot Ly]]*ly_lumber + TblConstr[[#This Row],[Tot Hav]]*fh_lumber</f>
        <v>1250</v>
      </c>
      <c r="AE59" s="69" t="n">
        <f aca="false">OFFSET(TblConstr[[#This Row],[Tot Tow]],1,0)*(tower_mana + tech_4_5*TblTech[[#This Row],[4-5]]) + OFFSET(TblConstr[[#This Row],[Tot WG]],1,0)*wg_mana_prod</f>
        <v>625</v>
      </c>
      <c r="AF59" s="69" t="n">
        <f aca="false">OFFSET(TblConstr[[#This Row],[Tot OM]],1,0)*om_ore+IF(race="Dwarf",ROUNDDOWN(TblMili[[#This Row],[Unit 2]]*0.4,0),)</f>
        <v>0</v>
      </c>
      <c r="AG59" s="69" t="n">
        <f aca="false">OFFSET(TblConstr[[#This Row],[Tot DM]],1,0)*dm_gems</f>
        <v>0</v>
      </c>
      <c r="AH59" s="132"/>
      <c r="AI59" s="149" t="n">
        <f aca="false">MIN(race_platinum_bonus + IF(TblMagic[[#This Row],[Active Alch Frost]]&gt;0,alch_frost_bonus,IF(Magic!AD59&gt;0,midas_bonus)) + TblImps[[#This Row],[Science]] - TblProd[[#This Row],[Guard]]*(0.02 + tech_5_7*TblTech[[#This Row],[5-7]]) + tech_1_5*TblTech[[#This Row],[1-5]] + tech_4_4*TblTech[[#This Row],[4-4]], 0.5)</f>
        <v>0.1</v>
      </c>
      <c r="AJ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59" s="149" t="n">
        <f aca="false">race_lumber_bonus+ IF(TblMagic[[#This Row],[Active Gaia''s Blessing]]&gt;0,gaias_blessing_lumber)+ tech_1_3*TblTech[[#This Row],[1-3]] + tech_1_6*TblTech[[#This Row],[1-6]] + tech_3_3*TblTech[[#This Row],[3-3]]</f>
        <v>-0.1</v>
      </c>
      <c r="AL59" s="149" t="n">
        <f aca="false">race_mana_bonus+ 0 + TblImps[[#This Row],[Towers]] + tech_1_2*TblTech[[#This Row],[1-2]] + tech_3_4*TblTech[[#This Row],[3-4]]</f>
        <v>0</v>
      </c>
      <c r="AM59" s="149" t="n">
        <f aca="false">race_ore_bonus + IF(TblMagic[[#This Row],[Active Miner''s Sight]]&gt;0,miners_sight_bonus,IF(TblMagic[[#This Row],[Active Mining Strength]]&gt;0,mining_strength_bonus)) +  tech_1_6*TblTech[[#This Row],[1-6]]</f>
        <v>0</v>
      </c>
      <c r="AN59" s="149" t="n">
        <f aca="false">race_gem_bonus+ tech_3_2*TblTech[[#This Row],[3-2]] + tech_4_3*TblTech[[#This Row],[4-3]] + tech_6_2*TblTech[[#This Row],[6-2]]</f>
        <v>0.15</v>
      </c>
      <c r="AO59" s="132"/>
      <c r="AP59" s="69" t="n">
        <f aca="false">TblProd[[#This Row],[Food]]*food_decay * (1 + tech_2_1*TblTech[[#This Row],[2-1]] + tech_2_8*TblTech[[#This Row],[2-8]])</f>
        <v>5288.69</v>
      </c>
      <c r="AQ59" s="69" t="n">
        <f aca="false">(1+race_food_consumption)*TblPop[[#This Row],[Total]]*food_per_person*(1+tech_1_10*TblTech[[#This Row],[1-10]]+tech_7_5*TblTech[[#This Row],[7-5]])</f>
        <v>2752.5</v>
      </c>
      <c r="AR59" s="69" t="n">
        <f aca="false">TblProd[[#This Row],[Lumber]]*lumber_rot * (1 + tech_2_1*TblTech[[#This Row],[2-1]] + tech_2_8*TblTech[[#This Row],[2-8]] + tech_5_2*TblTech[[#This Row],[5-2]])</f>
        <v>771.25</v>
      </c>
      <c r="AS59" s="69" t="n">
        <f aca="false">TblProd[[#This Row],[Mana]]*mana_drain * (1 + tech_2_1*TblTech[[#This Row],[2-1]] + tech_2_8*TblTech[[#This Row],[2-8]])</f>
        <v>11835.58</v>
      </c>
      <c r="AT59" s="146"/>
      <c r="AU59" s="69" t="n">
        <f aca="false">TblExplore[[#This Row],[Platinum (2)]]+TblConstr[[#This Row],[Total Plat Cost]]+TblMili[[#This Row],[Plat Cost]]+TblRezone[[#This Row],[Platinum cost]]+TblImps[[#This Row],[P1]]-TblProd[[#This Row],[Bank Plat]]</f>
        <v>-28514</v>
      </c>
      <c r="AV59" s="69" t="n">
        <f aca="false">TblConstr[[#This Row],[Total Lum Cost]]+TblImps[[#This Row],[L1]]-TblProd[[#This Row],[Bank Lumber]] + Military!$CL$25*TblMili[[#This Row],[Sec. rec. Cost]]</f>
        <v>-5300</v>
      </c>
      <c r="AW59" s="69" t="n">
        <f aca="false">TblMagic[[#This Row],[Mana cost]] + Military!$CL$26*TblMili[[#This Row],[Sec. rec. Cost]]</f>
        <v>0</v>
      </c>
      <c r="AX59" s="69" t="n">
        <f aca="false">Military!$CL$24*TblMili[[#This Row],[Sec. rec. Cost]]+TblImps[[#This Row],[O1]]-TblProd[[#This Row],[Bank Ore]]</f>
        <v>0</v>
      </c>
      <c r="AY59" s="69" t="n">
        <f aca="false">TblImps[[#This Row],[G1]]-TblProd[[#This Row],[Bank Gems]]</f>
        <v>0</v>
      </c>
      <c r="AZ59" s="132"/>
      <c r="BA59" s="33" t="n">
        <f aca="false">IF(TblProd[[#This Row],[Set Guard]]&lt;&gt;"",TblProd[[#This Row],[Set Guard]],OFFSET(TblProd[[#This Row],[Guard]],-1,0))</f>
        <v>0</v>
      </c>
      <c r="BB59" s="145"/>
      <c r="BC59" s="151" t="n">
        <f aca="false">TblProd[[#This Row],[Hour]]</f>
        <v>56</v>
      </c>
      <c r="BD59" s="152" t="n">
        <f aca="false">-TblProd[[#This Row],[Bank Lumber]] / 2 + -TblProd[[#This Row],[Bank Gems]] * 2 + -TblProd[[#This Row],[Bank Ore]] / 2</f>
        <v>0</v>
      </c>
      <c r="BE59" s="152"/>
      <c r="BF59" s="152"/>
      <c r="BG59" s="152"/>
      <c r="BH59" s="153" t="n">
        <f aca="false">TblProd[[#This Row],[Time]]</f>
        <v>45432.0416666667</v>
      </c>
      <c r="BI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J59" s="69" t="n">
        <f aca="false">TblProd[[#This Row],[Platinum]]</f>
        <v>1022126</v>
      </c>
      <c r="BK59" s="69" t="n">
        <f aca="false">TblProd[[#This Row],[Food]]</f>
        <v>528869</v>
      </c>
      <c r="BL59" s="69" t="n">
        <f aca="false">TblProd[[#This Row],[Lumber]]</f>
        <v>77125</v>
      </c>
      <c r="BM59" s="69" t="n">
        <f aca="false">TblProd[[#This Row],[Mana]]</f>
        <v>591779</v>
      </c>
      <c r="BN59" s="69" t="n">
        <f aca="false">TblProd[[#This Row],[Ore]]</f>
        <v>-357</v>
      </c>
    </row>
    <row r="60" customFormat="false" ht="12.75" hidden="false" customHeight="false" outlineLevel="0" collapsed="false">
      <c r="A60" s="128" t="n">
        <v>57</v>
      </c>
      <c r="B60" s="144" t="n">
        <f aca="false">TblImps[[#This Row],[Time]]</f>
        <v>45432.0833333333</v>
      </c>
      <c r="C60" s="145"/>
      <c r="D60" s="146"/>
      <c r="E60" s="69" t="n">
        <f aca="false">TblConstr[[#This Row],[Land]]</f>
        <v>646</v>
      </c>
      <c r="F60" s="69" t="n">
        <f aca="false">TblPop[[#This Row],[Peasants]]</f>
        <v>9641</v>
      </c>
      <c r="G60" s="69"/>
      <c r="H60" s="69" t="e">
        <f aca="false">TblMili[[#This Row],[Networth (2)]]</f>
        <v>#VALUE!</v>
      </c>
      <c r="I60" s="69" t="n">
        <f aca="false">OFFSET(TblProd[[#This Row],[Platinum]],-1,0)+OFFSET(TblProd[[#This Row],[Plat/hr]],-1,0) - TblProd[[#This Row],[Expenses Platinum]] + IF(TblProd[[#This Row],[Plat Bonus]],TblPop[[#This Row],[Peasants]]*4) + SUM(TblConstr[[#This Row],[Dest Hom]:[Dest Doc]])*TblConstr[[#This Row],[CPA Platinum -DB]]*tech_3_3_2*TblTech[[#This Row],[3-3]]</f>
        <v>1096468</v>
      </c>
      <c r="J60" s="69" t="n">
        <f aca="false">OFFSET(TblProd[[#This Row],[Food]],-1,0)+OFFSET(TblProd[[#This Row],[Food/hr]],-1,0)+ROUNDUP((TblConstr[[#This Row],[Farms]]*80+TblConstr[[#This Row],[Docks]]*35)*(1+OFFSET(TblProd[[#This Row],[Bonus Food/hr]],-1,0)),0)</f>
        <v>522796</v>
      </c>
      <c r="K60" s="69" t="n">
        <f aca="false">OFFSET(TblProd[[#This Row],[Lumber]],-1,0)+OFFSET(TblProd[[#This Row],[Lumber/hr]],-1,0) - TblProd[[#This Row],[Expenses Lumber]] + SUM(TblConstr[[#This Row],[Dest Hom]:[Dest Doc]])*TblConstr[[#This Row],[CPA Lumber -DB]]*tech_3_3_2*TblTech[[#This Row],[3-3]]</f>
        <v>82779</v>
      </c>
      <c r="L60" s="69" t="n">
        <f aca="false">OFFSET(TblProd[[#This Row],[Mana]],-1,0)+OFFSET(TblProd[[#This Row],[Mana/hr]],-1,0)- TblProd[[#This Row],[Expenses Mana]]</f>
        <v>580568</v>
      </c>
      <c r="M60" s="69" t="n">
        <f aca="false">OFFSET(TblProd[[#This Row],[Ore]],-1,0)+OFFSET(TblProd[[#This Row],[Ore/hr]],-1,0) -TblProd[[#This Row],[Expenses Ore]]</f>
        <v>-357</v>
      </c>
      <c r="N60" s="69" t="n">
        <f aca="false">OFFSET(TblProd[[#This Row],[Gems]],-1,0)+OFFSET(TblProd[[#This Row],[Gems/hr]],-1,0) - TblProd[[#This Row],[Expenses Gems]]</f>
        <v>-1000</v>
      </c>
      <c r="O60" s="69" t="n">
        <f aca="false">OFFSET(TblProd[[#This Row],[Boats]],-1,0)+OFFSET(TblProd[[#This Row],[Boats/hr]],-1,0)</f>
        <v>12.25</v>
      </c>
      <c r="P60" s="69" t="n">
        <f aca="false">OFFSET(TblProd[[#This Row],[Prestige]],-1,0)</f>
        <v>250</v>
      </c>
      <c r="Q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0" s="69" t="n">
        <f aca="false">MAX(3750,_xlfn.CEILING.MATH(TblProd[[#This Row],[Land]]*2.5+OFFSET(TblTech[[#This Row],[Sum of tech]],-1,0)*150))</f>
        <v>3750</v>
      </c>
      <c r="S60" s="132"/>
      <c r="T60" s="69" t="n">
        <f aca="false">ROUNDDOWN(TblProd[[#This Row],[Raw Plat/hr]]*(1+TblProd[[#This Row],[Bonus Plat/hr]]),0)</f>
        <v>45604</v>
      </c>
      <c r="U60" s="69" t="n">
        <f aca="false">ROUND(TblProd[[#This Row],[Raw Food/hr]]*(1+TblProd[[#This Row],[Bonus Food/hr]])-TblProd[[#This Row],[Food decay]]-TblProd[[#This Row],[Food eaten]],0)</f>
        <v>-6012</v>
      </c>
      <c r="V60" s="69" t="n">
        <f aca="false">ROUND(TblProd[[#This Row],[Raw Lumber/hr]]*(1+TblProd[[#This Row],[Bonus Lumber/hr]])-TblProd[[#This Row],[Lumber rot]],0)</f>
        <v>297</v>
      </c>
      <c r="W60" s="69" t="n">
        <f aca="false">ROUND(TblProd[[#This Row],[Raw Mana/hr]]*(1+TblProd[[#This Row],[Bonus Mana/hr]])-TblProd[[#This Row],[Mana drain]],0)</f>
        <v>-10986</v>
      </c>
      <c r="X60" s="69" t="n">
        <f aca="false">ROUNDDOWN(TblProd[[#This Row],[Raw Ore/hr]]*(1+TblProd[[#This Row],[Bonux Ore/hr]]),0)</f>
        <v>0</v>
      </c>
      <c r="Y60" s="69" t="n">
        <f aca="false">ROUNDDOWN(TblProd[[#This Row],[Raw Gems/hr]]*(1+TblProd[[#This Row],[Bonus Gems/hr]]),0)</f>
        <v>0</v>
      </c>
      <c r="Z60" s="148" t="n">
        <f aca="false">OFFSET(TblConstr[[#This Row],[Tot Doc]],1,0)*dock_boats_hr * (1 + tech_4_1*TblTech[[#This Row],[4-1]])</f>
        <v>0.5</v>
      </c>
      <c r="AA60" s="146"/>
      <c r="AB60" s="69" t="n">
        <f aca="false">TblPop[[#This Row],[Peasants]]*tax*TblPop[[#This Row],[Employment]] + (Construction!AZ61+Construction!BX61)*(alch_plat+(Magic!AM60&gt;0)*alchemist_flame_bonus)</f>
        <v>41458.7</v>
      </c>
      <c r="AC60" s="69" t="n">
        <f aca="false">TblConstr[[#This Row],[Tot Farm]]*farm_food + TblConstr[[#This Row],[Tot Doc]]*dock_food</f>
        <v>1920</v>
      </c>
      <c r="AD60" s="69" t="n">
        <f aca="false">TblConstr[[#This Row],[Tot Ly]]*ly_lumber + TblConstr[[#This Row],[Tot Hav]]*fh_lumber</f>
        <v>1250</v>
      </c>
      <c r="AE60" s="69" t="n">
        <f aca="false">OFFSET(TblConstr[[#This Row],[Tot Tow]],1,0)*(tower_mana + tech_4_5*TblTech[[#This Row],[4-5]]) + OFFSET(TblConstr[[#This Row],[Tot WG]],1,0)*wg_mana_prod</f>
        <v>625</v>
      </c>
      <c r="AF60" s="69" t="n">
        <f aca="false">OFFSET(TblConstr[[#This Row],[Tot OM]],1,0)*om_ore+IF(race="Dwarf",ROUNDDOWN(TblMili[[#This Row],[Unit 2]]*0.4,0),)</f>
        <v>0</v>
      </c>
      <c r="AG60" s="69" t="n">
        <f aca="false">OFFSET(TblConstr[[#This Row],[Tot DM]],1,0)*dm_gems</f>
        <v>0</v>
      </c>
      <c r="AH60" s="132"/>
      <c r="AI60" s="149" t="n">
        <f aca="false">MIN(race_platinum_bonus + IF(TblMagic[[#This Row],[Active Alch Frost]]&gt;0,alch_frost_bonus,IF(Magic!AD60&gt;0,midas_bonus)) + TblImps[[#This Row],[Science]] - TblProd[[#This Row],[Guard]]*(0.02 + tech_5_7*TblTech[[#This Row],[5-7]]) + tech_1_5*TblTech[[#This Row],[1-5]] + tech_4_4*TblTech[[#This Row],[4-4]], 0.5)</f>
        <v>0.1</v>
      </c>
      <c r="AJ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0" s="149" t="n">
        <f aca="false">race_lumber_bonus+ IF(TblMagic[[#This Row],[Active Gaia''s Blessing]]&gt;0,gaias_blessing_lumber)+ tech_1_3*TblTech[[#This Row],[1-3]] + tech_1_6*TblTech[[#This Row],[1-6]] + tech_3_3*TblTech[[#This Row],[3-3]]</f>
        <v>-0.1</v>
      </c>
      <c r="AL60" s="149" t="n">
        <f aca="false">race_mana_bonus+ 0 + TblImps[[#This Row],[Towers]] + tech_1_2*TblTech[[#This Row],[1-2]] + tech_3_4*TblTech[[#This Row],[3-4]]</f>
        <v>0</v>
      </c>
      <c r="AM60" s="149" t="n">
        <f aca="false">race_ore_bonus + IF(TblMagic[[#This Row],[Active Miner''s Sight]]&gt;0,miners_sight_bonus,IF(TblMagic[[#This Row],[Active Mining Strength]]&gt;0,mining_strength_bonus)) +  tech_1_6*TblTech[[#This Row],[1-6]]</f>
        <v>0</v>
      </c>
      <c r="AN60" s="149" t="n">
        <f aca="false">race_gem_bonus+ tech_3_2*TblTech[[#This Row],[3-2]] + tech_4_3*TblTech[[#This Row],[4-3]] + tech_6_2*TblTech[[#This Row],[6-2]]</f>
        <v>0.15</v>
      </c>
      <c r="AO60" s="132"/>
      <c r="AP60" s="69" t="n">
        <f aca="false">TblProd[[#This Row],[Food]]*food_decay * (1 + tech_2_1*TblTech[[#This Row],[2-1]] + tech_2_8*TblTech[[#This Row],[2-8]])</f>
        <v>5227.96</v>
      </c>
      <c r="AQ60" s="69" t="n">
        <f aca="false">(1+race_food_consumption)*TblPop[[#This Row],[Total]]*food_per_person*(1+tech_1_10*TblTech[[#This Row],[1-10]]+tech_7_5*TblTech[[#This Row],[7-5]])</f>
        <v>2752.5</v>
      </c>
      <c r="AR60" s="69" t="n">
        <f aca="false">TblProd[[#This Row],[Lumber]]*lumber_rot * (1 + tech_2_1*TblTech[[#This Row],[2-1]] + tech_2_8*TblTech[[#This Row],[2-8]] + tech_5_2*TblTech[[#This Row],[5-2]])</f>
        <v>827.79</v>
      </c>
      <c r="AS60" s="69" t="n">
        <f aca="false">TblProd[[#This Row],[Mana]]*mana_drain * (1 + tech_2_1*TblTech[[#This Row],[2-1]] + tech_2_8*TblTech[[#This Row],[2-8]])</f>
        <v>11611.36</v>
      </c>
      <c r="AT60" s="146"/>
      <c r="AU60" s="69" t="n">
        <f aca="false">TblExplore[[#This Row],[Platinum (2)]]+TblConstr[[#This Row],[Total Plat Cost]]+TblMili[[#This Row],[Plat Cost]]+TblRezone[[#This Row],[Platinum cost]]+TblImps[[#This Row],[P1]]-TblProd[[#This Row],[Bank Plat]]</f>
        <v>-28514</v>
      </c>
      <c r="AV60" s="69" t="n">
        <f aca="false">TblConstr[[#This Row],[Total Lum Cost]]+TblImps[[#This Row],[L1]]-TblProd[[#This Row],[Bank Lumber]] + Military!$CL$25*TblMili[[#This Row],[Sec. rec. Cost]]</f>
        <v>-5300</v>
      </c>
      <c r="AW60" s="69" t="n">
        <f aca="false">TblMagic[[#This Row],[Mana cost]] + Military!$CL$26*TblMili[[#This Row],[Sec. rec. Cost]]</f>
        <v>0</v>
      </c>
      <c r="AX60" s="69" t="n">
        <f aca="false">Military!$CL$24*TblMili[[#This Row],[Sec. rec. Cost]]+TblImps[[#This Row],[O1]]-TblProd[[#This Row],[Bank Ore]]</f>
        <v>0</v>
      </c>
      <c r="AY60" s="69" t="n">
        <f aca="false">TblImps[[#This Row],[G1]]-TblProd[[#This Row],[Bank Gems]]</f>
        <v>0</v>
      </c>
      <c r="AZ60" s="132"/>
      <c r="BA60" s="33" t="n">
        <f aca="false">IF(TblProd[[#This Row],[Set Guard]]&lt;&gt;"",TblProd[[#This Row],[Set Guard]],OFFSET(TblProd[[#This Row],[Guard]],-1,0))</f>
        <v>0</v>
      </c>
      <c r="BB60" s="145"/>
      <c r="BC60" s="151" t="n">
        <f aca="false">TblProd[[#This Row],[Hour]]</f>
        <v>57</v>
      </c>
      <c r="BD60" s="152" t="n">
        <f aca="false">-TblProd[[#This Row],[Bank Lumber]] / 2 + -TblProd[[#This Row],[Bank Gems]] * 2 + -TblProd[[#This Row],[Bank Ore]] / 2</f>
        <v>0</v>
      </c>
      <c r="BE60" s="152"/>
      <c r="BF60" s="152"/>
      <c r="BG60" s="152"/>
      <c r="BH60" s="153" t="n">
        <f aca="false">TblProd[[#This Row],[Time]]</f>
        <v>45432.0833333333</v>
      </c>
      <c r="BI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J60" s="69" t="n">
        <f aca="false">TblProd[[#This Row],[Platinum]]</f>
        <v>1096468</v>
      </c>
      <c r="BK60" s="69" t="n">
        <f aca="false">TblProd[[#This Row],[Food]]</f>
        <v>522796</v>
      </c>
      <c r="BL60" s="69" t="n">
        <f aca="false">TblProd[[#This Row],[Lumber]]</f>
        <v>82779</v>
      </c>
      <c r="BM60" s="69" t="n">
        <f aca="false">TblProd[[#This Row],[Mana]]</f>
        <v>580568</v>
      </c>
      <c r="BN60" s="69" t="n">
        <f aca="false">TblProd[[#This Row],[Ore]]</f>
        <v>-357</v>
      </c>
    </row>
    <row r="61" customFormat="false" ht="12.75" hidden="false" customHeight="false" outlineLevel="0" collapsed="false">
      <c r="A61" s="128" t="n">
        <v>58</v>
      </c>
      <c r="B61" s="144" t="n">
        <f aca="false">TblImps[[#This Row],[Time]]</f>
        <v>45432.125</v>
      </c>
      <c r="C61" s="145"/>
      <c r="D61" s="146"/>
      <c r="E61" s="69" t="n">
        <f aca="false">TblConstr[[#This Row],[Land]]</f>
        <v>646</v>
      </c>
      <c r="F61" s="69" t="n">
        <f aca="false">TblPop[[#This Row],[Peasants]]</f>
        <v>9545</v>
      </c>
      <c r="G61" s="69"/>
      <c r="H61" s="69" t="e">
        <f aca="false">TblMili[[#This Row],[Networth (2)]]</f>
        <v>#VALUE!</v>
      </c>
      <c r="I61" s="69" t="n">
        <f aca="false">OFFSET(TblProd[[#This Row],[Platinum]],-1,0)+OFFSET(TblProd[[#This Row],[Plat/hr]],-1,0) - TblProd[[#This Row],[Expenses Platinum]] + IF(TblProd[[#This Row],[Plat Bonus]],TblPop[[#This Row],[Peasants]]*4) + SUM(TblConstr[[#This Row],[Dest Hom]:[Dest Doc]])*TblConstr[[#This Row],[CPA Platinum -DB]]*tech_3_3_2*TblTech[[#This Row],[3-3]]</f>
        <v>1170586</v>
      </c>
      <c r="J61" s="69" t="n">
        <f aca="false">OFFSET(TblProd[[#This Row],[Food]],-1,0)+OFFSET(TblProd[[#This Row],[Food/hr]],-1,0)+ROUNDUP((TblConstr[[#This Row],[Farms]]*80+TblConstr[[#This Row],[Docks]]*35)*(1+OFFSET(TblProd[[#This Row],[Bonus Food/hr]],-1,0)),0)</f>
        <v>516784</v>
      </c>
      <c r="K61" s="69" t="n">
        <f aca="false">OFFSET(TblProd[[#This Row],[Lumber]],-1,0)+OFFSET(TblProd[[#This Row],[Lumber/hr]],-1,0) - TblProd[[#This Row],[Expenses Lumber]] + SUM(TblConstr[[#This Row],[Dest Hom]:[Dest Doc]])*TblConstr[[#This Row],[CPA Lumber -DB]]*tech_3_3_2*TblTech[[#This Row],[3-3]]</f>
        <v>88376</v>
      </c>
      <c r="L61" s="69" t="n">
        <f aca="false">OFFSET(TblProd[[#This Row],[Mana]],-1,0)+OFFSET(TblProd[[#This Row],[Mana/hr]],-1,0)- TblProd[[#This Row],[Expenses Mana]]</f>
        <v>569582</v>
      </c>
      <c r="M61" s="69" t="n">
        <f aca="false">OFFSET(TblProd[[#This Row],[Ore]],-1,0)+OFFSET(TblProd[[#This Row],[Ore/hr]],-1,0) -TblProd[[#This Row],[Expenses Ore]]</f>
        <v>-357</v>
      </c>
      <c r="N61" s="69" t="n">
        <f aca="false">OFFSET(TblProd[[#This Row],[Gems]],-1,0)+OFFSET(TblProd[[#This Row],[Gems/hr]],-1,0) - TblProd[[#This Row],[Expenses Gems]]</f>
        <v>-1000</v>
      </c>
      <c r="O61" s="69" t="n">
        <f aca="false">OFFSET(TblProd[[#This Row],[Boats]],-1,0)+OFFSET(TblProd[[#This Row],[Boats/hr]],-1,0)</f>
        <v>12.75</v>
      </c>
      <c r="P61" s="69" t="n">
        <f aca="false">OFFSET(TblProd[[#This Row],[Prestige]],-1,0)</f>
        <v>250</v>
      </c>
      <c r="Q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1" s="69" t="n">
        <f aca="false">MAX(3750,_xlfn.CEILING.MATH(TblProd[[#This Row],[Land]]*2.5+OFFSET(TblTech[[#This Row],[Sum of tech]],-1,0)*150))</f>
        <v>3750</v>
      </c>
      <c r="S61" s="132"/>
      <c r="T61" s="69" t="n">
        <f aca="false">ROUNDDOWN(TblProd[[#This Row],[Raw Plat/hr]]*(1+TblProd[[#This Row],[Bonus Plat/hr]]),0)</f>
        <v>45447</v>
      </c>
      <c r="U61" s="69" t="n">
        <f aca="false">ROUND(TblProd[[#This Row],[Raw Food/hr]]*(1+TblProd[[#This Row],[Bonus Food/hr]])-TblProd[[#This Row],[Food decay]]-TblProd[[#This Row],[Food eaten]],0)</f>
        <v>-5952</v>
      </c>
      <c r="V61" s="69" t="n">
        <f aca="false">ROUND(TblProd[[#This Row],[Raw Lumber/hr]]*(1+TblProd[[#This Row],[Bonus Lumber/hr]])-TblProd[[#This Row],[Lumber rot]],0)</f>
        <v>241</v>
      </c>
      <c r="W61" s="69" t="n">
        <f aca="false">ROUND(TblProd[[#This Row],[Raw Mana/hr]]*(1+TblProd[[#This Row],[Bonus Mana/hr]])-TblProd[[#This Row],[Mana drain]],0)</f>
        <v>-10767</v>
      </c>
      <c r="X61" s="69" t="n">
        <f aca="false">ROUNDDOWN(TblProd[[#This Row],[Raw Ore/hr]]*(1+TblProd[[#This Row],[Bonux Ore/hr]]),0)</f>
        <v>0</v>
      </c>
      <c r="Y61" s="69" t="n">
        <f aca="false">ROUNDDOWN(TblProd[[#This Row],[Raw Gems/hr]]*(1+TblProd[[#This Row],[Bonus Gems/hr]]),0)</f>
        <v>0</v>
      </c>
      <c r="Z61" s="148" t="n">
        <f aca="false">OFFSET(TblConstr[[#This Row],[Tot Doc]],1,0)*dock_boats_hr * (1 + tech_4_1*TblTech[[#This Row],[4-1]])</f>
        <v>0.5</v>
      </c>
      <c r="AA61" s="146"/>
      <c r="AB61" s="69" t="n">
        <f aca="false">TblPop[[#This Row],[Peasants]]*tax*TblPop[[#This Row],[Employment]] + (Construction!AZ62+Construction!BX62)*(alch_plat+(Magic!AM61&gt;0)*alchemist_flame_bonus)</f>
        <v>41315.5</v>
      </c>
      <c r="AC61" s="69" t="n">
        <f aca="false">TblConstr[[#This Row],[Tot Farm]]*farm_food + TblConstr[[#This Row],[Tot Doc]]*dock_food</f>
        <v>1920</v>
      </c>
      <c r="AD61" s="69" t="n">
        <f aca="false">TblConstr[[#This Row],[Tot Ly]]*ly_lumber + TblConstr[[#This Row],[Tot Hav]]*fh_lumber</f>
        <v>1250</v>
      </c>
      <c r="AE61" s="69" t="n">
        <f aca="false">OFFSET(TblConstr[[#This Row],[Tot Tow]],1,0)*(tower_mana + tech_4_5*TblTech[[#This Row],[4-5]]) + OFFSET(TblConstr[[#This Row],[Tot WG]],1,0)*wg_mana_prod</f>
        <v>625</v>
      </c>
      <c r="AF61" s="69" t="n">
        <f aca="false">OFFSET(TblConstr[[#This Row],[Tot OM]],1,0)*om_ore+IF(race="Dwarf",ROUNDDOWN(TblMili[[#This Row],[Unit 2]]*0.4,0),)</f>
        <v>0</v>
      </c>
      <c r="AG61" s="69" t="n">
        <f aca="false">OFFSET(TblConstr[[#This Row],[Tot DM]],1,0)*dm_gems</f>
        <v>0</v>
      </c>
      <c r="AH61" s="132"/>
      <c r="AI61" s="149" t="n">
        <f aca="false">MIN(race_platinum_bonus + IF(TblMagic[[#This Row],[Active Alch Frost]]&gt;0,alch_frost_bonus,IF(Magic!AD61&gt;0,midas_bonus)) + TblImps[[#This Row],[Science]] - TblProd[[#This Row],[Guard]]*(0.02 + tech_5_7*TblTech[[#This Row],[5-7]]) + tech_1_5*TblTech[[#This Row],[1-5]] + tech_4_4*TblTech[[#This Row],[4-4]], 0.5)</f>
        <v>0.1</v>
      </c>
      <c r="AJ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1" s="149" t="n">
        <f aca="false">race_lumber_bonus+ IF(TblMagic[[#This Row],[Active Gaia''s Blessing]]&gt;0,gaias_blessing_lumber)+ tech_1_3*TblTech[[#This Row],[1-3]] + tech_1_6*TblTech[[#This Row],[1-6]] + tech_3_3*TblTech[[#This Row],[3-3]]</f>
        <v>-0.1</v>
      </c>
      <c r="AL61" s="149" t="n">
        <f aca="false">race_mana_bonus+ 0 + TblImps[[#This Row],[Towers]] + tech_1_2*TblTech[[#This Row],[1-2]] + tech_3_4*TblTech[[#This Row],[3-4]]</f>
        <v>0</v>
      </c>
      <c r="AM61" s="149" t="n">
        <f aca="false">race_ore_bonus + IF(TblMagic[[#This Row],[Active Miner''s Sight]]&gt;0,miners_sight_bonus,IF(TblMagic[[#This Row],[Active Mining Strength]]&gt;0,mining_strength_bonus)) +  tech_1_6*TblTech[[#This Row],[1-6]]</f>
        <v>0</v>
      </c>
      <c r="AN61" s="149" t="n">
        <f aca="false">race_gem_bonus+ tech_3_2*TblTech[[#This Row],[3-2]] + tech_4_3*TblTech[[#This Row],[4-3]] + tech_6_2*TblTech[[#This Row],[6-2]]</f>
        <v>0.15</v>
      </c>
      <c r="AO61" s="132"/>
      <c r="AP61" s="69" t="n">
        <f aca="false">TblProd[[#This Row],[Food]]*food_decay * (1 + tech_2_1*TblTech[[#This Row],[2-1]] + tech_2_8*TblTech[[#This Row],[2-8]])</f>
        <v>5167.84</v>
      </c>
      <c r="AQ61" s="69" t="n">
        <f aca="false">(1+race_food_consumption)*TblPop[[#This Row],[Total]]*food_per_person*(1+tech_1_10*TblTech[[#This Row],[1-10]]+tech_7_5*TblTech[[#This Row],[7-5]])</f>
        <v>2752.5</v>
      </c>
      <c r="AR61" s="69" t="n">
        <f aca="false">TblProd[[#This Row],[Lumber]]*lumber_rot * (1 + tech_2_1*TblTech[[#This Row],[2-1]] + tech_2_8*TblTech[[#This Row],[2-8]] + tech_5_2*TblTech[[#This Row],[5-2]])</f>
        <v>883.76</v>
      </c>
      <c r="AS61" s="69" t="n">
        <f aca="false">TblProd[[#This Row],[Mana]]*mana_drain * (1 + tech_2_1*TblTech[[#This Row],[2-1]] + tech_2_8*TblTech[[#This Row],[2-8]])</f>
        <v>11391.64</v>
      </c>
      <c r="AT61" s="146"/>
      <c r="AU61" s="69" t="n">
        <f aca="false">TblExplore[[#This Row],[Platinum (2)]]+TblConstr[[#This Row],[Total Plat Cost]]+TblMili[[#This Row],[Plat Cost]]+TblRezone[[#This Row],[Platinum cost]]+TblImps[[#This Row],[P1]]-TblProd[[#This Row],[Bank Plat]]</f>
        <v>-28514</v>
      </c>
      <c r="AV61" s="69" t="n">
        <f aca="false">TblConstr[[#This Row],[Total Lum Cost]]+TblImps[[#This Row],[L1]]-TblProd[[#This Row],[Bank Lumber]] + Military!$CL$25*TblMili[[#This Row],[Sec. rec. Cost]]</f>
        <v>-5300</v>
      </c>
      <c r="AW61" s="69" t="n">
        <f aca="false">TblMagic[[#This Row],[Mana cost]] + Military!$CL$26*TblMili[[#This Row],[Sec. rec. Cost]]</f>
        <v>0</v>
      </c>
      <c r="AX61" s="69" t="n">
        <f aca="false">Military!$CL$24*TblMili[[#This Row],[Sec. rec. Cost]]+TblImps[[#This Row],[O1]]-TblProd[[#This Row],[Bank Ore]]</f>
        <v>0</v>
      </c>
      <c r="AY61" s="69" t="n">
        <f aca="false">TblImps[[#This Row],[G1]]-TblProd[[#This Row],[Bank Gems]]</f>
        <v>0</v>
      </c>
      <c r="AZ61" s="132"/>
      <c r="BA61" s="33" t="n">
        <f aca="false">IF(TblProd[[#This Row],[Set Guard]]&lt;&gt;"",TblProd[[#This Row],[Set Guard]],OFFSET(TblProd[[#This Row],[Guard]],-1,0))</f>
        <v>0</v>
      </c>
      <c r="BB61" s="145"/>
      <c r="BC61" s="151" t="n">
        <f aca="false">TblProd[[#This Row],[Hour]]</f>
        <v>58</v>
      </c>
      <c r="BD61" s="152" t="n">
        <f aca="false">-TblProd[[#This Row],[Bank Lumber]] / 2 + -TblProd[[#This Row],[Bank Gems]] * 2 + -TblProd[[#This Row],[Bank Ore]] / 2</f>
        <v>0</v>
      </c>
      <c r="BE61" s="152"/>
      <c r="BF61" s="152"/>
      <c r="BG61" s="152"/>
      <c r="BH61" s="153" t="n">
        <f aca="false">TblProd[[#This Row],[Time]]</f>
        <v>45432.125</v>
      </c>
      <c r="BI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J61" s="69" t="n">
        <f aca="false">TblProd[[#This Row],[Platinum]]</f>
        <v>1170586</v>
      </c>
      <c r="BK61" s="69" t="n">
        <f aca="false">TblProd[[#This Row],[Food]]</f>
        <v>516784</v>
      </c>
      <c r="BL61" s="69" t="n">
        <f aca="false">TblProd[[#This Row],[Lumber]]</f>
        <v>88376</v>
      </c>
      <c r="BM61" s="69" t="n">
        <f aca="false">TblProd[[#This Row],[Mana]]</f>
        <v>569582</v>
      </c>
      <c r="BN61" s="69" t="n">
        <f aca="false">TblProd[[#This Row],[Ore]]</f>
        <v>-357</v>
      </c>
    </row>
    <row r="62" customFormat="false" ht="12.75" hidden="false" customHeight="false" outlineLevel="0" collapsed="false">
      <c r="A62" s="128" t="n">
        <v>59</v>
      </c>
      <c r="B62" s="144" t="n">
        <f aca="false">TblImps[[#This Row],[Time]]</f>
        <v>45432.1666666667</v>
      </c>
      <c r="C62" s="145"/>
      <c r="D62" s="146"/>
      <c r="E62" s="69" t="n">
        <f aca="false">TblConstr[[#This Row],[Land]]</f>
        <v>646</v>
      </c>
      <c r="F62" s="69" t="n">
        <f aca="false">TblPop[[#This Row],[Peasants]]</f>
        <v>9450</v>
      </c>
      <c r="G62" s="69"/>
      <c r="H62" s="69" t="e">
        <f aca="false">TblMili[[#This Row],[Networth (2)]]</f>
        <v>#VALUE!</v>
      </c>
      <c r="I62" s="69" t="n">
        <f aca="false">OFFSET(TblProd[[#This Row],[Platinum]],-1,0)+OFFSET(TblProd[[#This Row],[Plat/hr]],-1,0) - TblProd[[#This Row],[Expenses Platinum]] + IF(TblProd[[#This Row],[Plat Bonus]],TblPop[[#This Row],[Peasants]]*4) + SUM(TblConstr[[#This Row],[Dest Hom]:[Dest Doc]])*TblConstr[[#This Row],[CPA Platinum -DB]]*tech_3_3_2*TblTech[[#This Row],[3-3]]</f>
        <v>1244865</v>
      </c>
      <c r="J62" s="69" t="n">
        <f aca="false">OFFSET(TblProd[[#This Row],[Food]],-1,0)+OFFSET(TblProd[[#This Row],[Food/hr]],-1,0)+ROUNDUP((TblConstr[[#This Row],[Farms]]*80+TblConstr[[#This Row],[Docks]]*35)*(1+OFFSET(TblProd[[#This Row],[Bonus Food/hr]],-1,0)),0)</f>
        <v>510832</v>
      </c>
      <c r="K62" s="69" t="n">
        <f aca="false">OFFSET(TblProd[[#This Row],[Lumber]],-1,0)+OFFSET(TblProd[[#This Row],[Lumber/hr]],-1,0) - TblProd[[#This Row],[Expenses Lumber]] + SUM(TblConstr[[#This Row],[Dest Hom]:[Dest Doc]])*TblConstr[[#This Row],[CPA Lumber -DB]]*tech_3_3_2*TblTech[[#This Row],[3-3]]</f>
        <v>93917</v>
      </c>
      <c r="L62" s="69" t="n">
        <f aca="false">OFFSET(TblProd[[#This Row],[Mana]],-1,0)+OFFSET(TblProd[[#This Row],[Mana/hr]],-1,0)- TblProd[[#This Row],[Expenses Mana]]</f>
        <v>558815</v>
      </c>
      <c r="M62" s="69" t="n">
        <f aca="false">OFFSET(TblProd[[#This Row],[Ore]],-1,0)+OFFSET(TblProd[[#This Row],[Ore/hr]],-1,0) -TblProd[[#This Row],[Expenses Ore]]</f>
        <v>-357</v>
      </c>
      <c r="N62" s="69" t="n">
        <f aca="false">OFFSET(TblProd[[#This Row],[Gems]],-1,0)+OFFSET(TblProd[[#This Row],[Gems/hr]],-1,0) - TblProd[[#This Row],[Expenses Gems]]</f>
        <v>-1000</v>
      </c>
      <c r="O62" s="69" t="n">
        <f aca="false">OFFSET(TblProd[[#This Row],[Boats]],-1,0)+OFFSET(TblProd[[#This Row],[Boats/hr]],-1,0)</f>
        <v>13.25</v>
      </c>
      <c r="P62" s="69" t="n">
        <f aca="false">OFFSET(TblProd[[#This Row],[Prestige]],-1,0)</f>
        <v>250</v>
      </c>
      <c r="Q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2" s="69" t="n">
        <f aca="false">MAX(3750,_xlfn.CEILING.MATH(TblProd[[#This Row],[Land]]*2.5+OFFSET(TblTech[[#This Row],[Sum of tech]],-1,0)*150))</f>
        <v>3750</v>
      </c>
      <c r="S62" s="132"/>
      <c r="T62" s="69" t="n">
        <f aca="false">ROUNDDOWN(TblProd[[#This Row],[Raw Plat/hr]]*(1+TblProd[[#This Row],[Bonus Plat/hr]]),0)</f>
        <v>45228</v>
      </c>
      <c r="U62" s="69" t="n">
        <f aca="false">ROUND(TblProd[[#This Row],[Raw Food/hr]]*(1+TblProd[[#This Row],[Bonus Food/hr]])-TblProd[[#This Row],[Food decay]]-TblProd[[#This Row],[Food eaten]],0)</f>
        <v>-5893</v>
      </c>
      <c r="V62" s="69" t="n">
        <f aca="false">ROUND(TblProd[[#This Row],[Raw Lumber/hr]]*(1+TblProd[[#This Row],[Bonus Lumber/hr]])-TblProd[[#This Row],[Lumber rot]],0)</f>
        <v>186</v>
      </c>
      <c r="W62" s="69" t="n">
        <f aca="false">ROUND(TblProd[[#This Row],[Raw Mana/hr]]*(1+TblProd[[#This Row],[Bonus Mana/hr]])-TblProd[[#This Row],[Mana drain]],0)</f>
        <v>-10551</v>
      </c>
      <c r="X62" s="69" t="n">
        <f aca="false">ROUNDDOWN(TblProd[[#This Row],[Raw Ore/hr]]*(1+TblProd[[#This Row],[Bonux Ore/hr]]),0)</f>
        <v>0</v>
      </c>
      <c r="Y62" s="69" t="n">
        <f aca="false">ROUNDDOWN(TblProd[[#This Row],[Raw Gems/hr]]*(1+TblProd[[#This Row],[Bonus Gems/hr]]),0)</f>
        <v>0</v>
      </c>
      <c r="Z62" s="148" t="n">
        <f aca="false">OFFSET(TblConstr[[#This Row],[Tot Doc]],1,0)*dock_boats_hr * (1 + tech_4_1*TblTech[[#This Row],[4-1]])</f>
        <v>0.5</v>
      </c>
      <c r="AA62" s="146"/>
      <c r="AB62" s="69" t="n">
        <f aca="false">TblPop[[#This Row],[Peasants]]*tax*TblPop[[#This Row],[Employment]] + (Construction!AZ63+Construction!BX63)*(alch_plat+(Magic!AM62&gt;0)*alchemist_flame_bonus)</f>
        <v>41117</v>
      </c>
      <c r="AC62" s="69" t="n">
        <f aca="false">TblConstr[[#This Row],[Tot Farm]]*farm_food + TblConstr[[#This Row],[Tot Doc]]*dock_food</f>
        <v>1920</v>
      </c>
      <c r="AD62" s="69" t="n">
        <f aca="false">TblConstr[[#This Row],[Tot Ly]]*ly_lumber + TblConstr[[#This Row],[Tot Hav]]*fh_lumber</f>
        <v>1250</v>
      </c>
      <c r="AE62" s="69" t="n">
        <f aca="false">OFFSET(TblConstr[[#This Row],[Tot Tow]],1,0)*(tower_mana + tech_4_5*TblTech[[#This Row],[4-5]]) + OFFSET(TblConstr[[#This Row],[Tot WG]],1,0)*wg_mana_prod</f>
        <v>625</v>
      </c>
      <c r="AF62" s="69" t="n">
        <f aca="false">OFFSET(TblConstr[[#This Row],[Tot OM]],1,0)*om_ore+IF(race="Dwarf",ROUNDDOWN(TblMili[[#This Row],[Unit 2]]*0.4,0),)</f>
        <v>0</v>
      </c>
      <c r="AG62" s="69" t="n">
        <f aca="false">OFFSET(TblConstr[[#This Row],[Tot DM]],1,0)*dm_gems</f>
        <v>0</v>
      </c>
      <c r="AH62" s="132"/>
      <c r="AI62" s="149" t="n">
        <f aca="false">MIN(race_platinum_bonus + IF(TblMagic[[#This Row],[Active Alch Frost]]&gt;0,alch_frost_bonus,IF(Magic!AD62&gt;0,midas_bonus)) + TblImps[[#This Row],[Science]] - TblProd[[#This Row],[Guard]]*(0.02 + tech_5_7*TblTech[[#This Row],[5-7]]) + tech_1_5*TblTech[[#This Row],[1-5]] + tech_4_4*TblTech[[#This Row],[4-4]], 0.5)</f>
        <v>0.1</v>
      </c>
      <c r="AJ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2" s="149" t="n">
        <f aca="false">race_lumber_bonus+ IF(TblMagic[[#This Row],[Active Gaia''s Blessing]]&gt;0,gaias_blessing_lumber)+ tech_1_3*TblTech[[#This Row],[1-3]] + tech_1_6*TblTech[[#This Row],[1-6]] + tech_3_3*TblTech[[#This Row],[3-3]]</f>
        <v>-0.1</v>
      </c>
      <c r="AL62" s="149" t="n">
        <f aca="false">race_mana_bonus+ 0 + TblImps[[#This Row],[Towers]] + tech_1_2*TblTech[[#This Row],[1-2]] + tech_3_4*TblTech[[#This Row],[3-4]]</f>
        <v>0</v>
      </c>
      <c r="AM62" s="149" t="n">
        <f aca="false">race_ore_bonus + IF(TblMagic[[#This Row],[Active Miner''s Sight]]&gt;0,miners_sight_bonus,IF(TblMagic[[#This Row],[Active Mining Strength]]&gt;0,mining_strength_bonus)) +  tech_1_6*TblTech[[#This Row],[1-6]]</f>
        <v>0</v>
      </c>
      <c r="AN62" s="149" t="n">
        <f aca="false">race_gem_bonus+ tech_3_2*TblTech[[#This Row],[3-2]] + tech_4_3*TblTech[[#This Row],[4-3]] + tech_6_2*TblTech[[#This Row],[6-2]]</f>
        <v>0.15</v>
      </c>
      <c r="AO62" s="132"/>
      <c r="AP62" s="69" t="n">
        <f aca="false">TblProd[[#This Row],[Food]]*food_decay * (1 + tech_2_1*TblTech[[#This Row],[2-1]] + tech_2_8*TblTech[[#This Row],[2-8]])</f>
        <v>5108.32</v>
      </c>
      <c r="AQ62" s="69" t="n">
        <f aca="false">(1+race_food_consumption)*TblPop[[#This Row],[Total]]*food_per_person*(1+tech_1_10*TblTech[[#This Row],[1-10]]+tech_7_5*TblTech[[#This Row],[7-5]])</f>
        <v>2752.5</v>
      </c>
      <c r="AR62" s="69" t="n">
        <f aca="false">TblProd[[#This Row],[Lumber]]*lumber_rot * (1 + tech_2_1*TblTech[[#This Row],[2-1]] + tech_2_8*TblTech[[#This Row],[2-8]] + tech_5_2*TblTech[[#This Row],[5-2]])</f>
        <v>939.17</v>
      </c>
      <c r="AS62" s="69" t="n">
        <f aca="false">TblProd[[#This Row],[Mana]]*mana_drain * (1 + tech_2_1*TblTech[[#This Row],[2-1]] + tech_2_8*TblTech[[#This Row],[2-8]])</f>
        <v>11176.3</v>
      </c>
      <c r="AT62" s="146"/>
      <c r="AU62" s="69" t="n">
        <f aca="false">TblExplore[[#This Row],[Platinum (2)]]+TblConstr[[#This Row],[Total Plat Cost]]+TblMili[[#This Row],[Plat Cost]]+TblRezone[[#This Row],[Platinum cost]]+TblImps[[#This Row],[P1]]-TblProd[[#This Row],[Bank Plat]]</f>
        <v>-28832</v>
      </c>
      <c r="AV62" s="69" t="n">
        <f aca="false">TblConstr[[#This Row],[Total Lum Cost]]+TblImps[[#This Row],[L1]]-TblProd[[#This Row],[Bank Lumber]] + Military!$CL$25*TblMili[[#This Row],[Sec. rec. Cost]]</f>
        <v>-5300</v>
      </c>
      <c r="AW62" s="69" t="n">
        <f aca="false">TblMagic[[#This Row],[Mana cost]] + Military!$CL$26*TblMili[[#This Row],[Sec. rec. Cost]]</f>
        <v>0</v>
      </c>
      <c r="AX62" s="69" t="n">
        <f aca="false">Military!$CL$24*TblMili[[#This Row],[Sec. rec. Cost]]+TblImps[[#This Row],[O1]]-TblProd[[#This Row],[Bank Ore]]</f>
        <v>0</v>
      </c>
      <c r="AY62" s="69" t="n">
        <f aca="false">TblImps[[#This Row],[G1]]-TblProd[[#This Row],[Bank Gems]]</f>
        <v>0</v>
      </c>
      <c r="AZ62" s="132"/>
      <c r="BA62" s="33" t="n">
        <f aca="false">IF(TblProd[[#This Row],[Set Guard]]&lt;&gt;"",TblProd[[#This Row],[Set Guard]],OFFSET(TblProd[[#This Row],[Guard]],-1,0))</f>
        <v>0</v>
      </c>
      <c r="BB62" s="145"/>
      <c r="BC62" s="151" t="n">
        <f aca="false">TblProd[[#This Row],[Hour]]</f>
        <v>59</v>
      </c>
      <c r="BD62" s="152" t="n">
        <f aca="false">-TblProd[[#This Row],[Bank Lumber]] / 2 + -TblProd[[#This Row],[Bank Gems]] * 2 + -TblProd[[#This Row],[Bank Ore]] / 2</f>
        <v>0</v>
      </c>
      <c r="BE62" s="152"/>
      <c r="BF62" s="152"/>
      <c r="BG62" s="152"/>
      <c r="BH62" s="153" t="n">
        <f aca="false">TblProd[[#This Row],[Time]]</f>
        <v>45432.1666666667</v>
      </c>
      <c r="BI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J62" s="69" t="n">
        <f aca="false">TblProd[[#This Row],[Platinum]]</f>
        <v>1244865</v>
      </c>
      <c r="BK62" s="69" t="n">
        <f aca="false">TblProd[[#This Row],[Food]]</f>
        <v>510832</v>
      </c>
      <c r="BL62" s="69" t="n">
        <f aca="false">TblProd[[#This Row],[Lumber]]</f>
        <v>93917</v>
      </c>
      <c r="BM62" s="69" t="n">
        <f aca="false">TblProd[[#This Row],[Mana]]</f>
        <v>558815</v>
      </c>
      <c r="BN62" s="69" t="n">
        <f aca="false">TblProd[[#This Row],[Ore]]</f>
        <v>-357</v>
      </c>
    </row>
    <row r="63" customFormat="false" ht="12.75" hidden="false" customHeight="false" outlineLevel="0" collapsed="false">
      <c r="A63" s="128" t="n">
        <v>60</v>
      </c>
      <c r="B63" s="144" t="n">
        <f aca="false">TblImps[[#This Row],[Time]]</f>
        <v>45432.2083333333</v>
      </c>
      <c r="C63" s="145"/>
      <c r="D63" s="146"/>
      <c r="E63" s="69" t="n">
        <f aca="false">TblConstr[[#This Row],[Land]]</f>
        <v>646</v>
      </c>
      <c r="F63" s="69" t="n">
        <f aca="false">TblPop[[#This Row],[Peasants]]</f>
        <v>9678</v>
      </c>
      <c r="G63" s="69"/>
      <c r="H63" s="69" t="e">
        <f aca="false">TblMili[[#This Row],[Networth (2)]]</f>
        <v>#VALUE!</v>
      </c>
      <c r="I63" s="69" t="n">
        <f aca="false">OFFSET(TblProd[[#This Row],[Platinum]],-1,0)+OFFSET(TblProd[[#This Row],[Plat/hr]],-1,0) - TblProd[[#This Row],[Expenses Platinum]] + IF(TblProd[[#This Row],[Plat Bonus]],TblPop[[#This Row],[Peasants]]*4) + SUM(TblConstr[[#This Row],[Dest Hom]:[Dest Doc]])*TblConstr[[#This Row],[CPA Platinum -DB]]*tech_3_3_2*TblTech[[#This Row],[3-3]]</f>
        <v>1319455</v>
      </c>
      <c r="J63" s="69" t="n">
        <f aca="false">OFFSET(TblProd[[#This Row],[Food]],-1,0)+OFFSET(TblProd[[#This Row],[Food/hr]],-1,0)+ROUNDUP((TblConstr[[#This Row],[Farms]]*80+TblConstr[[#This Row],[Docks]]*35)*(1+OFFSET(TblProd[[#This Row],[Bonus Food/hr]],-1,0)),0)</f>
        <v>504939</v>
      </c>
      <c r="K63" s="69" t="n">
        <f aca="false">OFFSET(TblProd[[#This Row],[Lumber]],-1,0)+OFFSET(TblProd[[#This Row],[Lumber/hr]],-1,0) - TblProd[[#This Row],[Expenses Lumber]] + SUM(TblConstr[[#This Row],[Dest Hom]:[Dest Doc]])*TblConstr[[#This Row],[CPA Lumber -DB]]*tech_3_3_2*TblTech[[#This Row],[3-3]]</f>
        <v>99509</v>
      </c>
      <c r="L63" s="69" t="n">
        <f aca="false">OFFSET(TblProd[[#This Row],[Mana]],-1,0)+OFFSET(TblProd[[#This Row],[Mana/hr]],-1,0)- TblProd[[#This Row],[Expenses Mana]]</f>
        <v>548264</v>
      </c>
      <c r="M63" s="69" t="n">
        <f aca="false">OFFSET(TblProd[[#This Row],[Ore]],-1,0)+OFFSET(TblProd[[#This Row],[Ore/hr]],-1,0) -TblProd[[#This Row],[Expenses Ore]]</f>
        <v>-357</v>
      </c>
      <c r="N63" s="69" t="n">
        <f aca="false">OFFSET(TblProd[[#This Row],[Gems]],-1,0)+OFFSET(TblProd[[#This Row],[Gems/hr]],-1,0) - TblProd[[#This Row],[Expenses Gems]]</f>
        <v>-1000</v>
      </c>
      <c r="O63" s="69" t="n">
        <f aca="false">OFFSET(TblProd[[#This Row],[Boats]],-1,0)+OFFSET(TblProd[[#This Row],[Boats/hr]],-1,0)</f>
        <v>13.75</v>
      </c>
      <c r="P63" s="69" t="n">
        <f aca="false">OFFSET(TblProd[[#This Row],[Prestige]],-1,0)</f>
        <v>250</v>
      </c>
      <c r="Q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R63" s="69" t="n">
        <f aca="false">MAX(3750,_xlfn.CEILING.MATH(TblProd[[#This Row],[Land]]*2.5+OFFSET(TblTech[[#This Row],[Sum of tech]],-1,0)*150))</f>
        <v>3750</v>
      </c>
      <c r="S63" s="132"/>
      <c r="T63" s="69" t="n">
        <f aca="false">ROUNDDOWN(TblProd[[#This Row],[Raw Plat/hr]]*(1+TblProd[[#This Row],[Bonus Plat/hr]]),0)</f>
        <v>45969</v>
      </c>
      <c r="U63" s="69" t="n">
        <f aca="false">ROUND(TblProd[[#This Row],[Raw Food/hr]]*(1+TblProd[[#This Row],[Bonus Food/hr]])-TblProd[[#This Row],[Food decay]]-TblProd[[#This Row],[Food eaten]],0)</f>
        <v>-5915</v>
      </c>
      <c r="V63" s="69" t="n">
        <f aca="false">ROUND(TblProd[[#This Row],[Raw Lumber/hr]]*(1+TblProd[[#This Row],[Bonus Lumber/hr]])-TblProd[[#This Row],[Lumber rot]],0)</f>
        <v>130</v>
      </c>
      <c r="W63" s="69" t="n">
        <f aca="false">ROUND(TblProd[[#This Row],[Raw Mana/hr]]*(1+TblProd[[#This Row],[Bonus Mana/hr]])-TblProd[[#This Row],[Mana drain]],0)</f>
        <v>-10340</v>
      </c>
      <c r="X63" s="69" t="n">
        <f aca="false">ROUNDDOWN(TblProd[[#This Row],[Raw Ore/hr]]*(1+TblProd[[#This Row],[Bonux Ore/hr]]),0)</f>
        <v>0</v>
      </c>
      <c r="Y63" s="69" t="n">
        <f aca="false">ROUNDDOWN(TblProd[[#This Row],[Raw Gems/hr]]*(1+TblProd[[#This Row],[Bonus Gems/hr]]),0)</f>
        <v>0</v>
      </c>
      <c r="Z63" s="148" t="n">
        <f aca="false">OFFSET(TblConstr[[#This Row],[Tot Doc]],1,0)*dock_boats_hr * (1 + tech_4_1*TblTech[[#This Row],[4-1]])</f>
        <v>0.5</v>
      </c>
      <c r="AA63" s="146"/>
      <c r="AB63" s="69" t="n">
        <f aca="false">TblPop[[#This Row],[Peasants]]*tax*TblPop[[#This Row],[Employment]] + (Construction!AZ64+Construction!BX64)*(alch_plat+(Magic!AM63&gt;0)*alchemist_flame_bonus)</f>
        <v>41790.6</v>
      </c>
      <c r="AC63" s="69" t="n">
        <f aca="false">TblConstr[[#This Row],[Tot Farm]]*farm_food + TblConstr[[#This Row],[Tot Doc]]*dock_food</f>
        <v>1920</v>
      </c>
      <c r="AD63" s="69" t="n">
        <f aca="false">TblConstr[[#This Row],[Tot Ly]]*ly_lumber + TblConstr[[#This Row],[Tot Hav]]*fh_lumber</f>
        <v>1250</v>
      </c>
      <c r="AE63" s="69" t="n">
        <f aca="false">OFFSET(TblConstr[[#This Row],[Tot Tow]],1,0)*(tower_mana + tech_4_5*TblTech[[#This Row],[4-5]]) + OFFSET(TblConstr[[#This Row],[Tot WG]],1,0)*wg_mana_prod</f>
        <v>625</v>
      </c>
      <c r="AF63" s="69" t="n">
        <f aca="false">OFFSET(TblConstr[[#This Row],[Tot OM]],1,0)*om_ore+IF(race="Dwarf",ROUNDDOWN(TblMili[[#This Row],[Unit 2]]*0.4,0),)</f>
        <v>0</v>
      </c>
      <c r="AG63" s="69" t="n">
        <f aca="false">OFFSET(TblConstr[[#This Row],[Tot DM]],1,0)*dm_gems</f>
        <v>0</v>
      </c>
      <c r="AH63" s="132"/>
      <c r="AI63" s="149" t="n">
        <f aca="false">MIN(race_platinum_bonus + IF(TblMagic[[#This Row],[Active Alch Frost]]&gt;0,alch_frost_bonus,IF(Magic!AD63&gt;0,midas_bonus)) + TblImps[[#This Row],[Science]] - TblProd[[#This Row],[Guard]]*(0.02 + tech_5_7*TblTech[[#This Row],[5-7]]) + tech_1_5*TblTech[[#This Row],[1-5]] + tech_4_4*TblTech[[#This Row],[4-4]], 0.5)</f>
        <v>0.1</v>
      </c>
      <c r="AJ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3" s="149" t="n">
        <f aca="false">race_lumber_bonus+ IF(TblMagic[[#This Row],[Active Gaia''s Blessing]]&gt;0,gaias_blessing_lumber)+ tech_1_3*TblTech[[#This Row],[1-3]] + tech_1_6*TblTech[[#This Row],[1-6]] + tech_3_3*TblTech[[#This Row],[3-3]]</f>
        <v>-0.1</v>
      </c>
      <c r="AL63" s="149" t="n">
        <f aca="false">race_mana_bonus+ 0 + TblImps[[#This Row],[Towers]] + tech_1_2*TblTech[[#This Row],[1-2]] + tech_3_4*TblTech[[#This Row],[3-4]]</f>
        <v>0</v>
      </c>
      <c r="AM63" s="149" t="n">
        <f aca="false">race_ore_bonus + IF(TblMagic[[#This Row],[Active Miner''s Sight]]&gt;0,miners_sight_bonus,IF(TblMagic[[#This Row],[Active Mining Strength]]&gt;0,mining_strength_bonus)) +  tech_1_6*TblTech[[#This Row],[1-6]]</f>
        <v>0</v>
      </c>
      <c r="AN63" s="149" t="n">
        <f aca="false">race_gem_bonus+ tech_3_2*TblTech[[#This Row],[3-2]] + tech_4_3*TblTech[[#This Row],[4-3]] + tech_6_2*TblTech[[#This Row],[6-2]]</f>
        <v>0.15</v>
      </c>
      <c r="AO63" s="132"/>
      <c r="AP63" s="69" t="n">
        <f aca="false">TblProd[[#This Row],[Food]]*food_decay * (1 + tech_2_1*TblTech[[#This Row],[2-1]] + tech_2_8*TblTech[[#This Row],[2-8]])</f>
        <v>5049.39</v>
      </c>
      <c r="AQ63" s="69" t="n">
        <f aca="false">(1+race_food_consumption)*TblPop[[#This Row],[Total]]*food_per_person*(1+tech_1_10*TblTech[[#This Row],[1-10]]+tech_7_5*TblTech[[#This Row],[7-5]])</f>
        <v>2833.25</v>
      </c>
      <c r="AR63" s="69" t="n">
        <f aca="false">TblProd[[#This Row],[Lumber]]*lumber_rot * (1 + tech_2_1*TblTech[[#This Row],[2-1]] + tech_2_8*TblTech[[#This Row],[2-8]] + tech_5_2*TblTech[[#This Row],[5-2]])</f>
        <v>995.09</v>
      </c>
      <c r="AS63" s="69" t="n">
        <f aca="false">TblProd[[#This Row],[Mana]]*mana_drain * (1 + tech_2_1*TblTech[[#This Row],[2-1]] + tech_2_8*TblTech[[#This Row],[2-8]])</f>
        <v>10965.28</v>
      </c>
      <c r="AT63" s="146"/>
      <c r="AU63" s="69" t="n">
        <f aca="false">TblExplore[[#This Row],[Platinum (2)]]+TblConstr[[#This Row],[Total Plat Cost]]+TblMili[[#This Row],[Plat Cost]]+TblRezone[[#This Row],[Platinum cost]]+TblImps[[#This Row],[P1]]-TblProd[[#This Row],[Bank Plat]]</f>
        <v>-29362</v>
      </c>
      <c r="AV63" s="69" t="n">
        <f aca="false">TblConstr[[#This Row],[Total Lum Cost]]+TblImps[[#This Row],[L1]]-TblProd[[#This Row],[Bank Lumber]] + Military!$CL$25*TblMili[[#This Row],[Sec. rec. Cost]]</f>
        <v>-5406</v>
      </c>
      <c r="AW63" s="69" t="n">
        <f aca="false">TblMagic[[#This Row],[Mana cost]] + Military!$CL$26*TblMili[[#This Row],[Sec. rec. Cost]]</f>
        <v>0</v>
      </c>
      <c r="AX63" s="69" t="n">
        <f aca="false">Military!$CL$24*TblMili[[#This Row],[Sec. rec. Cost]]+TblImps[[#This Row],[O1]]-TblProd[[#This Row],[Bank Ore]]</f>
        <v>0</v>
      </c>
      <c r="AY63" s="69" t="n">
        <f aca="false">TblImps[[#This Row],[G1]]-TblProd[[#This Row],[Bank Gems]]</f>
        <v>0</v>
      </c>
      <c r="AZ63" s="132"/>
      <c r="BA63" s="33" t="n">
        <f aca="false">IF(TblProd[[#This Row],[Set Guard]]&lt;&gt;"",TblProd[[#This Row],[Set Guard]],OFFSET(TblProd[[#This Row],[Guard]],-1,0))</f>
        <v>0</v>
      </c>
      <c r="BB63" s="145"/>
      <c r="BC63" s="151" t="n">
        <f aca="false">TblProd[[#This Row],[Hour]]</f>
        <v>60</v>
      </c>
      <c r="BD63" s="152" t="n">
        <f aca="false">-TblProd[[#This Row],[Bank Lumber]] / 2 + -TblProd[[#This Row],[Bank Gems]] * 2 + -TblProd[[#This Row],[Bank Ore]] / 2</f>
        <v>0</v>
      </c>
      <c r="BE63" s="152"/>
      <c r="BF63" s="152"/>
      <c r="BG63" s="152"/>
      <c r="BH63" s="153" t="n">
        <f aca="false">TblProd[[#This Row],[Time]]</f>
        <v>45432.2083333333</v>
      </c>
      <c r="BI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J63" s="69" t="n">
        <f aca="false">TblProd[[#This Row],[Platinum]]</f>
        <v>1319455</v>
      </c>
      <c r="BK63" s="69" t="n">
        <f aca="false">TblProd[[#This Row],[Food]]</f>
        <v>504939</v>
      </c>
      <c r="BL63" s="69" t="n">
        <f aca="false">TblProd[[#This Row],[Lumber]]</f>
        <v>99509</v>
      </c>
      <c r="BM63" s="69" t="n">
        <f aca="false">TblProd[[#This Row],[Mana]]</f>
        <v>548264</v>
      </c>
      <c r="BN63" s="69" t="n">
        <f aca="false">TblProd[[#This Row],[Ore]]</f>
        <v>-357</v>
      </c>
    </row>
    <row r="64" customFormat="false" ht="12.75" hidden="false" customHeight="false" outlineLevel="0" collapsed="false">
      <c r="A64" s="128" t="n">
        <v>61</v>
      </c>
      <c r="B64" s="144" t="n">
        <f aca="false">TblImps[[#This Row],[Time]]</f>
        <v>45432.25</v>
      </c>
      <c r="C64" s="145" t="n">
        <v>1</v>
      </c>
      <c r="D64" s="146"/>
      <c r="E64" s="69" t="n">
        <f aca="false">TblConstr[[#This Row],[Land]]</f>
        <v>646</v>
      </c>
      <c r="F64" s="69" t="n">
        <f aca="false">TblPop[[#This Row],[Peasants]]</f>
        <v>9904</v>
      </c>
      <c r="G64" s="69"/>
      <c r="H64" s="69" t="e">
        <f aca="false">TblMili[[#This Row],[Networth (2)]]</f>
        <v>#VALUE!</v>
      </c>
      <c r="I64" s="69" t="n">
        <f aca="false">OFFSET(TblProd[[#This Row],[Platinum]],-1,0)+OFFSET(TblProd[[#This Row],[Plat/hr]],-1,0) - TblProd[[#This Row],[Expenses Platinum]] + IF(TblProd[[#This Row],[Plat Bonus]],TblPop[[#This Row],[Peasants]]*4) + SUM(TblConstr[[#This Row],[Dest Hom]:[Dest Doc]])*TblConstr[[#This Row],[CPA Platinum -DB]]*tech_3_3_2*TblTech[[#This Row],[3-3]]</f>
        <v>618020</v>
      </c>
      <c r="J64" s="69" t="n">
        <f aca="false">OFFSET(TblProd[[#This Row],[Food]],-1,0)+OFFSET(TblProd[[#This Row],[Food/hr]],-1,0)+ROUNDUP((TblConstr[[#This Row],[Farms]]*80+TblConstr[[#This Row],[Docks]]*35)*(1+OFFSET(TblProd[[#This Row],[Bonus Food/hr]],-1,0)),0)</f>
        <v>499024</v>
      </c>
      <c r="K64" s="69" t="n">
        <f aca="false">OFFSET(TblProd[[#This Row],[Lumber]],-1,0)+OFFSET(TblProd[[#This Row],[Lumber/hr]],-1,0) - TblProd[[#This Row],[Expenses Lumber]] + SUM(TblConstr[[#This Row],[Dest Hom]:[Dest Doc]])*TblConstr[[#This Row],[CPA Lumber -DB]]*tech_3_3_2*TblTech[[#This Row],[3-3]]</f>
        <v>100055</v>
      </c>
      <c r="L64" s="69" t="n">
        <f aca="false">OFFSET(TblProd[[#This Row],[Mana]],-1,0)+OFFSET(TblProd[[#This Row],[Mana/hr]],-1,0)- TblProd[[#This Row],[Expenses Mana]]</f>
        <v>537924</v>
      </c>
      <c r="M64" s="69" t="n">
        <f aca="false">OFFSET(TblProd[[#This Row],[Ore]],-1,0)+OFFSET(TblProd[[#This Row],[Ore/hr]],-1,0) -TblProd[[#This Row],[Expenses Ore]]</f>
        <v>-357</v>
      </c>
      <c r="N64" s="69" t="n">
        <f aca="false">OFFSET(TblProd[[#This Row],[Gems]],-1,0)+OFFSET(TblProd[[#This Row],[Gems/hr]],-1,0) - TblProd[[#This Row],[Expenses Gems]]</f>
        <v>-1000</v>
      </c>
      <c r="O64" s="69" t="n">
        <f aca="false">OFFSET(TblProd[[#This Row],[Boats]],-1,0)+OFFSET(TblProd[[#This Row],[Boats/hr]],-1,0)</f>
        <v>14.25</v>
      </c>
      <c r="P64" s="69" t="n">
        <f aca="false">OFFSET(TblProd[[#This Row],[Prestige]],-1,0)</f>
        <v>250</v>
      </c>
      <c r="Q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4" s="69" t="n">
        <f aca="false">MAX(3750,_xlfn.CEILING.MATH(TblProd[[#This Row],[Land]]*2.5+OFFSET(TblTech[[#This Row],[Sum of tech]],-1,0)*150))</f>
        <v>3750</v>
      </c>
      <c r="S64" s="132"/>
      <c r="T64" s="69" t="n">
        <f aca="false">ROUNDDOWN(TblProd[[#This Row],[Raw Plat/hr]]*(1+TblProd[[#This Row],[Bonus Plat/hr]]),0)</f>
        <v>46959</v>
      </c>
      <c r="U64" s="69" t="n">
        <f aca="false">ROUND(TblProd[[#This Row],[Raw Food/hr]]*(1+TblProd[[#This Row],[Bonus Food/hr]])-TblProd[[#This Row],[Food decay]]-TblProd[[#This Row],[Food eaten]],0)</f>
        <v>-5936</v>
      </c>
      <c r="V64" s="69" t="n">
        <f aca="false">ROUND(TblProd[[#This Row],[Raw Lumber/hr]]*(1+TblProd[[#This Row],[Bonus Lumber/hr]])-TblProd[[#This Row],[Lumber rot]],0)</f>
        <v>124</v>
      </c>
      <c r="W64" s="69" t="n">
        <f aca="false">ROUND(TblProd[[#This Row],[Raw Mana/hr]]*(1+TblProd[[#This Row],[Bonus Mana/hr]])-TblProd[[#This Row],[Mana drain]],0)</f>
        <v>-10133</v>
      </c>
      <c r="X64" s="69" t="n">
        <f aca="false">ROUNDDOWN(TblProd[[#This Row],[Raw Ore/hr]]*(1+TblProd[[#This Row],[Bonux Ore/hr]]),0)</f>
        <v>0</v>
      </c>
      <c r="Y64" s="69" t="n">
        <f aca="false">ROUNDDOWN(TblProd[[#This Row],[Raw Gems/hr]]*(1+TblProd[[#This Row],[Bonus Gems/hr]]),0)</f>
        <v>0</v>
      </c>
      <c r="Z64" s="148" t="n">
        <f aca="false">OFFSET(TblConstr[[#This Row],[Tot Doc]],1,0)*dock_boats_hr * (1 + tech_4_1*TblTech[[#This Row],[4-1]])</f>
        <v>0.8</v>
      </c>
      <c r="AA64" s="146"/>
      <c r="AB64" s="69" t="n">
        <f aca="false">TblPop[[#This Row],[Peasants]]*tax*TblPop[[#This Row],[Employment]] + (Construction!AZ65+Construction!BX65)*(alch_plat+(Magic!AM64&gt;0)*alchemist_flame_bonus)</f>
        <v>42690.8</v>
      </c>
      <c r="AC64" s="69" t="n">
        <f aca="false">TblConstr[[#This Row],[Tot Farm]]*farm_food + TblConstr[[#This Row],[Tot Doc]]*dock_food</f>
        <v>1920</v>
      </c>
      <c r="AD64" s="69" t="n">
        <f aca="false">TblConstr[[#This Row],[Tot Ly]]*ly_lumber + TblConstr[[#This Row],[Tot Hav]]*fh_lumber</f>
        <v>1250</v>
      </c>
      <c r="AE64" s="69" t="n">
        <f aca="false">OFFSET(TblConstr[[#This Row],[Tot Tow]],1,0)*(tower_mana + tech_4_5*TblTech[[#This Row],[4-5]]) + OFFSET(TblConstr[[#This Row],[Tot WG]],1,0)*wg_mana_prod</f>
        <v>625</v>
      </c>
      <c r="AF64" s="69" t="n">
        <f aca="false">OFFSET(TblConstr[[#This Row],[Tot OM]],1,0)*om_ore+IF(race="Dwarf",ROUNDDOWN(TblMili[[#This Row],[Unit 2]]*0.4,0),)</f>
        <v>0</v>
      </c>
      <c r="AG64" s="69" t="n">
        <f aca="false">OFFSET(TblConstr[[#This Row],[Tot DM]],1,0)*dm_gems</f>
        <v>0</v>
      </c>
      <c r="AH64" s="132"/>
      <c r="AI64" s="149" t="n">
        <f aca="false">MIN(race_platinum_bonus + IF(TblMagic[[#This Row],[Active Alch Frost]]&gt;0,alch_frost_bonus,IF(Magic!AD64&gt;0,midas_bonus)) + TblImps[[#This Row],[Science]] - TblProd[[#This Row],[Guard]]*(0.02 + tech_5_7*TblTech[[#This Row],[5-7]]) + tech_1_5*TblTech[[#This Row],[1-5]] + tech_4_4*TblTech[[#This Row],[4-4]], 0.5)</f>
        <v>0.1</v>
      </c>
      <c r="AJ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4" s="149" t="n">
        <f aca="false">race_lumber_bonus+ IF(TblMagic[[#This Row],[Active Gaia''s Blessing]]&gt;0,gaias_blessing_lumber)+ tech_1_3*TblTech[[#This Row],[1-3]] + tech_1_6*TblTech[[#This Row],[1-6]] + tech_3_3*TblTech[[#This Row],[3-3]]</f>
        <v>-0.1</v>
      </c>
      <c r="AL64" s="149" t="n">
        <f aca="false">race_mana_bonus+ 0 + TblImps[[#This Row],[Towers]] + tech_1_2*TblTech[[#This Row],[1-2]] + tech_3_4*TblTech[[#This Row],[3-4]]</f>
        <v>0</v>
      </c>
      <c r="AM64" s="149" t="n">
        <f aca="false">race_ore_bonus + IF(TblMagic[[#This Row],[Active Miner''s Sight]]&gt;0,miners_sight_bonus,IF(TblMagic[[#This Row],[Active Mining Strength]]&gt;0,mining_strength_bonus)) +  tech_1_6*TblTech[[#This Row],[1-6]]</f>
        <v>0</v>
      </c>
      <c r="AN64" s="149" t="n">
        <f aca="false">race_gem_bonus+ tech_3_2*TblTech[[#This Row],[3-2]] + tech_4_3*TblTech[[#This Row],[4-3]] + tech_6_2*TblTech[[#This Row],[6-2]]</f>
        <v>0.15</v>
      </c>
      <c r="AO64" s="132"/>
      <c r="AP64" s="69" t="n">
        <f aca="false">TblProd[[#This Row],[Food]]*food_decay * (1 + tech_2_1*TblTech[[#This Row],[2-1]] + tech_2_8*TblTech[[#This Row],[2-8]])</f>
        <v>4990.24</v>
      </c>
      <c r="AQ64" s="69" t="n">
        <f aca="false">(1+race_food_consumption)*TblPop[[#This Row],[Total]]*food_per_person*(1+tech_1_10*TblTech[[#This Row],[1-10]]+tech_7_5*TblTech[[#This Row],[7-5]])</f>
        <v>2914</v>
      </c>
      <c r="AR64" s="69" t="n">
        <f aca="false">TblProd[[#This Row],[Lumber]]*lumber_rot * (1 + tech_2_1*TblTech[[#This Row],[2-1]] + tech_2_8*TblTech[[#This Row],[2-8]] + tech_5_2*TblTech[[#This Row],[5-2]])</f>
        <v>1000.55</v>
      </c>
      <c r="AS64" s="69" t="n">
        <f aca="false">TblProd[[#This Row],[Mana]]*mana_drain * (1 + tech_2_1*TblTech[[#This Row],[2-1]] + tech_2_8*TblTech[[#This Row],[2-8]])</f>
        <v>10758.48</v>
      </c>
      <c r="AT64" s="146"/>
      <c r="AU64" s="69" t="n">
        <f aca="false">TblExplore[[#This Row],[Platinum (2)]]+TblConstr[[#This Row],[Total Plat Cost]]+TblMili[[#This Row],[Plat Cost]]+TblRezone[[#This Row],[Platinum cost]]+TblImps[[#This Row],[P1]]-TblProd[[#This Row],[Bank Plat]]</f>
        <v>787020</v>
      </c>
      <c r="AV64" s="69" t="n">
        <f aca="false">TblConstr[[#This Row],[Total Lum Cost]]+TblImps[[#This Row],[L1]]-TblProd[[#This Row],[Bank Lumber]] + Military!$CL$25*TblMili[[#This Row],[Sec. rec. Cost]]</f>
        <v>-416</v>
      </c>
      <c r="AW64" s="69" t="n">
        <f aca="false">TblMagic[[#This Row],[Mana cost]] + Military!$CL$26*TblMili[[#This Row],[Sec. rec. Cost]]</f>
        <v>0</v>
      </c>
      <c r="AX64" s="69" t="n">
        <f aca="false">Military!$CL$24*TblMili[[#This Row],[Sec. rec. Cost]]+TblImps[[#This Row],[O1]]-TblProd[[#This Row],[Bank Ore]]</f>
        <v>0</v>
      </c>
      <c r="AY64" s="69" t="n">
        <f aca="false">TblImps[[#This Row],[G1]]-TblProd[[#This Row],[Bank Gems]]</f>
        <v>0</v>
      </c>
      <c r="AZ64" s="132"/>
      <c r="BA64" s="33" t="n">
        <f aca="false">IF(TblProd[[#This Row],[Set Guard]]&lt;&gt;"",TblProd[[#This Row],[Set Guard]],OFFSET(TblProd[[#This Row],[Guard]],-1,0))</f>
        <v>0</v>
      </c>
      <c r="BB64" s="145"/>
      <c r="BC64" s="151" t="n">
        <f aca="false">TblProd[[#This Row],[Hour]]</f>
        <v>61</v>
      </c>
      <c r="BD64" s="152" t="n">
        <f aca="false">-TblProd[[#This Row],[Bank Lumber]] / 2 + -TblProd[[#This Row],[Bank Gems]] * 2 + -TblProd[[#This Row],[Bank Ore]] / 2</f>
        <v>0</v>
      </c>
      <c r="BE64" s="152"/>
      <c r="BF64" s="152"/>
      <c r="BG64" s="152"/>
      <c r="BH64" s="153" t="n">
        <f aca="false">TblProd[[#This Row],[Time]]</f>
        <v>45432.25</v>
      </c>
      <c r="BI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J64" s="69" t="n">
        <f aca="false">TblProd[[#This Row],[Platinum]]</f>
        <v>618020</v>
      </c>
      <c r="BK64" s="69" t="n">
        <f aca="false">TblProd[[#This Row],[Food]]</f>
        <v>499024</v>
      </c>
      <c r="BL64" s="69" t="n">
        <f aca="false">TblProd[[#This Row],[Lumber]]</f>
        <v>100055</v>
      </c>
      <c r="BM64" s="69" t="n">
        <f aca="false">TblProd[[#This Row],[Mana]]</f>
        <v>537924</v>
      </c>
      <c r="BN64" s="69" t="n">
        <f aca="false">TblProd[[#This Row],[Ore]]</f>
        <v>-357</v>
      </c>
    </row>
    <row r="65" customFormat="false" ht="12.75" hidden="false" customHeight="false" outlineLevel="0" collapsed="false">
      <c r="A65" s="128" t="n">
        <v>62</v>
      </c>
      <c r="B65" s="144" t="n">
        <f aca="false">TblImps[[#This Row],[Time]]</f>
        <v>45432.2916666667</v>
      </c>
      <c r="C65" s="145"/>
      <c r="D65" s="146"/>
      <c r="E65" s="69" t="n">
        <f aca="false">TblConstr[[#This Row],[Land]]</f>
        <v>646</v>
      </c>
      <c r="F65" s="69" t="n">
        <f aca="false">TblPop[[#This Row],[Peasants]]</f>
        <v>9805</v>
      </c>
      <c r="G65" s="69"/>
      <c r="H65" s="69" t="e">
        <f aca="false">TblMili[[#This Row],[Networth (2)]]</f>
        <v>#VALUE!</v>
      </c>
      <c r="I65" s="69" t="n">
        <f aca="false">OFFSET(TblProd[[#This Row],[Platinum]],-1,0)+OFFSET(TblProd[[#This Row],[Plat/hr]],-1,0) - TblProd[[#This Row],[Expenses Platinum]] + IF(TblProd[[#This Row],[Plat Bonus]],TblPop[[#This Row],[Peasants]]*4) + SUM(TblConstr[[#This Row],[Dest Hom]:[Dest Doc]])*TblConstr[[#This Row],[CPA Platinum -DB]]*tech_3_3_2*TblTech[[#This Row],[3-3]]</f>
        <v>718144</v>
      </c>
      <c r="J65" s="69" t="n">
        <f aca="false">OFFSET(TblProd[[#This Row],[Food]],-1,0)+OFFSET(TblProd[[#This Row],[Food/hr]],-1,0)+ROUNDUP((TblConstr[[#This Row],[Farms]]*80+TblConstr[[#This Row],[Docks]]*35)*(1+OFFSET(TblProd[[#This Row],[Bonus Food/hr]],-1,0)),0)</f>
        <v>493468</v>
      </c>
      <c r="K65" s="69" t="n">
        <f aca="false">OFFSET(TblProd[[#This Row],[Lumber]],-1,0)+OFFSET(TblProd[[#This Row],[Lumber/hr]],-1,0) - TblProd[[#This Row],[Expenses Lumber]] + SUM(TblConstr[[#This Row],[Dest Hom]:[Dest Doc]])*TblConstr[[#This Row],[CPA Lumber -DB]]*tech_3_3_2*TblTech[[#This Row],[3-3]]</f>
        <v>109048</v>
      </c>
      <c r="L65" s="69" t="n">
        <f aca="false">OFFSET(TblProd[[#This Row],[Mana]],-1,0)+OFFSET(TblProd[[#This Row],[Mana/hr]],-1,0)- TblProd[[#This Row],[Expenses Mana]]</f>
        <v>524561</v>
      </c>
      <c r="M65" s="69" t="n">
        <f aca="false">OFFSET(TblProd[[#This Row],[Ore]],-1,0)+OFFSET(TblProd[[#This Row],[Ore/hr]],-1,0) -TblProd[[#This Row],[Expenses Ore]]</f>
        <v>-357</v>
      </c>
      <c r="N65" s="69" t="n">
        <f aca="false">OFFSET(TblProd[[#This Row],[Gems]],-1,0)+OFFSET(TblProd[[#This Row],[Gems/hr]],-1,0) - TblProd[[#This Row],[Expenses Gems]]</f>
        <v>-1000</v>
      </c>
      <c r="O65" s="69" t="n">
        <f aca="false">OFFSET(TblProd[[#This Row],[Boats]],-1,0)+OFFSET(TblProd[[#This Row],[Boats/hr]],-1,0)</f>
        <v>15.05</v>
      </c>
      <c r="P65" s="69" t="n">
        <f aca="false">OFFSET(TblProd[[#This Row],[Prestige]],-1,0)</f>
        <v>250</v>
      </c>
      <c r="Q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5" s="69" t="n">
        <f aca="false">MAX(3750,_xlfn.CEILING.MATH(TblProd[[#This Row],[Land]]*2.5+OFFSET(TblTech[[#This Row],[Sum of tech]],-1,0)*150))</f>
        <v>3750</v>
      </c>
      <c r="S65" s="132"/>
      <c r="T65" s="69" t="n">
        <f aca="false">ROUNDDOWN(TblProd[[#This Row],[Raw Plat/hr]]*(1+TblProd[[#This Row],[Bonus Plat/hr]]),0)</f>
        <v>46665</v>
      </c>
      <c r="U65" s="69" t="n">
        <f aca="false">ROUND(TblProd[[#This Row],[Raw Food/hr]]*(1+TblProd[[#This Row],[Bonus Food/hr]])-TblProd[[#This Row],[Food decay]]-TblProd[[#This Row],[Food eaten]],0)</f>
        <v>-5471</v>
      </c>
      <c r="V65" s="69" t="n">
        <f aca="false">ROUND(TblProd[[#This Row],[Raw Lumber/hr]]*(1+TblProd[[#This Row],[Bonus Lumber/hr]])-TblProd[[#This Row],[Lumber rot]],0)</f>
        <v>35</v>
      </c>
      <c r="W65" s="69" t="n">
        <f aca="false">ROUND(TblProd[[#This Row],[Raw Mana/hr]]*(1+TblProd[[#This Row],[Bonus Mana/hr]])-TblProd[[#This Row],[Mana drain]],0)</f>
        <v>-9866</v>
      </c>
      <c r="X65" s="69" t="n">
        <f aca="false">ROUNDDOWN(TblProd[[#This Row],[Raw Ore/hr]]*(1+TblProd[[#This Row],[Bonux Ore/hr]]),0)</f>
        <v>0</v>
      </c>
      <c r="Y65" s="69" t="n">
        <f aca="false">ROUNDDOWN(TblProd[[#This Row],[Raw Gems/hr]]*(1+TblProd[[#This Row],[Bonus Gems/hr]]),0)</f>
        <v>0</v>
      </c>
      <c r="Z65" s="148" t="n">
        <f aca="false">OFFSET(TblConstr[[#This Row],[Tot Doc]],1,0)*dock_boats_hr * (1 + tech_4_1*TblTech[[#This Row],[4-1]])</f>
        <v>1.2</v>
      </c>
      <c r="AA65" s="146"/>
      <c r="AB65" s="69" t="n">
        <f aca="false">TblPop[[#This Row],[Peasants]]*tax*TblPop[[#This Row],[Employment]] + (Construction!AZ66+Construction!BX66)*(alch_plat+(Magic!AM65&gt;0)*alchemist_flame_bonus)</f>
        <v>42423.5</v>
      </c>
      <c r="AC65" s="69" t="n">
        <f aca="false">TblConstr[[#This Row],[Tot Farm]]*farm_food + TblConstr[[#This Row],[Tot Doc]]*dock_food</f>
        <v>2320</v>
      </c>
      <c r="AD65" s="69" t="n">
        <f aca="false">TblConstr[[#This Row],[Tot Ly]]*ly_lumber + TblConstr[[#This Row],[Tot Hav]]*fh_lumber</f>
        <v>1250</v>
      </c>
      <c r="AE65" s="69" t="n">
        <f aca="false">OFFSET(TblConstr[[#This Row],[Tot Tow]],1,0)*(tower_mana + tech_4_5*TblTech[[#This Row],[4-5]]) + OFFSET(TblConstr[[#This Row],[Tot WG]],1,0)*wg_mana_prod</f>
        <v>625</v>
      </c>
      <c r="AF65" s="69" t="n">
        <f aca="false">OFFSET(TblConstr[[#This Row],[Tot OM]],1,0)*om_ore+IF(race="Dwarf",ROUNDDOWN(TblMili[[#This Row],[Unit 2]]*0.4,0),)</f>
        <v>0</v>
      </c>
      <c r="AG65" s="69" t="n">
        <f aca="false">OFFSET(TblConstr[[#This Row],[Tot DM]],1,0)*dm_gems</f>
        <v>0</v>
      </c>
      <c r="AH65" s="132"/>
      <c r="AI65" s="149" t="n">
        <f aca="false">MIN(race_platinum_bonus + IF(TblMagic[[#This Row],[Active Alch Frost]]&gt;0,alch_frost_bonus,IF(Magic!AD65&gt;0,midas_bonus)) + TblImps[[#This Row],[Science]] - TblProd[[#This Row],[Guard]]*(0.02 + tech_5_7*TblTech[[#This Row],[5-7]]) + tech_1_5*TblTech[[#This Row],[1-5]] + tech_4_4*TblTech[[#This Row],[4-4]], 0.5)</f>
        <v>0.1</v>
      </c>
      <c r="AJ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5" s="149" t="n">
        <f aca="false">race_lumber_bonus+ IF(TblMagic[[#This Row],[Active Gaia''s Blessing]]&gt;0,gaias_blessing_lumber)+ tech_1_3*TblTech[[#This Row],[1-3]] + tech_1_6*TblTech[[#This Row],[1-6]] + tech_3_3*TblTech[[#This Row],[3-3]]</f>
        <v>-0.1</v>
      </c>
      <c r="AL65" s="149" t="n">
        <f aca="false">race_mana_bonus+ 0 + TblImps[[#This Row],[Towers]] + tech_1_2*TblTech[[#This Row],[1-2]] + tech_3_4*TblTech[[#This Row],[3-4]]</f>
        <v>0</v>
      </c>
      <c r="AM65" s="149" t="n">
        <f aca="false">race_ore_bonus + IF(TblMagic[[#This Row],[Active Miner''s Sight]]&gt;0,miners_sight_bonus,IF(TblMagic[[#This Row],[Active Mining Strength]]&gt;0,mining_strength_bonus)) +  tech_1_6*TblTech[[#This Row],[1-6]]</f>
        <v>0</v>
      </c>
      <c r="AN65" s="149" t="n">
        <f aca="false">race_gem_bonus+ tech_3_2*TblTech[[#This Row],[3-2]] + tech_4_3*TblTech[[#This Row],[4-3]] + tech_6_2*TblTech[[#This Row],[6-2]]</f>
        <v>0.15</v>
      </c>
      <c r="AO65" s="132"/>
      <c r="AP65" s="69" t="n">
        <f aca="false">TblProd[[#This Row],[Food]]*food_decay * (1 + tech_2_1*TblTech[[#This Row],[2-1]] + tech_2_8*TblTech[[#This Row],[2-8]])</f>
        <v>4934.68</v>
      </c>
      <c r="AQ65" s="69" t="n">
        <f aca="false">(1+race_food_consumption)*TblPop[[#This Row],[Total]]*food_per_person*(1+tech_1_10*TblTech[[#This Row],[1-10]]+tech_7_5*TblTech[[#This Row],[7-5]])</f>
        <v>2914</v>
      </c>
      <c r="AR65" s="69" t="n">
        <f aca="false">TblProd[[#This Row],[Lumber]]*lumber_rot * (1 + tech_2_1*TblTech[[#This Row],[2-1]] + tech_2_8*TblTech[[#This Row],[2-8]] + tech_5_2*TblTech[[#This Row],[5-2]])</f>
        <v>1090.48</v>
      </c>
      <c r="AS65" s="69" t="n">
        <f aca="false">TblProd[[#This Row],[Mana]]*mana_drain * (1 + tech_2_1*TblTech[[#This Row],[2-1]] + tech_2_8*TblTech[[#This Row],[2-8]])</f>
        <v>10491.22</v>
      </c>
      <c r="AT65" s="146"/>
      <c r="AU65" s="69" t="n">
        <f aca="false">TblExplore[[#This Row],[Platinum (2)]]+TblConstr[[#This Row],[Total Plat Cost]]+TblMili[[#This Row],[Plat Cost]]+TblRezone[[#This Row],[Platinum cost]]+TblImps[[#This Row],[P1]]-TblProd[[#This Row],[Bank Plat]]</f>
        <v>-53165</v>
      </c>
      <c r="AV65" s="69" t="n">
        <f aca="false">TblConstr[[#This Row],[Total Lum Cost]]+TblImps[[#This Row],[L1]]-TblProd[[#This Row],[Bank Lumber]] + Military!$CL$25*TblMili[[#This Row],[Sec. rec. Cost]]</f>
        <v>-8869</v>
      </c>
      <c r="AW65" s="69" t="n">
        <f aca="false">TblMagic[[#This Row],[Mana cost]] + Military!$CL$26*TblMili[[#This Row],[Sec. rec. Cost]]</f>
        <v>3230</v>
      </c>
      <c r="AX65" s="69" t="n">
        <f aca="false">Military!$CL$24*TblMili[[#This Row],[Sec. rec. Cost]]+TblImps[[#This Row],[O1]]-TblProd[[#This Row],[Bank Ore]]</f>
        <v>0</v>
      </c>
      <c r="AY65" s="69" t="n">
        <f aca="false">TblImps[[#This Row],[G1]]-TblProd[[#This Row],[Bank Gems]]</f>
        <v>0</v>
      </c>
      <c r="AZ65" s="132"/>
      <c r="BA65" s="33" t="n">
        <f aca="false">IF(TblProd[[#This Row],[Set Guard]]&lt;&gt;"",TblProd[[#This Row],[Set Guard]],OFFSET(TblProd[[#This Row],[Guard]],-1,0))</f>
        <v>0</v>
      </c>
      <c r="BB65" s="145"/>
      <c r="BC65" s="151" t="n">
        <f aca="false">TblProd[[#This Row],[Hour]]</f>
        <v>62</v>
      </c>
      <c r="BD65" s="152" t="n">
        <f aca="false">-TblProd[[#This Row],[Bank Lumber]] / 2 + -TblProd[[#This Row],[Bank Gems]] * 2 + -TblProd[[#This Row],[Bank Ore]] / 2</f>
        <v>0</v>
      </c>
      <c r="BE65" s="152"/>
      <c r="BF65" s="152"/>
      <c r="BG65" s="152"/>
      <c r="BH65" s="153" t="n">
        <f aca="false">TblProd[[#This Row],[Time]]</f>
        <v>45432.2916666667</v>
      </c>
      <c r="BI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J65" s="69" t="n">
        <f aca="false">TblProd[[#This Row],[Platinum]]</f>
        <v>718144</v>
      </c>
      <c r="BK65" s="69" t="n">
        <f aca="false">TblProd[[#This Row],[Food]]</f>
        <v>493468</v>
      </c>
      <c r="BL65" s="69" t="n">
        <f aca="false">TblProd[[#This Row],[Lumber]]</f>
        <v>109048</v>
      </c>
      <c r="BM65" s="69" t="n">
        <f aca="false">TblProd[[#This Row],[Mana]]</f>
        <v>524561</v>
      </c>
      <c r="BN65" s="69" t="n">
        <f aca="false">TblProd[[#This Row],[Ore]]</f>
        <v>-357</v>
      </c>
    </row>
    <row r="66" customFormat="false" ht="12.75" hidden="false" customHeight="false" outlineLevel="0" collapsed="false">
      <c r="A66" s="128" t="n">
        <v>63</v>
      </c>
      <c r="B66" s="144" t="n">
        <f aca="false">TblImps[[#This Row],[Time]]</f>
        <v>45432.3333333333</v>
      </c>
      <c r="C66" s="145"/>
      <c r="D66" s="146"/>
      <c r="E66" s="69" t="n">
        <f aca="false">TblConstr[[#This Row],[Land]]</f>
        <v>646</v>
      </c>
      <c r="F66" s="69" t="n">
        <f aca="false">TblPop[[#This Row],[Peasants]]</f>
        <v>9707</v>
      </c>
      <c r="G66" s="69"/>
      <c r="H66" s="69" t="e">
        <f aca="false">TblMili[[#This Row],[Networth (2)]]</f>
        <v>#VALUE!</v>
      </c>
      <c r="I66" s="69" t="n">
        <f aca="false">OFFSET(TblProd[[#This Row],[Platinum]],-1,0)+OFFSET(TblProd[[#This Row],[Plat/hr]],-1,0) - TblProd[[#This Row],[Expenses Platinum]] + IF(TblProd[[#This Row],[Plat Bonus]],TblPop[[#This Row],[Peasants]]*4) + SUM(TblConstr[[#This Row],[Dest Hom]:[Dest Doc]])*TblConstr[[#This Row],[CPA Platinum -DB]]*tech_3_3_2*TblTech[[#This Row],[3-3]]</f>
        <v>820522</v>
      </c>
      <c r="J66" s="69" t="n">
        <f aca="false">OFFSET(TblProd[[#This Row],[Food]],-1,0)+OFFSET(TblProd[[#This Row],[Food/hr]],-1,0)+ROUNDUP((TblConstr[[#This Row],[Farms]]*80+TblConstr[[#This Row],[Docks]]*35)*(1+OFFSET(TblProd[[#This Row],[Bonus Food/hr]],-1,0)),0)</f>
        <v>488776</v>
      </c>
      <c r="K66" s="69" t="n">
        <f aca="false">OFFSET(TblProd[[#This Row],[Lumber]],-1,0)+OFFSET(TblProd[[#This Row],[Lumber/hr]],-1,0) - TblProd[[#This Row],[Expenses Lumber]] + SUM(TblConstr[[#This Row],[Dest Hom]:[Dest Doc]])*TblConstr[[#This Row],[CPA Lumber -DB]]*tech_3_3_2*TblTech[[#This Row],[3-3]]</f>
        <v>118344</v>
      </c>
      <c r="L66" s="69" t="n">
        <f aca="false">OFFSET(TblProd[[#This Row],[Mana]],-1,0)+OFFSET(TblProd[[#This Row],[Mana/hr]],-1,0)- TblProd[[#This Row],[Expenses Mana]]</f>
        <v>514695</v>
      </c>
      <c r="M66" s="69" t="n">
        <f aca="false">OFFSET(TblProd[[#This Row],[Ore]],-1,0)+OFFSET(TblProd[[#This Row],[Ore/hr]],-1,0) -TblProd[[#This Row],[Expenses Ore]]</f>
        <v>-357</v>
      </c>
      <c r="N66" s="69" t="n">
        <f aca="false">OFFSET(TblProd[[#This Row],[Gems]],-1,0)+OFFSET(TblProd[[#This Row],[Gems/hr]],-1,0) - TblProd[[#This Row],[Expenses Gems]]</f>
        <v>-1000</v>
      </c>
      <c r="O66" s="69" t="n">
        <f aca="false">OFFSET(TblProd[[#This Row],[Boats]],-1,0)+OFFSET(TblProd[[#This Row],[Boats/hr]],-1,0)</f>
        <v>16.25</v>
      </c>
      <c r="P66" s="69" t="n">
        <f aca="false">OFFSET(TblProd[[#This Row],[Prestige]],-1,0)</f>
        <v>250</v>
      </c>
      <c r="Q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6" s="69" t="n">
        <f aca="false">MAX(3750,_xlfn.CEILING.MATH(TblProd[[#This Row],[Land]]*2.5+OFFSET(TblTech[[#This Row],[Sum of tech]],-1,0)*150))</f>
        <v>3750</v>
      </c>
      <c r="S66" s="132"/>
      <c r="T66" s="69" t="n">
        <f aca="false">ROUNDDOWN(TblProd[[#This Row],[Raw Plat/hr]]*(1+TblProd[[#This Row],[Bonus Plat/hr]]),0)</f>
        <v>46374</v>
      </c>
      <c r="U66" s="69" t="n">
        <f aca="false">ROUND(TblProd[[#This Row],[Raw Food/hr]]*(1+TblProd[[#This Row],[Bonus Food/hr]])-TblProd[[#This Row],[Food decay]]-TblProd[[#This Row],[Food eaten]],0)</f>
        <v>-4604</v>
      </c>
      <c r="V66" s="69" t="n">
        <f aca="false">ROUND(TblProd[[#This Row],[Raw Lumber/hr]]*(1+TblProd[[#This Row],[Bonus Lumber/hr]])-TblProd[[#This Row],[Lumber rot]],0)</f>
        <v>-58</v>
      </c>
      <c r="W66" s="69" t="n">
        <f aca="false">ROUND(TblProd[[#This Row],[Raw Mana/hr]]*(1+TblProd[[#This Row],[Bonus Mana/hr]])-TblProd[[#This Row],[Mana drain]],0)</f>
        <v>-9669</v>
      </c>
      <c r="X66" s="69" t="n">
        <f aca="false">ROUNDDOWN(TblProd[[#This Row],[Raw Ore/hr]]*(1+TblProd[[#This Row],[Bonux Ore/hr]]),0)</f>
        <v>0</v>
      </c>
      <c r="Y66" s="69" t="n">
        <f aca="false">ROUNDDOWN(TblProd[[#This Row],[Raw Gems/hr]]*(1+TblProd[[#This Row],[Bonus Gems/hr]]),0)</f>
        <v>0</v>
      </c>
      <c r="Z66" s="148" t="n">
        <f aca="false">OFFSET(TblConstr[[#This Row],[Tot Doc]],1,0)*dock_boats_hr * (1 + tech_4_1*TblTech[[#This Row],[4-1]])</f>
        <v>1.2</v>
      </c>
      <c r="AA66" s="146"/>
      <c r="AB66" s="69" t="n">
        <f aca="false">TblPop[[#This Row],[Peasants]]*tax*TblPop[[#This Row],[Employment]] + (Construction!AZ67+Construction!BX67)*(alch_plat+(Magic!AM66&gt;0)*alchemist_flame_bonus)</f>
        <v>42158.9</v>
      </c>
      <c r="AC66" s="69" t="n">
        <f aca="false">TblConstr[[#This Row],[Tot Farm]]*farm_food + TblConstr[[#This Row],[Tot Doc]]*dock_food</f>
        <v>3120</v>
      </c>
      <c r="AD66" s="69" t="n">
        <f aca="false">TblConstr[[#This Row],[Tot Ly]]*ly_lumber + TblConstr[[#This Row],[Tot Hav]]*fh_lumber</f>
        <v>1250</v>
      </c>
      <c r="AE66" s="69" t="n">
        <f aca="false">OFFSET(TblConstr[[#This Row],[Tot Tow]],1,0)*(tower_mana + tech_4_5*TblTech[[#This Row],[4-5]]) + OFFSET(TblConstr[[#This Row],[Tot WG]],1,0)*wg_mana_prod</f>
        <v>625</v>
      </c>
      <c r="AF66" s="69" t="n">
        <f aca="false">OFFSET(TblConstr[[#This Row],[Tot OM]],1,0)*om_ore+IF(race="Dwarf",ROUNDDOWN(TblMili[[#This Row],[Unit 2]]*0.4,0),)</f>
        <v>0</v>
      </c>
      <c r="AG66" s="69" t="n">
        <f aca="false">OFFSET(TblConstr[[#This Row],[Tot DM]],1,0)*dm_gems</f>
        <v>0</v>
      </c>
      <c r="AH66" s="132"/>
      <c r="AI66" s="149" t="n">
        <f aca="false">MIN(race_platinum_bonus + IF(TblMagic[[#This Row],[Active Alch Frost]]&gt;0,alch_frost_bonus,IF(Magic!AD66&gt;0,midas_bonus)) + TblImps[[#This Row],[Science]] - TblProd[[#This Row],[Guard]]*(0.02 + tech_5_7*TblTech[[#This Row],[5-7]]) + tech_1_5*TblTech[[#This Row],[1-5]] + tech_4_4*TblTech[[#This Row],[4-4]], 0.5)</f>
        <v>0.1</v>
      </c>
      <c r="AJ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6" s="149" t="n">
        <f aca="false">race_lumber_bonus+ IF(TblMagic[[#This Row],[Active Gaia''s Blessing]]&gt;0,gaias_blessing_lumber)+ tech_1_3*TblTech[[#This Row],[1-3]] + tech_1_6*TblTech[[#This Row],[1-6]] + tech_3_3*TblTech[[#This Row],[3-3]]</f>
        <v>-0.1</v>
      </c>
      <c r="AL66" s="149" t="n">
        <f aca="false">race_mana_bonus+ 0 + TblImps[[#This Row],[Towers]] + tech_1_2*TblTech[[#This Row],[1-2]] + tech_3_4*TblTech[[#This Row],[3-4]]</f>
        <v>0</v>
      </c>
      <c r="AM66" s="149" t="n">
        <f aca="false">race_ore_bonus + IF(TblMagic[[#This Row],[Active Miner''s Sight]]&gt;0,miners_sight_bonus,IF(TblMagic[[#This Row],[Active Mining Strength]]&gt;0,mining_strength_bonus)) +  tech_1_6*TblTech[[#This Row],[1-6]]</f>
        <v>0</v>
      </c>
      <c r="AN66" s="149" t="n">
        <f aca="false">race_gem_bonus+ tech_3_2*TblTech[[#This Row],[3-2]] + tech_4_3*TblTech[[#This Row],[4-3]] + tech_6_2*TblTech[[#This Row],[6-2]]</f>
        <v>0.15</v>
      </c>
      <c r="AO66" s="132"/>
      <c r="AP66" s="69" t="n">
        <f aca="false">TblProd[[#This Row],[Food]]*food_decay * (1 + tech_2_1*TblTech[[#This Row],[2-1]] + tech_2_8*TblTech[[#This Row],[2-8]])</f>
        <v>4887.76</v>
      </c>
      <c r="AQ66" s="69" t="n">
        <f aca="false">(1+race_food_consumption)*TblPop[[#This Row],[Total]]*food_per_person*(1+tech_1_10*TblTech[[#This Row],[1-10]]+tech_7_5*TblTech[[#This Row],[7-5]])</f>
        <v>2914</v>
      </c>
      <c r="AR66" s="69" t="n">
        <f aca="false">TblProd[[#This Row],[Lumber]]*lumber_rot * (1 + tech_2_1*TblTech[[#This Row],[2-1]] + tech_2_8*TblTech[[#This Row],[2-8]] + tech_5_2*TblTech[[#This Row],[5-2]])</f>
        <v>1183.44</v>
      </c>
      <c r="AS66" s="69" t="n">
        <f aca="false">TblProd[[#This Row],[Mana]]*mana_drain * (1 + tech_2_1*TblTech[[#This Row],[2-1]] + tech_2_8*TblTech[[#This Row],[2-8]])</f>
        <v>10293.9</v>
      </c>
      <c r="AT66" s="146"/>
      <c r="AU66" s="69" t="n">
        <f aca="false">TblExplore[[#This Row],[Platinum (2)]]+TblConstr[[#This Row],[Total Plat Cost]]+TblMili[[#This Row],[Plat Cost]]+TblRezone[[#This Row],[Platinum cost]]+TblImps[[#This Row],[P1]]-TblProd[[#This Row],[Bank Plat]]</f>
        <v>-55713</v>
      </c>
      <c r="AV66" s="69" t="n">
        <f aca="false">TblConstr[[#This Row],[Total Lum Cost]]+TblImps[[#This Row],[L1]]-TblProd[[#This Row],[Bank Lumber]] + Military!$CL$25*TblMili[[#This Row],[Sec. rec. Cost]]</f>
        <v>-9261</v>
      </c>
      <c r="AW66" s="69" t="n">
        <f aca="false">TblMagic[[#This Row],[Mana cost]] + Military!$CL$26*TblMili[[#This Row],[Sec. rec. Cost]]</f>
        <v>0</v>
      </c>
      <c r="AX66" s="69" t="n">
        <f aca="false">Military!$CL$24*TblMili[[#This Row],[Sec. rec. Cost]]+TblImps[[#This Row],[O1]]-TblProd[[#This Row],[Bank Ore]]</f>
        <v>0</v>
      </c>
      <c r="AY66" s="69" t="n">
        <f aca="false">TblImps[[#This Row],[G1]]-TblProd[[#This Row],[Bank Gems]]</f>
        <v>0</v>
      </c>
      <c r="AZ66" s="132"/>
      <c r="BA66" s="33" t="n">
        <f aca="false">IF(TblProd[[#This Row],[Set Guard]]&lt;&gt;"",TblProd[[#This Row],[Set Guard]],OFFSET(TblProd[[#This Row],[Guard]],-1,0))</f>
        <v>0</v>
      </c>
      <c r="BB66" s="145"/>
      <c r="BC66" s="151" t="n">
        <f aca="false">TblProd[[#This Row],[Hour]]</f>
        <v>63</v>
      </c>
      <c r="BD66" s="152" t="n">
        <f aca="false">-TblProd[[#This Row],[Bank Lumber]] / 2 + -TblProd[[#This Row],[Bank Gems]] * 2 + -TblProd[[#This Row],[Bank Ore]] / 2</f>
        <v>0</v>
      </c>
      <c r="BE66" s="152"/>
      <c r="BF66" s="152"/>
      <c r="BG66" s="152"/>
      <c r="BH66" s="153" t="n">
        <f aca="false">TblProd[[#This Row],[Time]]</f>
        <v>45432.3333333333</v>
      </c>
      <c r="BI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J66" s="69" t="n">
        <f aca="false">TblProd[[#This Row],[Platinum]]</f>
        <v>820522</v>
      </c>
      <c r="BK66" s="69" t="n">
        <f aca="false">TblProd[[#This Row],[Food]]</f>
        <v>488776</v>
      </c>
      <c r="BL66" s="69" t="n">
        <f aca="false">TblProd[[#This Row],[Lumber]]</f>
        <v>118344</v>
      </c>
      <c r="BM66" s="69" t="n">
        <f aca="false">TblProd[[#This Row],[Mana]]</f>
        <v>514695</v>
      </c>
      <c r="BN66" s="69" t="n">
        <f aca="false">TblProd[[#This Row],[Ore]]</f>
        <v>-357</v>
      </c>
    </row>
    <row r="67" customFormat="false" ht="12.75" hidden="false" customHeight="false" outlineLevel="0" collapsed="false">
      <c r="A67" s="128" t="n">
        <v>64</v>
      </c>
      <c r="B67" s="144" t="n">
        <f aca="false">TblImps[[#This Row],[Time]]</f>
        <v>45432.375</v>
      </c>
      <c r="C67" s="145"/>
      <c r="D67" s="146"/>
      <c r="E67" s="69" t="n">
        <f aca="false">TblConstr[[#This Row],[Land]]</f>
        <v>646</v>
      </c>
      <c r="F67" s="69" t="n">
        <f aca="false">TblPop[[#This Row],[Peasants]]</f>
        <v>9828</v>
      </c>
      <c r="G67" s="69"/>
      <c r="H67" s="69" t="e">
        <f aca="false">TblMili[[#This Row],[Networth (2)]]</f>
        <v>#VALUE!</v>
      </c>
      <c r="I67" s="69" t="n">
        <f aca="false">OFFSET(TblProd[[#This Row],[Platinum]],-1,0)+OFFSET(TblProd[[#This Row],[Plat/hr]],-1,0) - TblProd[[#This Row],[Expenses Platinum]] + IF(TblProd[[#This Row],[Plat Bonus]],TblPop[[#This Row],[Peasants]]*4) + SUM(TblConstr[[#This Row],[Dest Hom]:[Dest Doc]])*TblConstr[[#This Row],[CPA Platinum -DB]]*tech_3_3_2*TblTech[[#This Row],[3-3]]</f>
        <v>794516</v>
      </c>
      <c r="J67" s="69" t="n">
        <f aca="false">OFFSET(TblProd[[#This Row],[Food]],-1,0)+OFFSET(TblProd[[#This Row],[Food/hr]],-1,0)+ROUNDUP((TblConstr[[#This Row],[Farms]]*80+TblConstr[[#This Row],[Docks]]*35)*(1+OFFSET(TblProd[[#This Row],[Bonus Food/hr]],-1,0)),0)</f>
        <v>484336</v>
      </c>
      <c r="K67" s="69" t="n">
        <f aca="false">OFFSET(TblProd[[#This Row],[Lumber]],-1,0)+OFFSET(TblProd[[#This Row],[Lumber/hr]],-1,0) - TblProd[[#This Row],[Expenses Lumber]] + SUM(TblConstr[[#This Row],[Dest Hom]:[Dest Doc]])*TblConstr[[#This Row],[CPA Lumber -DB]]*tech_3_3_2*TblTech[[#This Row],[3-3]]</f>
        <v>128478</v>
      </c>
      <c r="L67" s="69" t="n">
        <f aca="false">OFFSET(TblProd[[#This Row],[Mana]],-1,0)+OFFSET(TblProd[[#This Row],[Mana/hr]],-1,0)- TblProd[[#This Row],[Expenses Mana]]</f>
        <v>503411</v>
      </c>
      <c r="M67" s="69" t="n">
        <f aca="false">OFFSET(TblProd[[#This Row],[Ore]],-1,0)+OFFSET(TblProd[[#This Row],[Ore/hr]],-1,0) -TblProd[[#This Row],[Expenses Ore]]</f>
        <v>-357</v>
      </c>
      <c r="N67" s="69" t="n">
        <f aca="false">OFFSET(TblProd[[#This Row],[Gems]],-1,0)+OFFSET(TblProd[[#This Row],[Gems/hr]],-1,0) - TblProd[[#This Row],[Expenses Gems]]</f>
        <v>-1000</v>
      </c>
      <c r="O67" s="69" t="n">
        <f aca="false">OFFSET(TblProd[[#This Row],[Boats]],-1,0)+OFFSET(TblProd[[#This Row],[Boats/hr]],-1,0)</f>
        <v>17.45</v>
      </c>
      <c r="P67" s="69" t="n">
        <f aca="false">OFFSET(TblProd[[#This Row],[Prestige]],-1,0)</f>
        <v>250</v>
      </c>
      <c r="Q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7" s="69" t="n">
        <f aca="false">MAX(3750,_xlfn.CEILING.MATH(TblProd[[#This Row],[Land]]*2.5+OFFSET(TblTech[[#This Row],[Sum of tech]],-1,0)*150))</f>
        <v>3750</v>
      </c>
      <c r="S67" s="132"/>
      <c r="T67" s="69" t="n">
        <f aca="false">ROUNDDOWN(TblProd[[#This Row],[Raw Plat/hr]]*(1+TblProd[[#This Row],[Bonus Plat/hr]]),0)</f>
        <v>46734</v>
      </c>
      <c r="U67" s="69" t="n">
        <f aca="false">ROUND(TblProd[[#This Row],[Raw Food/hr]]*(1+TblProd[[#This Row],[Bonus Food/hr]])-TblProd[[#This Row],[Food decay]]-TblProd[[#This Row],[Food eaten]],0)</f>
        <v>-4450</v>
      </c>
      <c r="V67" s="69" t="n">
        <f aca="false">ROUND(TblProd[[#This Row],[Raw Lumber/hr]]*(1+TblProd[[#This Row],[Bonus Lumber/hr]])-TblProd[[#This Row],[Lumber rot]],0)</f>
        <v>-160</v>
      </c>
      <c r="W67" s="69" t="n">
        <f aca="false">ROUND(TblProd[[#This Row],[Raw Mana/hr]]*(1+TblProd[[#This Row],[Bonus Mana/hr]])-TblProd[[#This Row],[Mana drain]],0)</f>
        <v>-9443</v>
      </c>
      <c r="X67" s="69" t="n">
        <f aca="false">ROUNDDOWN(TblProd[[#This Row],[Raw Ore/hr]]*(1+TblProd[[#This Row],[Bonux Ore/hr]]),0)</f>
        <v>0</v>
      </c>
      <c r="Y67" s="69" t="n">
        <f aca="false">ROUNDDOWN(TblProd[[#This Row],[Raw Gems/hr]]*(1+TblProd[[#This Row],[Bonus Gems/hr]]),0)</f>
        <v>0</v>
      </c>
      <c r="Z67" s="148" t="n">
        <f aca="false">OFFSET(TblConstr[[#This Row],[Tot Doc]],1,0)*dock_boats_hr * (1 + tech_4_1*TblTech[[#This Row],[4-1]])</f>
        <v>1.2</v>
      </c>
      <c r="AA67" s="146"/>
      <c r="AB67" s="69" t="n">
        <f aca="false">TblPop[[#This Row],[Peasants]]*tax*TblPop[[#This Row],[Employment]] + (Construction!AZ68+Construction!BX68)*(alch_plat+(Magic!AM67&gt;0)*alchemist_flame_bonus)</f>
        <v>42485.6</v>
      </c>
      <c r="AC67" s="69" t="n">
        <f aca="false">TblConstr[[#This Row],[Tot Farm]]*farm_food + TblConstr[[#This Row],[Tot Doc]]*dock_food</f>
        <v>3280</v>
      </c>
      <c r="AD67" s="69" t="n">
        <f aca="false">TblConstr[[#This Row],[Tot Ly]]*ly_lumber + TblConstr[[#This Row],[Tot Hav]]*fh_lumber</f>
        <v>1250</v>
      </c>
      <c r="AE67" s="69" t="n">
        <f aca="false">OFFSET(TblConstr[[#This Row],[Tot Tow]],1,0)*(tower_mana + tech_4_5*TblTech[[#This Row],[4-5]]) + OFFSET(TblConstr[[#This Row],[Tot WG]],1,0)*wg_mana_prod</f>
        <v>625</v>
      </c>
      <c r="AF67" s="69" t="n">
        <f aca="false">OFFSET(TblConstr[[#This Row],[Tot OM]],1,0)*om_ore+IF(race="Dwarf",ROUNDDOWN(TblMili[[#This Row],[Unit 2]]*0.4,0),)</f>
        <v>0</v>
      </c>
      <c r="AG67" s="69" t="n">
        <f aca="false">OFFSET(TblConstr[[#This Row],[Tot DM]],1,0)*dm_gems</f>
        <v>0</v>
      </c>
      <c r="AH67" s="132"/>
      <c r="AI67" s="149" t="n">
        <f aca="false">MIN(race_platinum_bonus + IF(TblMagic[[#This Row],[Active Alch Frost]]&gt;0,alch_frost_bonus,IF(Magic!AD67&gt;0,midas_bonus)) + TblImps[[#This Row],[Science]] - TblProd[[#This Row],[Guard]]*(0.02 + tech_5_7*TblTech[[#This Row],[5-7]]) + tech_1_5*TblTech[[#This Row],[1-5]] + tech_4_4*TblTech[[#This Row],[4-4]], 0.5)</f>
        <v>0.1</v>
      </c>
      <c r="AJ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7" s="149" t="n">
        <f aca="false">race_lumber_bonus+ IF(TblMagic[[#This Row],[Active Gaia''s Blessing]]&gt;0,gaias_blessing_lumber)+ tech_1_3*TblTech[[#This Row],[1-3]] + tech_1_6*TblTech[[#This Row],[1-6]] + tech_3_3*TblTech[[#This Row],[3-3]]</f>
        <v>-0.1</v>
      </c>
      <c r="AL67" s="149" t="n">
        <f aca="false">race_mana_bonus+ 0 + TblImps[[#This Row],[Towers]] + tech_1_2*TblTech[[#This Row],[1-2]] + tech_3_4*TblTech[[#This Row],[3-4]]</f>
        <v>0</v>
      </c>
      <c r="AM67" s="149" t="n">
        <f aca="false">race_ore_bonus + IF(TblMagic[[#This Row],[Active Miner''s Sight]]&gt;0,miners_sight_bonus,IF(TblMagic[[#This Row],[Active Mining Strength]]&gt;0,mining_strength_bonus)) +  tech_1_6*TblTech[[#This Row],[1-6]]</f>
        <v>0</v>
      </c>
      <c r="AN67" s="149" t="n">
        <f aca="false">race_gem_bonus+ tech_3_2*TblTech[[#This Row],[3-2]] + tech_4_3*TblTech[[#This Row],[4-3]] + tech_6_2*TblTech[[#This Row],[6-2]]</f>
        <v>0.15</v>
      </c>
      <c r="AO67" s="132"/>
      <c r="AP67" s="69" t="n">
        <f aca="false">TblProd[[#This Row],[Food]]*food_decay * (1 + tech_2_1*TblTech[[#This Row],[2-1]] + tech_2_8*TblTech[[#This Row],[2-8]])</f>
        <v>4843.36</v>
      </c>
      <c r="AQ67" s="69" t="n">
        <f aca="false">(1+race_food_consumption)*TblPop[[#This Row],[Total]]*food_per_person*(1+tech_1_10*TblTech[[#This Row],[1-10]]+tech_7_5*TblTech[[#This Row],[7-5]])</f>
        <v>2968.5</v>
      </c>
      <c r="AR67" s="69" t="n">
        <f aca="false">TblProd[[#This Row],[Lumber]]*lumber_rot * (1 + tech_2_1*TblTech[[#This Row],[2-1]] + tech_2_8*TblTech[[#This Row],[2-8]] + tech_5_2*TblTech[[#This Row],[5-2]])</f>
        <v>1284.78</v>
      </c>
      <c r="AS67" s="69" t="n">
        <f aca="false">TblProd[[#This Row],[Mana]]*mana_drain * (1 + tech_2_1*TblTech[[#This Row],[2-1]] + tech_2_8*TblTech[[#This Row],[2-8]])</f>
        <v>10068.22</v>
      </c>
      <c r="AT67" s="146"/>
      <c r="AU67" s="69" t="n">
        <f aca="false">TblExplore[[#This Row],[Platinum (2)]]+TblConstr[[#This Row],[Total Plat Cost]]+TblMili[[#This Row],[Plat Cost]]+TblRezone[[#This Row],[Platinum cost]]+TblImps[[#This Row],[P1]]-TblProd[[#This Row],[Bank Plat]]</f>
        <v>72380</v>
      </c>
      <c r="AV67" s="69" t="n">
        <f aca="false">TblConstr[[#This Row],[Total Lum Cost]]+TblImps[[#This Row],[L1]]-TblProd[[#This Row],[Bank Lumber]] + Military!$CL$25*TblMili[[#This Row],[Sec. rec. Cost]]</f>
        <v>-10192</v>
      </c>
      <c r="AW67" s="69" t="n">
        <f aca="false">TblMagic[[#This Row],[Mana cost]] + Military!$CL$26*TblMili[[#This Row],[Sec. rec. Cost]]</f>
        <v>1615</v>
      </c>
      <c r="AX67" s="69" t="n">
        <f aca="false">Military!$CL$24*TblMili[[#This Row],[Sec. rec. Cost]]+TblImps[[#This Row],[O1]]-TblProd[[#This Row],[Bank Ore]]</f>
        <v>0</v>
      </c>
      <c r="AY67" s="69" t="n">
        <f aca="false">TblImps[[#This Row],[G1]]-TblProd[[#This Row],[Bank Gems]]</f>
        <v>0</v>
      </c>
      <c r="AZ67" s="132"/>
      <c r="BA67" s="33" t="n">
        <f aca="false">IF(TblProd[[#This Row],[Set Guard]]&lt;&gt;"",TblProd[[#This Row],[Set Guard]],OFFSET(TblProd[[#This Row],[Guard]],-1,0))</f>
        <v>0</v>
      </c>
      <c r="BB67" s="145"/>
      <c r="BC67" s="151" t="n">
        <f aca="false">TblProd[[#This Row],[Hour]]</f>
        <v>64</v>
      </c>
      <c r="BD67" s="152" t="n">
        <f aca="false">-TblProd[[#This Row],[Bank Lumber]] / 2 + -TblProd[[#This Row],[Bank Gems]] * 2 + -TblProd[[#This Row],[Bank Ore]] / 2</f>
        <v>0</v>
      </c>
      <c r="BE67" s="152"/>
      <c r="BF67" s="152"/>
      <c r="BG67" s="152"/>
      <c r="BH67" s="153" t="n">
        <f aca="false">TblProd[[#This Row],[Time]]</f>
        <v>45432.375</v>
      </c>
      <c r="BI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J67" s="69" t="n">
        <f aca="false">TblProd[[#This Row],[Platinum]]</f>
        <v>794516</v>
      </c>
      <c r="BK67" s="69" t="n">
        <f aca="false">TblProd[[#This Row],[Food]]</f>
        <v>484336</v>
      </c>
      <c r="BL67" s="69" t="n">
        <f aca="false">TblProd[[#This Row],[Lumber]]</f>
        <v>128478</v>
      </c>
      <c r="BM67" s="69" t="n">
        <f aca="false">TblProd[[#This Row],[Mana]]</f>
        <v>503411</v>
      </c>
      <c r="BN67" s="69" t="n">
        <f aca="false">TblProd[[#This Row],[Ore]]</f>
        <v>-357</v>
      </c>
    </row>
    <row r="68" customFormat="false" ht="12.75" hidden="false" customHeight="false" outlineLevel="0" collapsed="false">
      <c r="A68" s="128" t="n">
        <v>65</v>
      </c>
      <c r="B68" s="144" t="n">
        <f aca="false">TblImps[[#This Row],[Time]]</f>
        <v>45432.4166666667</v>
      </c>
      <c r="C68" s="145"/>
      <c r="D68" s="146"/>
      <c r="E68" s="69" t="n">
        <f aca="false">TblConstr[[#This Row],[Land]]</f>
        <v>646</v>
      </c>
      <c r="F68" s="69" t="n">
        <f aca="false">TblPop[[#This Row],[Peasants]]</f>
        <v>9949</v>
      </c>
      <c r="G68" s="69"/>
      <c r="H68" s="69" t="e">
        <f aca="false">TblMili[[#This Row],[Networth (2)]]</f>
        <v>#VALUE!</v>
      </c>
      <c r="I68" s="69" t="n">
        <f aca="false">OFFSET(TblProd[[#This Row],[Platinum]],-1,0)+OFFSET(TblProd[[#This Row],[Plat/hr]],-1,0) - TblProd[[#This Row],[Expenses Platinum]] + IF(TblProd[[#This Row],[Plat Bonus]],TblPop[[#This Row],[Peasants]]*4) + SUM(TblConstr[[#This Row],[Dest Hom]:[Dest Doc]])*TblConstr[[#This Row],[CPA Platinum -DB]]*tech_3_3_2*TblTech[[#This Row],[3-3]]</f>
        <v>887582</v>
      </c>
      <c r="J68" s="69" t="n">
        <f aca="false">OFFSET(TblProd[[#This Row],[Food]],-1,0)+OFFSET(TblProd[[#This Row],[Food/hr]],-1,0)+ROUNDUP((TblConstr[[#This Row],[Farms]]*80+TblConstr[[#This Row],[Docks]]*35)*(1+OFFSET(TblProd[[#This Row],[Bonus Food/hr]],-1,0)),0)</f>
        <v>479886</v>
      </c>
      <c r="K68" s="69" t="n">
        <f aca="false">OFFSET(TblProd[[#This Row],[Lumber]],-1,0)+OFFSET(TblProd[[#This Row],[Lumber/hr]],-1,0) - TblProd[[#This Row],[Expenses Lumber]] + SUM(TblConstr[[#This Row],[Dest Hom]:[Dest Doc]])*TblConstr[[#This Row],[CPA Lumber -DB]]*tech_3_3_2*TblTech[[#This Row],[3-3]]</f>
        <v>139118</v>
      </c>
      <c r="L68" s="69" t="n">
        <f aca="false">OFFSET(TblProd[[#This Row],[Mana]],-1,0)+OFFSET(TblProd[[#This Row],[Mana/hr]],-1,0)- TblProd[[#This Row],[Expenses Mana]]</f>
        <v>493968</v>
      </c>
      <c r="M68" s="69" t="n">
        <f aca="false">OFFSET(TblProd[[#This Row],[Ore]],-1,0)+OFFSET(TblProd[[#This Row],[Ore/hr]],-1,0) -TblProd[[#This Row],[Expenses Ore]]</f>
        <v>-357</v>
      </c>
      <c r="N68" s="69" t="n">
        <f aca="false">OFFSET(TblProd[[#This Row],[Gems]],-1,0)+OFFSET(TblProd[[#This Row],[Gems/hr]],-1,0) - TblProd[[#This Row],[Expenses Gems]]</f>
        <v>-1000</v>
      </c>
      <c r="O68" s="69" t="n">
        <f aca="false">OFFSET(TblProd[[#This Row],[Boats]],-1,0)+OFFSET(TblProd[[#This Row],[Boats/hr]],-1,0)</f>
        <v>18.65</v>
      </c>
      <c r="P68" s="69" t="n">
        <f aca="false">OFFSET(TblProd[[#This Row],[Prestige]],-1,0)</f>
        <v>250</v>
      </c>
      <c r="Q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8" s="69" t="n">
        <f aca="false">MAX(3750,_xlfn.CEILING.MATH(TblProd[[#This Row],[Land]]*2.5+OFFSET(TblTech[[#This Row],[Sum of tech]],-1,0)*150))</f>
        <v>3750</v>
      </c>
      <c r="S68" s="132"/>
      <c r="T68" s="69" t="n">
        <f aca="false">ROUNDDOWN(TblProd[[#This Row],[Raw Plat/hr]]*(1+TblProd[[#This Row],[Bonus Plat/hr]]),0)</f>
        <v>47093</v>
      </c>
      <c r="U68" s="69" t="n">
        <f aca="false">ROUND(TblProd[[#This Row],[Raw Food/hr]]*(1+TblProd[[#This Row],[Bonus Food/hr]])-TblProd[[#This Row],[Food decay]]-TblProd[[#This Row],[Food eaten]],0)</f>
        <v>-4460</v>
      </c>
      <c r="V68" s="69" t="n">
        <f aca="false">ROUND(TblProd[[#This Row],[Raw Lumber/hr]]*(1+TblProd[[#This Row],[Bonus Lumber/hr]])-TblProd[[#This Row],[Lumber rot]],0)</f>
        <v>-266</v>
      </c>
      <c r="W68" s="69" t="n">
        <f aca="false">ROUND(TblProd[[#This Row],[Raw Mana/hr]]*(1+TblProd[[#This Row],[Bonus Mana/hr]])-TblProd[[#This Row],[Mana drain]],0)</f>
        <v>-9254</v>
      </c>
      <c r="X68" s="69" t="n">
        <f aca="false">ROUNDDOWN(TblProd[[#This Row],[Raw Ore/hr]]*(1+TblProd[[#This Row],[Bonux Ore/hr]]),0)</f>
        <v>0</v>
      </c>
      <c r="Y68" s="69" t="n">
        <f aca="false">ROUNDDOWN(TblProd[[#This Row],[Raw Gems/hr]]*(1+TblProd[[#This Row],[Bonus Gems/hr]]),0)</f>
        <v>0</v>
      </c>
      <c r="Z68" s="148" t="n">
        <f aca="false">OFFSET(TblConstr[[#This Row],[Tot Doc]],1,0)*dock_boats_hr * (1 + tech_4_1*TblTech[[#This Row],[4-1]])</f>
        <v>1.2</v>
      </c>
      <c r="AA68" s="146"/>
      <c r="AB68" s="69" t="n">
        <f aca="false">TblPop[[#This Row],[Peasants]]*tax*TblPop[[#This Row],[Employment]] + (Construction!AZ69+Construction!BX69)*(alch_plat+(Magic!AM68&gt;0)*alchemist_flame_bonus)</f>
        <v>42812.3</v>
      </c>
      <c r="AC68" s="69" t="n">
        <f aca="false">TblConstr[[#This Row],[Tot Farm]]*farm_food + TblConstr[[#This Row],[Tot Doc]]*dock_food</f>
        <v>3280</v>
      </c>
      <c r="AD68" s="69" t="n">
        <f aca="false">TblConstr[[#This Row],[Tot Ly]]*ly_lumber + TblConstr[[#This Row],[Tot Hav]]*fh_lumber</f>
        <v>1250</v>
      </c>
      <c r="AE68" s="69" t="n">
        <f aca="false">OFFSET(TblConstr[[#This Row],[Tot Tow]],1,0)*(tower_mana + tech_4_5*TblTech[[#This Row],[4-5]]) + OFFSET(TblConstr[[#This Row],[Tot WG]],1,0)*wg_mana_prod</f>
        <v>625</v>
      </c>
      <c r="AF68" s="69" t="n">
        <f aca="false">OFFSET(TblConstr[[#This Row],[Tot OM]],1,0)*om_ore+IF(race="Dwarf",ROUNDDOWN(TblMili[[#This Row],[Unit 2]]*0.4,0),)</f>
        <v>0</v>
      </c>
      <c r="AG68" s="69" t="n">
        <f aca="false">OFFSET(TblConstr[[#This Row],[Tot DM]],1,0)*dm_gems</f>
        <v>0</v>
      </c>
      <c r="AH68" s="132"/>
      <c r="AI68" s="149" t="n">
        <f aca="false">MIN(race_platinum_bonus + IF(TblMagic[[#This Row],[Active Alch Frost]]&gt;0,alch_frost_bonus,IF(Magic!AD68&gt;0,midas_bonus)) + TblImps[[#This Row],[Science]] - TblProd[[#This Row],[Guard]]*(0.02 + tech_5_7*TblTech[[#This Row],[5-7]]) + tech_1_5*TblTech[[#This Row],[1-5]] + tech_4_4*TblTech[[#This Row],[4-4]], 0.5)</f>
        <v>0.1</v>
      </c>
      <c r="AJ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8" s="149" t="n">
        <f aca="false">race_lumber_bonus+ IF(TblMagic[[#This Row],[Active Gaia''s Blessing]]&gt;0,gaias_blessing_lumber)+ tech_1_3*TblTech[[#This Row],[1-3]] + tech_1_6*TblTech[[#This Row],[1-6]] + tech_3_3*TblTech[[#This Row],[3-3]]</f>
        <v>-0.1</v>
      </c>
      <c r="AL68" s="149" t="n">
        <f aca="false">race_mana_bonus+ 0 + TblImps[[#This Row],[Towers]] + tech_1_2*TblTech[[#This Row],[1-2]] + tech_3_4*TblTech[[#This Row],[3-4]]</f>
        <v>0</v>
      </c>
      <c r="AM68" s="149" t="n">
        <f aca="false">race_ore_bonus + IF(TblMagic[[#This Row],[Active Miner''s Sight]]&gt;0,miners_sight_bonus,IF(TblMagic[[#This Row],[Active Mining Strength]]&gt;0,mining_strength_bonus)) +  tech_1_6*TblTech[[#This Row],[1-6]]</f>
        <v>0</v>
      </c>
      <c r="AN68" s="149" t="n">
        <f aca="false">race_gem_bonus+ tech_3_2*TblTech[[#This Row],[3-2]] + tech_4_3*TblTech[[#This Row],[4-3]] + tech_6_2*TblTech[[#This Row],[6-2]]</f>
        <v>0.15</v>
      </c>
      <c r="AO68" s="132"/>
      <c r="AP68" s="69" t="n">
        <f aca="false">TblProd[[#This Row],[Food]]*food_decay * (1 + tech_2_1*TblTech[[#This Row],[2-1]] + tech_2_8*TblTech[[#This Row],[2-8]])</f>
        <v>4798.86</v>
      </c>
      <c r="AQ68" s="69" t="n">
        <f aca="false">(1+race_food_consumption)*TblPop[[#This Row],[Total]]*food_per_person*(1+tech_1_10*TblTech[[#This Row],[1-10]]+tech_7_5*TblTech[[#This Row],[7-5]])</f>
        <v>3023.25</v>
      </c>
      <c r="AR68" s="69" t="n">
        <f aca="false">TblProd[[#This Row],[Lumber]]*lumber_rot * (1 + tech_2_1*TblTech[[#This Row],[2-1]] + tech_2_8*TblTech[[#This Row],[2-8]] + tech_5_2*TblTech[[#This Row],[5-2]])</f>
        <v>1391.18</v>
      </c>
      <c r="AS68" s="69" t="n">
        <f aca="false">TblProd[[#This Row],[Mana]]*mana_drain * (1 + tech_2_1*TblTech[[#This Row],[2-1]] + tech_2_8*TblTech[[#This Row],[2-8]])</f>
        <v>9879.36</v>
      </c>
      <c r="AT68" s="146"/>
      <c r="AU68" s="69" t="n">
        <f aca="false">TblExplore[[#This Row],[Platinum (2)]]+TblConstr[[#This Row],[Total Plat Cost]]+TblMili[[#This Row],[Plat Cost]]+TblRezone[[#This Row],[Platinum cost]]+TblImps[[#This Row],[P1]]-TblProd[[#This Row],[Bank Plat]]</f>
        <v>-46332</v>
      </c>
      <c r="AV68" s="69" t="n">
        <f aca="false">TblConstr[[#This Row],[Total Lum Cost]]+TblImps[[#This Row],[L1]]-TblProd[[#This Row],[Bank Lumber]] + Military!$CL$25*TblMili[[#This Row],[Sec. rec. Cost]]</f>
        <v>-10800</v>
      </c>
      <c r="AW68" s="69" t="n">
        <f aca="false">TblMagic[[#This Row],[Mana cost]] + Military!$CL$26*TblMili[[#This Row],[Sec. rec. Cost]]</f>
        <v>0</v>
      </c>
      <c r="AX68" s="69" t="n">
        <f aca="false">Military!$CL$24*TblMili[[#This Row],[Sec. rec. Cost]]+TblImps[[#This Row],[O1]]-TblProd[[#This Row],[Bank Ore]]</f>
        <v>0</v>
      </c>
      <c r="AY68" s="69" t="n">
        <f aca="false">TblImps[[#This Row],[G1]]-TblProd[[#This Row],[Bank Gems]]</f>
        <v>0</v>
      </c>
      <c r="AZ68" s="132"/>
      <c r="BA68" s="33" t="n">
        <f aca="false">IF(TblProd[[#This Row],[Set Guard]]&lt;&gt;"",TblProd[[#This Row],[Set Guard]],OFFSET(TblProd[[#This Row],[Guard]],-1,0))</f>
        <v>0</v>
      </c>
      <c r="BB68" s="145"/>
      <c r="BC68" s="151" t="n">
        <f aca="false">TblProd[[#This Row],[Hour]]</f>
        <v>65</v>
      </c>
      <c r="BD68" s="152" t="n">
        <f aca="false">-TblProd[[#This Row],[Bank Lumber]] / 2 + -TblProd[[#This Row],[Bank Gems]] * 2 + -TblProd[[#This Row],[Bank Ore]] / 2</f>
        <v>0</v>
      </c>
      <c r="BE68" s="152"/>
      <c r="BF68" s="152"/>
      <c r="BG68" s="152"/>
      <c r="BH68" s="153" t="n">
        <f aca="false">TblProd[[#This Row],[Time]]</f>
        <v>45432.4166666667</v>
      </c>
      <c r="BI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J68" s="69" t="n">
        <f aca="false">TblProd[[#This Row],[Platinum]]</f>
        <v>887582</v>
      </c>
      <c r="BK68" s="69" t="n">
        <f aca="false">TblProd[[#This Row],[Food]]</f>
        <v>479886</v>
      </c>
      <c r="BL68" s="69" t="n">
        <f aca="false">TblProd[[#This Row],[Lumber]]</f>
        <v>139118</v>
      </c>
      <c r="BM68" s="69" t="n">
        <f aca="false">TblProd[[#This Row],[Mana]]</f>
        <v>493968</v>
      </c>
      <c r="BN68" s="69" t="n">
        <f aca="false">TblProd[[#This Row],[Ore]]</f>
        <v>-357</v>
      </c>
    </row>
    <row r="69" customFormat="false" ht="12.75" hidden="false" customHeight="false" outlineLevel="0" collapsed="false">
      <c r="A69" s="128" t="n">
        <v>66</v>
      </c>
      <c r="B69" s="144" t="n">
        <f aca="false">TblImps[[#This Row],[Time]]</f>
        <v>45432.4583333333</v>
      </c>
      <c r="C69" s="145"/>
      <c r="D69" s="146"/>
      <c r="E69" s="69" t="n">
        <f aca="false">TblConstr[[#This Row],[Land]]</f>
        <v>646</v>
      </c>
      <c r="F69" s="69" t="n">
        <f aca="false">TblPop[[#This Row],[Peasants]]</f>
        <v>10088</v>
      </c>
      <c r="G69" s="69"/>
      <c r="H69" s="69" t="e">
        <f aca="false">TblMili[[#This Row],[Networth (2)]]</f>
        <v>#VALUE!</v>
      </c>
      <c r="I69" s="69" t="n">
        <f aca="false">OFFSET(TblProd[[#This Row],[Platinum]],-1,0)+OFFSET(TblProd[[#This Row],[Plat/hr]],-1,0) - TblProd[[#This Row],[Expenses Platinum]] + IF(TblProd[[#This Row],[Plat Bonus]],TblPop[[#This Row],[Peasants]]*4) + SUM(TblConstr[[#This Row],[Dest Hom]:[Dest Doc]])*TblConstr[[#This Row],[CPA Platinum -DB]]*tech_3_3_2*TblTech[[#This Row],[3-3]]</f>
        <v>980815</v>
      </c>
      <c r="J69" s="69" t="n">
        <f aca="false">OFFSET(TblProd[[#This Row],[Food]],-1,0)+OFFSET(TblProd[[#This Row],[Food/hr]],-1,0)+ROUNDUP((TblConstr[[#This Row],[Farms]]*80+TblConstr[[#This Row],[Docks]]*35)*(1+OFFSET(TblProd[[#This Row],[Bonus Food/hr]],-1,0)),0)</f>
        <v>475426</v>
      </c>
      <c r="K69" s="69" t="n">
        <f aca="false">OFFSET(TblProd[[#This Row],[Lumber]],-1,0)+OFFSET(TblProd[[#This Row],[Lumber/hr]],-1,0) - TblProd[[#This Row],[Expenses Lumber]] + SUM(TblConstr[[#This Row],[Dest Hom]:[Dest Doc]])*TblConstr[[#This Row],[CPA Lumber -DB]]*tech_3_3_2*TblTech[[#This Row],[3-3]]</f>
        <v>149652</v>
      </c>
      <c r="L69" s="69" t="n">
        <f aca="false">OFFSET(TblProd[[#This Row],[Mana]],-1,0)+OFFSET(TblProd[[#This Row],[Mana/hr]],-1,0)- TblProd[[#This Row],[Expenses Mana]]</f>
        <v>484714</v>
      </c>
      <c r="M69" s="69" t="n">
        <f aca="false">OFFSET(TblProd[[#This Row],[Ore]],-1,0)+OFFSET(TblProd[[#This Row],[Ore/hr]],-1,0) -TblProd[[#This Row],[Expenses Ore]]</f>
        <v>-357</v>
      </c>
      <c r="N69" s="69" t="n">
        <f aca="false">OFFSET(TblProd[[#This Row],[Gems]],-1,0)+OFFSET(TblProd[[#This Row],[Gems/hr]],-1,0) - TblProd[[#This Row],[Expenses Gems]]</f>
        <v>-1000</v>
      </c>
      <c r="O69" s="69" t="n">
        <f aca="false">OFFSET(TblProd[[#This Row],[Boats]],-1,0)+OFFSET(TblProd[[#This Row],[Boats/hr]],-1,0)</f>
        <v>19.85</v>
      </c>
      <c r="P69" s="69" t="n">
        <f aca="false">OFFSET(TblProd[[#This Row],[Prestige]],-1,0)</f>
        <v>250</v>
      </c>
      <c r="Q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69" s="69" t="n">
        <f aca="false">MAX(3750,_xlfn.CEILING.MATH(TblProd[[#This Row],[Land]]*2.5+OFFSET(TblTech[[#This Row],[Sum of tech]],-1,0)*150))</f>
        <v>3750</v>
      </c>
      <c r="S69" s="132"/>
      <c r="T69" s="69" t="n">
        <f aca="false">ROUNDDOWN(TblProd[[#This Row],[Raw Plat/hr]]*(1+TblProd[[#This Row],[Bonus Plat/hr]]),0)</f>
        <v>47506</v>
      </c>
      <c r="U69" s="69" t="n">
        <f aca="false">ROUND(TblProd[[#This Row],[Raw Food/hr]]*(1+TblProd[[#This Row],[Bonus Food/hr]])-TblProd[[#This Row],[Food decay]]-TblProd[[#This Row],[Food eaten]],0)</f>
        <v>-4475</v>
      </c>
      <c r="V69" s="69" t="n">
        <f aca="false">ROUND(TblProd[[#This Row],[Raw Lumber/hr]]*(1+TblProd[[#This Row],[Bonus Lumber/hr]])-TblProd[[#This Row],[Lumber rot]],0)</f>
        <v>-372</v>
      </c>
      <c r="W69" s="69" t="n">
        <f aca="false">ROUND(TblProd[[#This Row],[Raw Mana/hr]]*(1+TblProd[[#This Row],[Bonus Mana/hr]])-TblProd[[#This Row],[Mana drain]],0)</f>
        <v>-8969</v>
      </c>
      <c r="X69" s="69" t="n">
        <f aca="false">ROUNDDOWN(TblProd[[#This Row],[Raw Ore/hr]]*(1+TblProd[[#This Row],[Bonux Ore/hr]]),0)</f>
        <v>0</v>
      </c>
      <c r="Y69" s="69" t="n">
        <f aca="false">ROUNDDOWN(TblProd[[#This Row],[Raw Gems/hr]]*(1+TblProd[[#This Row],[Bonus Gems/hr]]),0)</f>
        <v>0</v>
      </c>
      <c r="Z69" s="148" t="n">
        <f aca="false">OFFSET(TblConstr[[#This Row],[Tot Doc]],1,0)*dock_boats_hr * (1 + tech_4_1*TblTech[[#This Row],[4-1]])</f>
        <v>1.2</v>
      </c>
      <c r="AA69" s="146"/>
      <c r="AB69" s="69" t="n">
        <f aca="false">TblPop[[#This Row],[Peasants]]*tax*TblPop[[#This Row],[Employment]] + (Construction!AZ70+Construction!BX70)*(alch_plat+(Magic!AM69&gt;0)*alchemist_flame_bonus)</f>
        <v>43187.6</v>
      </c>
      <c r="AC69" s="69" t="n">
        <f aca="false">TblConstr[[#This Row],[Tot Farm]]*farm_food + TblConstr[[#This Row],[Tot Doc]]*dock_food</f>
        <v>3280</v>
      </c>
      <c r="AD69" s="69" t="n">
        <f aca="false">TblConstr[[#This Row],[Tot Ly]]*ly_lumber + TblConstr[[#This Row],[Tot Hav]]*fh_lumber</f>
        <v>1250</v>
      </c>
      <c r="AE69" s="69" t="n">
        <f aca="false">OFFSET(TblConstr[[#This Row],[Tot Tow]],1,0)*(tower_mana + tech_4_5*TblTech[[#This Row],[4-5]]) + OFFSET(TblConstr[[#This Row],[Tot WG]],1,0)*wg_mana_prod</f>
        <v>725</v>
      </c>
      <c r="AF69" s="69" t="n">
        <f aca="false">OFFSET(TblConstr[[#This Row],[Tot OM]],1,0)*om_ore+IF(race="Dwarf",ROUNDDOWN(TblMili[[#This Row],[Unit 2]]*0.4,0),)</f>
        <v>0</v>
      </c>
      <c r="AG69" s="69" t="n">
        <f aca="false">OFFSET(TblConstr[[#This Row],[Tot DM]],1,0)*dm_gems</f>
        <v>0</v>
      </c>
      <c r="AH69" s="132"/>
      <c r="AI69" s="149" t="n">
        <f aca="false">MIN(race_platinum_bonus + IF(TblMagic[[#This Row],[Active Alch Frost]]&gt;0,alch_frost_bonus,IF(Magic!AD69&gt;0,midas_bonus)) + TblImps[[#This Row],[Science]] - TblProd[[#This Row],[Guard]]*(0.02 + tech_5_7*TblTech[[#This Row],[5-7]]) + tech_1_5*TblTech[[#This Row],[1-5]] + tech_4_4*TblTech[[#This Row],[4-4]], 0.5)</f>
        <v>0.1</v>
      </c>
      <c r="AJ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69" s="149" t="n">
        <f aca="false">race_lumber_bonus+ IF(TblMagic[[#This Row],[Active Gaia''s Blessing]]&gt;0,gaias_blessing_lumber)+ tech_1_3*TblTech[[#This Row],[1-3]] + tech_1_6*TblTech[[#This Row],[1-6]] + tech_3_3*TblTech[[#This Row],[3-3]]</f>
        <v>-0.1</v>
      </c>
      <c r="AL69" s="149" t="n">
        <f aca="false">race_mana_bonus+ 0 + TblImps[[#This Row],[Towers]] + tech_1_2*TblTech[[#This Row],[1-2]] + tech_3_4*TblTech[[#This Row],[3-4]]</f>
        <v>0</v>
      </c>
      <c r="AM69" s="149" t="n">
        <f aca="false">race_ore_bonus + IF(TblMagic[[#This Row],[Active Miner''s Sight]]&gt;0,miners_sight_bonus,IF(TblMagic[[#This Row],[Active Mining Strength]]&gt;0,mining_strength_bonus)) +  tech_1_6*TblTech[[#This Row],[1-6]]</f>
        <v>0</v>
      </c>
      <c r="AN69" s="149" t="n">
        <f aca="false">race_gem_bonus+ tech_3_2*TblTech[[#This Row],[3-2]] + tech_4_3*TblTech[[#This Row],[4-3]] + tech_6_2*TblTech[[#This Row],[6-2]]</f>
        <v>0.15</v>
      </c>
      <c r="AO69" s="132"/>
      <c r="AP69" s="69" t="n">
        <f aca="false">TblProd[[#This Row],[Food]]*food_decay * (1 + tech_2_1*TblTech[[#This Row],[2-1]] + tech_2_8*TblTech[[#This Row],[2-8]])</f>
        <v>4754.26</v>
      </c>
      <c r="AQ69" s="69" t="n">
        <f aca="false">(1+race_food_consumption)*TblPop[[#This Row],[Total]]*food_per_person*(1+tech_1_10*TblTech[[#This Row],[1-10]]+tech_7_5*TblTech[[#This Row],[7-5]])</f>
        <v>3082.75</v>
      </c>
      <c r="AR69" s="69" t="n">
        <f aca="false">TblProd[[#This Row],[Lumber]]*lumber_rot * (1 + tech_2_1*TblTech[[#This Row],[2-1]] + tech_2_8*TblTech[[#This Row],[2-8]] + tech_5_2*TblTech[[#This Row],[5-2]])</f>
        <v>1496.52</v>
      </c>
      <c r="AS69" s="69" t="n">
        <f aca="false">TblProd[[#This Row],[Mana]]*mana_drain * (1 + tech_2_1*TblTech[[#This Row],[2-1]] + tech_2_8*TblTech[[#This Row],[2-8]])</f>
        <v>9694.28</v>
      </c>
      <c r="AT69" s="146"/>
      <c r="AU69" s="69" t="n">
        <f aca="false">TblExplore[[#This Row],[Platinum (2)]]+TblConstr[[#This Row],[Total Plat Cost]]+TblMili[[#This Row],[Plat Cost]]+TblRezone[[#This Row],[Platinum cost]]+TblImps[[#This Row],[P1]]-TblProd[[#This Row],[Bank Plat]]</f>
        <v>-46140</v>
      </c>
      <c r="AV69" s="69" t="n">
        <f aca="false">TblConstr[[#This Row],[Total Lum Cost]]+TblImps[[#This Row],[L1]]-TblProd[[#This Row],[Bank Lumber]] + Military!$CL$25*TblMili[[#This Row],[Sec. rec. Cost]]</f>
        <v>-10800</v>
      </c>
      <c r="AW69" s="69" t="n">
        <f aca="false">TblMagic[[#This Row],[Mana cost]] + Military!$CL$26*TblMili[[#This Row],[Sec. rec. Cost]]</f>
        <v>0</v>
      </c>
      <c r="AX69" s="69" t="n">
        <f aca="false">Military!$CL$24*TblMili[[#This Row],[Sec. rec. Cost]]+TblImps[[#This Row],[O1]]-TblProd[[#This Row],[Bank Ore]]</f>
        <v>0</v>
      </c>
      <c r="AY69" s="69" t="n">
        <f aca="false">TblImps[[#This Row],[G1]]-TblProd[[#This Row],[Bank Gems]]</f>
        <v>0</v>
      </c>
      <c r="AZ69" s="132"/>
      <c r="BA69" s="33" t="n">
        <f aca="false">IF(TblProd[[#This Row],[Set Guard]]&lt;&gt;"",TblProd[[#This Row],[Set Guard]],OFFSET(TblProd[[#This Row],[Guard]],-1,0))</f>
        <v>0</v>
      </c>
      <c r="BB69" s="145"/>
      <c r="BC69" s="151" t="n">
        <f aca="false">TblProd[[#This Row],[Hour]]</f>
        <v>66</v>
      </c>
      <c r="BD69" s="152" t="n">
        <f aca="false">-TblProd[[#This Row],[Bank Lumber]] / 2 + -TblProd[[#This Row],[Bank Gems]] * 2 + -TblProd[[#This Row],[Bank Ore]] / 2</f>
        <v>0</v>
      </c>
      <c r="BE69" s="152"/>
      <c r="BF69" s="152"/>
      <c r="BG69" s="152"/>
      <c r="BH69" s="153" t="n">
        <f aca="false">TblProd[[#This Row],[Time]]</f>
        <v>45432.4583333333</v>
      </c>
      <c r="BI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J69" s="69" t="n">
        <f aca="false">TblProd[[#This Row],[Platinum]]</f>
        <v>980815</v>
      </c>
      <c r="BK69" s="69" t="n">
        <f aca="false">TblProd[[#This Row],[Food]]</f>
        <v>475426</v>
      </c>
      <c r="BL69" s="69" t="n">
        <f aca="false">TblProd[[#This Row],[Lumber]]</f>
        <v>149652</v>
      </c>
      <c r="BM69" s="69" t="n">
        <f aca="false">TblProd[[#This Row],[Mana]]</f>
        <v>484714</v>
      </c>
      <c r="BN69" s="69" t="n">
        <f aca="false">TblProd[[#This Row],[Ore]]</f>
        <v>-357</v>
      </c>
    </row>
    <row r="70" customFormat="false" ht="12.75" hidden="false" customHeight="false" outlineLevel="0" collapsed="false">
      <c r="A70" s="128" t="n">
        <v>67</v>
      </c>
      <c r="B70" s="144" t="n">
        <f aca="false">TblImps[[#This Row],[Time]]</f>
        <v>45432.5</v>
      </c>
      <c r="C70" s="145"/>
      <c r="D70" s="146"/>
      <c r="E70" s="69" t="n">
        <f aca="false">TblConstr[[#This Row],[Land]]</f>
        <v>646</v>
      </c>
      <c r="F70" s="69" t="n">
        <f aca="false">TblPop[[#This Row],[Peasants]]</f>
        <v>10066</v>
      </c>
      <c r="G70" s="69"/>
      <c r="H70" s="69" t="e">
        <f aca="false">TblMili[[#This Row],[Networth (2)]]</f>
        <v>#VALUE!</v>
      </c>
      <c r="I70" s="69" t="n">
        <f aca="false">OFFSET(TblProd[[#This Row],[Platinum]],-1,0)+OFFSET(TblProd[[#This Row],[Plat/hr]],-1,0) - TblProd[[#This Row],[Expenses Platinum]] + IF(TblProd[[#This Row],[Plat Bonus]],TblPop[[#This Row],[Peasants]]*4) + SUM(TblConstr[[#This Row],[Dest Hom]:[Dest Doc]])*TblConstr[[#This Row],[CPA Platinum -DB]]*tech_3_3_2*TblTech[[#This Row],[3-3]]</f>
        <v>1048413</v>
      </c>
      <c r="J70" s="69" t="n">
        <f aca="false">OFFSET(TblProd[[#This Row],[Food]],-1,0)+OFFSET(TblProd[[#This Row],[Food/hr]],-1,0)+ROUNDUP((TblConstr[[#This Row],[Farms]]*80+TblConstr[[#This Row],[Docks]]*35)*(1+OFFSET(TblProd[[#This Row],[Bonus Food/hr]],-1,0)),0)</f>
        <v>470951</v>
      </c>
      <c r="K70" s="69" t="n">
        <f aca="false">OFFSET(TblProd[[#This Row],[Lumber]],-1,0)+OFFSET(TblProd[[#This Row],[Lumber/hr]],-1,0) - TblProd[[#This Row],[Expenses Lumber]] + SUM(TblConstr[[#This Row],[Dest Hom]:[Dest Doc]])*TblConstr[[#This Row],[CPA Lumber -DB]]*tech_3_3_2*TblTech[[#This Row],[3-3]]</f>
        <v>160080</v>
      </c>
      <c r="L70" s="69" t="n">
        <f aca="false">OFFSET(TblProd[[#This Row],[Mana]],-1,0)+OFFSET(TblProd[[#This Row],[Mana/hr]],-1,0)- TblProd[[#This Row],[Expenses Mana]]</f>
        <v>475745</v>
      </c>
      <c r="M70" s="69" t="n">
        <f aca="false">OFFSET(TblProd[[#This Row],[Ore]],-1,0)+OFFSET(TblProd[[#This Row],[Ore/hr]],-1,0) -TblProd[[#This Row],[Expenses Ore]]</f>
        <v>-357</v>
      </c>
      <c r="N70" s="69" t="n">
        <f aca="false">OFFSET(TblProd[[#This Row],[Gems]],-1,0)+OFFSET(TblProd[[#This Row],[Gems/hr]],-1,0) - TblProd[[#This Row],[Expenses Gems]]</f>
        <v>-1000</v>
      </c>
      <c r="O70" s="69" t="n">
        <f aca="false">OFFSET(TblProd[[#This Row],[Boats]],-1,0)+OFFSET(TblProd[[#This Row],[Boats/hr]],-1,0)</f>
        <v>21.05</v>
      </c>
      <c r="P70" s="69" t="n">
        <f aca="false">OFFSET(TblProd[[#This Row],[Prestige]],-1,0)</f>
        <v>250</v>
      </c>
      <c r="Q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0" s="69" t="n">
        <f aca="false">MAX(3750,_xlfn.CEILING.MATH(TblProd[[#This Row],[Land]]*2.5+OFFSET(TblTech[[#This Row],[Sum of tech]],-1,0)*150))</f>
        <v>3750</v>
      </c>
      <c r="S70" s="132"/>
      <c r="T70" s="69" t="n">
        <f aca="false">ROUNDDOWN(TblProd[[#This Row],[Raw Plat/hr]]*(1+TblProd[[#This Row],[Bonus Plat/hr]]),0)</f>
        <v>47441</v>
      </c>
      <c r="U70" s="69" t="n">
        <f aca="false">ROUND(TblProd[[#This Row],[Raw Food/hr]]*(1+TblProd[[#This Row],[Bonus Food/hr]])-TblProd[[#This Row],[Food decay]]-TblProd[[#This Row],[Food eaten]],0)</f>
        <v>-4450</v>
      </c>
      <c r="V70" s="69" t="n">
        <f aca="false">ROUND(TblProd[[#This Row],[Raw Lumber/hr]]*(1+TblProd[[#This Row],[Bonus Lumber/hr]])-TblProd[[#This Row],[Lumber rot]],0)</f>
        <v>-476</v>
      </c>
      <c r="W70" s="69" t="n">
        <f aca="false">ROUND(TblProd[[#This Row],[Raw Mana/hr]]*(1+TblProd[[#This Row],[Bonus Mana/hr]])-TblProd[[#This Row],[Mana drain]],0)</f>
        <v>-8790</v>
      </c>
      <c r="X70" s="69" t="n">
        <f aca="false">ROUNDDOWN(TblProd[[#This Row],[Raw Ore/hr]]*(1+TblProd[[#This Row],[Bonux Ore/hr]]),0)</f>
        <v>0</v>
      </c>
      <c r="Y70" s="69" t="n">
        <f aca="false">ROUNDDOWN(TblProd[[#This Row],[Raw Gems/hr]]*(1+TblProd[[#This Row],[Bonus Gems/hr]]),0)</f>
        <v>0</v>
      </c>
      <c r="Z70" s="148" t="n">
        <f aca="false">OFFSET(TblConstr[[#This Row],[Tot Doc]],1,0)*dock_boats_hr * (1 + tech_4_1*TblTech[[#This Row],[4-1]])</f>
        <v>1.2</v>
      </c>
      <c r="AA70" s="146"/>
      <c r="AB70" s="69" t="n">
        <f aca="false">TblPop[[#This Row],[Peasants]]*tax*TblPop[[#This Row],[Employment]] + (Construction!AZ71+Construction!BX71)*(alch_plat+(Magic!AM70&gt;0)*alchemist_flame_bonus)</f>
        <v>43128.2</v>
      </c>
      <c r="AC70" s="69" t="n">
        <f aca="false">TblConstr[[#This Row],[Tot Farm]]*farm_food + TblConstr[[#This Row],[Tot Doc]]*dock_food</f>
        <v>3280</v>
      </c>
      <c r="AD70" s="69" t="n">
        <f aca="false">TblConstr[[#This Row],[Tot Ly]]*ly_lumber + TblConstr[[#This Row],[Tot Hav]]*fh_lumber</f>
        <v>1250</v>
      </c>
      <c r="AE70" s="69" t="n">
        <f aca="false">OFFSET(TblConstr[[#This Row],[Tot Tow]],1,0)*(tower_mana + tech_4_5*TblTech[[#This Row],[4-5]]) + OFFSET(TblConstr[[#This Row],[Tot WG]],1,0)*wg_mana_prod</f>
        <v>725</v>
      </c>
      <c r="AF70" s="69" t="n">
        <f aca="false">OFFSET(TblConstr[[#This Row],[Tot OM]],1,0)*om_ore+IF(race="Dwarf",ROUNDDOWN(TblMili[[#This Row],[Unit 2]]*0.4,0),)</f>
        <v>0</v>
      </c>
      <c r="AG70" s="69" t="n">
        <f aca="false">OFFSET(TblConstr[[#This Row],[Tot DM]],1,0)*dm_gems</f>
        <v>0</v>
      </c>
      <c r="AH70" s="132"/>
      <c r="AI70" s="149" t="n">
        <f aca="false">MIN(race_platinum_bonus + IF(TblMagic[[#This Row],[Active Alch Frost]]&gt;0,alch_frost_bonus,IF(Magic!AD70&gt;0,midas_bonus)) + TblImps[[#This Row],[Science]] - TblProd[[#This Row],[Guard]]*(0.02 + tech_5_7*TblTech[[#This Row],[5-7]]) + tech_1_5*TblTech[[#This Row],[1-5]] + tech_4_4*TblTech[[#This Row],[4-4]], 0.5)</f>
        <v>0.1</v>
      </c>
      <c r="AJ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0" s="149" t="n">
        <f aca="false">race_lumber_bonus+ IF(TblMagic[[#This Row],[Active Gaia''s Blessing]]&gt;0,gaias_blessing_lumber)+ tech_1_3*TblTech[[#This Row],[1-3]] + tech_1_6*TblTech[[#This Row],[1-6]] + tech_3_3*TblTech[[#This Row],[3-3]]</f>
        <v>-0.1</v>
      </c>
      <c r="AL70" s="149" t="n">
        <f aca="false">race_mana_bonus+ 0 + TblImps[[#This Row],[Towers]] + tech_1_2*TblTech[[#This Row],[1-2]] + tech_3_4*TblTech[[#This Row],[3-4]]</f>
        <v>0</v>
      </c>
      <c r="AM70" s="149" t="n">
        <f aca="false">race_ore_bonus + IF(TblMagic[[#This Row],[Active Miner''s Sight]]&gt;0,miners_sight_bonus,IF(TblMagic[[#This Row],[Active Mining Strength]]&gt;0,mining_strength_bonus)) +  tech_1_6*TblTech[[#This Row],[1-6]]</f>
        <v>0</v>
      </c>
      <c r="AN70" s="149" t="n">
        <f aca="false">race_gem_bonus+ tech_3_2*TblTech[[#This Row],[3-2]] + tech_4_3*TblTech[[#This Row],[4-3]] + tech_6_2*TblTech[[#This Row],[6-2]]</f>
        <v>0.15</v>
      </c>
      <c r="AO70" s="132"/>
      <c r="AP70" s="69" t="n">
        <f aca="false">TblProd[[#This Row],[Food]]*food_decay * (1 + tech_2_1*TblTech[[#This Row],[2-1]] + tech_2_8*TblTech[[#This Row],[2-8]])</f>
        <v>4709.51</v>
      </c>
      <c r="AQ70" s="69" t="n">
        <f aca="false">(1+race_food_consumption)*TblPop[[#This Row],[Total]]*food_per_person*(1+tech_1_10*TblTech[[#This Row],[1-10]]+tech_7_5*TblTech[[#This Row],[7-5]])</f>
        <v>3102.5</v>
      </c>
      <c r="AR70" s="69" t="n">
        <f aca="false">TblProd[[#This Row],[Lumber]]*lumber_rot * (1 + tech_2_1*TblTech[[#This Row],[2-1]] + tech_2_8*TblTech[[#This Row],[2-8]] + tech_5_2*TblTech[[#This Row],[5-2]])</f>
        <v>1600.8</v>
      </c>
      <c r="AS70" s="69" t="n">
        <f aca="false">TblProd[[#This Row],[Mana]]*mana_drain * (1 + tech_2_1*TblTech[[#This Row],[2-1]] + tech_2_8*TblTech[[#This Row],[2-8]])</f>
        <v>9514.9</v>
      </c>
      <c r="AT70" s="146"/>
      <c r="AU70" s="69" t="n">
        <f aca="false">TblExplore[[#This Row],[Platinum (2)]]+TblConstr[[#This Row],[Total Plat Cost]]+TblMili[[#This Row],[Plat Cost]]+TblRezone[[#This Row],[Platinum cost]]+TblImps[[#This Row],[P1]]-TblProd[[#This Row],[Bank Plat]]</f>
        <v>-20092</v>
      </c>
      <c r="AV70" s="69" t="n">
        <f aca="false">TblConstr[[#This Row],[Total Lum Cost]]+TblImps[[#This Row],[L1]]-TblProd[[#This Row],[Bank Lumber]] + Military!$CL$25*TblMili[[#This Row],[Sec. rec. Cost]]</f>
        <v>-10800</v>
      </c>
      <c r="AW70" s="69" t="n">
        <f aca="false">TblMagic[[#This Row],[Mana cost]] + Military!$CL$26*TblMili[[#This Row],[Sec. rec. Cost]]</f>
        <v>0</v>
      </c>
      <c r="AX70" s="69" t="n">
        <f aca="false">Military!$CL$24*TblMili[[#This Row],[Sec. rec. Cost]]+TblImps[[#This Row],[O1]]-TblProd[[#This Row],[Bank Ore]]</f>
        <v>0</v>
      </c>
      <c r="AY70" s="69" t="n">
        <f aca="false">TblImps[[#This Row],[G1]]-TblProd[[#This Row],[Bank Gems]]</f>
        <v>0</v>
      </c>
      <c r="AZ70" s="132"/>
      <c r="BA70" s="33" t="n">
        <f aca="false">IF(TblProd[[#This Row],[Set Guard]]&lt;&gt;"",TblProd[[#This Row],[Set Guard]],OFFSET(TblProd[[#This Row],[Guard]],-1,0))</f>
        <v>0</v>
      </c>
      <c r="BB70" s="145"/>
      <c r="BC70" s="151" t="n">
        <f aca="false">TblProd[[#This Row],[Hour]]</f>
        <v>67</v>
      </c>
      <c r="BD70" s="152" t="n">
        <f aca="false">-TblProd[[#This Row],[Bank Lumber]] / 2 + -TblProd[[#This Row],[Bank Gems]] * 2 + -TblProd[[#This Row],[Bank Ore]] / 2</f>
        <v>0</v>
      </c>
      <c r="BE70" s="152"/>
      <c r="BF70" s="152"/>
      <c r="BG70" s="152"/>
      <c r="BH70" s="153" t="n">
        <f aca="false">TblProd[[#This Row],[Time]]</f>
        <v>45432.5</v>
      </c>
      <c r="BI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J70" s="69" t="n">
        <f aca="false">TblProd[[#This Row],[Platinum]]</f>
        <v>1048413</v>
      </c>
      <c r="BK70" s="69" t="n">
        <f aca="false">TblProd[[#This Row],[Food]]</f>
        <v>470951</v>
      </c>
      <c r="BL70" s="69" t="n">
        <f aca="false">TblProd[[#This Row],[Lumber]]</f>
        <v>160080</v>
      </c>
      <c r="BM70" s="69" t="n">
        <f aca="false">TblProd[[#This Row],[Mana]]</f>
        <v>475745</v>
      </c>
      <c r="BN70" s="69" t="n">
        <f aca="false">TblProd[[#This Row],[Ore]]</f>
        <v>-357</v>
      </c>
    </row>
    <row r="71" customFormat="false" ht="12.75" hidden="false" customHeight="false" outlineLevel="0" collapsed="false">
      <c r="A71" s="128" t="n">
        <v>68</v>
      </c>
      <c r="B71" s="144" t="n">
        <f aca="false">TblImps[[#This Row],[Time]]</f>
        <v>45432.5416666667</v>
      </c>
      <c r="C71" s="145"/>
      <c r="D71" s="146"/>
      <c r="E71" s="69" t="n">
        <f aca="false">TblConstr[[#This Row],[Land]]</f>
        <v>646</v>
      </c>
      <c r="F71" s="69" t="n">
        <f aca="false">TblPop[[#This Row],[Peasants]]</f>
        <v>9965</v>
      </c>
      <c r="G71" s="69"/>
      <c r="H71" s="69" t="e">
        <f aca="false">TblMili[[#This Row],[Networth (2)]]</f>
        <v>#VALUE!</v>
      </c>
      <c r="I71" s="69" t="n">
        <f aca="false">OFFSET(TblProd[[#This Row],[Platinum]],-1,0)+OFFSET(TblProd[[#This Row],[Plat/hr]],-1,0) - TblProd[[#This Row],[Expenses Platinum]] + IF(TblProd[[#This Row],[Plat Bonus]],TblPop[[#This Row],[Peasants]]*4) + SUM(TblConstr[[#This Row],[Dest Hom]:[Dest Doc]])*TblConstr[[#This Row],[CPA Platinum -DB]]*tech_3_3_2*TblTech[[#This Row],[3-3]]</f>
        <v>1119594</v>
      </c>
      <c r="J71" s="69" t="n">
        <f aca="false">OFFSET(TblProd[[#This Row],[Food]],-1,0)+OFFSET(TblProd[[#This Row],[Food/hr]],-1,0)+ROUNDUP((TblConstr[[#This Row],[Farms]]*80+TblConstr[[#This Row],[Docks]]*35)*(1+OFFSET(TblProd[[#This Row],[Bonus Food/hr]],-1,0)),0)</f>
        <v>466501</v>
      </c>
      <c r="K71" s="69" t="n">
        <f aca="false">OFFSET(TblProd[[#This Row],[Lumber]],-1,0)+OFFSET(TblProd[[#This Row],[Lumber/hr]],-1,0) - TblProd[[#This Row],[Expenses Lumber]] + SUM(TblConstr[[#This Row],[Dest Hom]:[Dest Doc]])*TblConstr[[#This Row],[CPA Lumber -DB]]*tech_3_3_2*TblTech[[#This Row],[3-3]]</f>
        <v>170404</v>
      </c>
      <c r="L71" s="69" t="n">
        <f aca="false">OFFSET(TblProd[[#This Row],[Mana]],-1,0)+OFFSET(TblProd[[#This Row],[Mana/hr]],-1,0)- TblProd[[#This Row],[Expenses Mana]]</f>
        <v>466955</v>
      </c>
      <c r="M71" s="69" t="n">
        <f aca="false">OFFSET(TblProd[[#This Row],[Ore]],-1,0)+OFFSET(TblProd[[#This Row],[Ore/hr]],-1,0) -TblProd[[#This Row],[Expenses Ore]]</f>
        <v>-357</v>
      </c>
      <c r="N71" s="69" t="n">
        <f aca="false">OFFSET(TblProd[[#This Row],[Gems]],-1,0)+OFFSET(TblProd[[#This Row],[Gems/hr]],-1,0) - TblProd[[#This Row],[Expenses Gems]]</f>
        <v>-1000</v>
      </c>
      <c r="O71" s="69" t="n">
        <f aca="false">OFFSET(TblProd[[#This Row],[Boats]],-1,0)+OFFSET(TblProd[[#This Row],[Boats/hr]],-1,0)</f>
        <v>22.25</v>
      </c>
      <c r="P71" s="69" t="n">
        <f aca="false">OFFSET(TblProd[[#This Row],[Prestige]],-1,0)</f>
        <v>250</v>
      </c>
      <c r="Q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1" s="69" t="n">
        <f aca="false">MAX(3750,_xlfn.CEILING.MATH(TblProd[[#This Row],[Land]]*2.5+OFFSET(TblTech[[#This Row],[Sum of tech]],-1,0)*150))</f>
        <v>3750</v>
      </c>
      <c r="S71" s="132"/>
      <c r="T71" s="69" t="n">
        <f aca="false">ROUNDDOWN(TblProd[[#This Row],[Raw Plat/hr]]*(1+TblProd[[#This Row],[Bonus Plat/hr]]),0)</f>
        <v>47141</v>
      </c>
      <c r="U71" s="69" t="n">
        <f aca="false">ROUND(TblProd[[#This Row],[Raw Food/hr]]*(1+TblProd[[#This Row],[Bonus Food/hr]])-TblProd[[#This Row],[Food decay]]-TblProd[[#This Row],[Food eaten]],0)</f>
        <v>-4406</v>
      </c>
      <c r="V71" s="69" t="n">
        <f aca="false">ROUND(TblProd[[#This Row],[Raw Lumber/hr]]*(1+TblProd[[#This Row],[Bonus Lumber/hr]])-TblProd[[#This Row],[Lumber rot]],0)</f>
        <v>-579</v>
      </c>
      <c r="W71" s="69" t="n">
        <f aca="false">ROUND(TblProd[[#This Row],[Raw Mana/hr]]*(1+TblProd[[#This Row],[Bonus Mana/hr]])-TblProd[[#This Row],[Mana drain]],0)</f>
        <v>-8614</v>
      </c>
      <c r="X71" s="69" t="n">
        <f aca="false">ROUNDDOWN(TblProd[[#This Row],[Raw Ore/hr]]*(1+TblProd[[#This Row],[Bonux Ore/hr]]),0)</f>
        <v>0</v>
      </c>
      <c r="Y71" s="69" t="n">
        <f aca="false">ROUNDDOWN(TblProd[[#This Row],[Raw Gems/hr]]*(1+TblProd[[#This Row],[Bonus Gems/hr]]),0)</f>
        <v>0</v>
      </c>
      <c r="Z71" s="148" t="n">
        <f aca="false">OFFSET(TblConstr[[#This Row],[Tot Doc]],1,0)*dock_boats_hr * (1 + tech_4_1*TblTech[[#This Row],[4-1]])</f>
        <v>1.2</v>
      </c>
      <c r="AA71" s="146"/>
      <c r="AB71" s="69" t="n">
        <f aca="false">TblPop[[#This Row],[Peasants]]*tax*TblPop[[#This Row],[Employment]] + (Construction!AZ72+Construction!BX72)*(alch_plat+(Magic!AM71&gt;0)*alchemist_flame_bonus)</f>
        <v>42855.5</v>
      </c>
      <c r="AC71" s="69" t="n">
        <f aca="false">TblConstr[[#This Row],[Tot Farm]]*farm_food + TblConstr[[#This Row],[Tot Doc]]*dock_food</f>
        <v>3280</v>
      </c>
      <c r="AD71" s="69" t="n">
        <f aca="false">TblConstr[[#This Row],[Tot Ly]]*ly_lumber + TblConstr[[#This Row],[Tot Hav]]*fh_lumber</f>
        <v>1250</v>
      </c>
      <c r="AE71" s="69" t="n">
        <f aca="false">OFFSET(TblConstr[[#This Row],[Tot Tow]],1,0)*(tower_mana + tech_4_5*TblTech[[#This Row],[4-5]]) + OFFSET(TblConstr[[#This Row],[Tot WG]],1,0)*wg_mana_prod</f>
        <v>725</v>
      </c>
      <c r="AF71" s="69" t="n">
        <f aca="false">OFFSET(TblConstr[[#This Row],[Tot OM]],1,0)*om_ore+IF(race="Dwarf",ROUNDDOWN(TblMili[[#This Row],[Unit 2]]*0.4,0),)</f>
        <v>0</v>
      </c>
      <c r="AG71" s="69" t="n">
        <f aca="false">OFFSET(TblConstr[[#This Row],[Tot DM]],1,0)*dm_gems</f>
        <v>0</v>
      </c>
      <c r="AH71" s="132"/>
      <c r="AI71" s="149" t="n">
        <f aca="false">MIN(race_platinum_bonus + IF(TblMagic[[#This Row],[Active Alch Frost]]&gt;0,alch_frost_bonus,IF(Magic!AD71&gt;0,midas_bonus)) + TblImps[[#This Row],[Science]] - TblProd[[#This Row],[Guard]]*(0.02 + tech_5_7*TblTech[[#This Row],[5-7]]) + tech_1_5*TblTech[[#This Row],[1-5]] + tech_4_4*TblTech[[#This Row],[4-4]], 0.5)</f>
        <v>0.1</v>
      </c>
      <c r="AJ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1" s="149" t="n">
        <f aca="false">race_lumber_bonus+ IF(TblMagic[[#This Row],[Active Gaia''s Blessing]]&gt;0,gaias_blessing_lumber)+ tech_1_3*TblTech[[#This Row],[1-3]] + tech_1_6*TblTech[[#This Row],[1-6]] + tech_3_3*TblTech[[#This Row],[3-3]]</f>
        <v>-0.1</v>
      </c>
      <c r="AL71" s="149" t="n">
        <f aca="false">race_mana_bonus+ 0 + TblImps[[#This Row],[Towers]] + tech_1_2*TblTech[[#This Row],[1-2]] + tech_3_4*TblTech[[#This Row],[3-4]]</f>
        <v>0</v>
      </c>
      <c r="AM71" s="149" t="n">
        <f aca="false">race_ore_bonus + IF(TblMagic[[#This Row],[Active Miner''s Sight]]&gt;0,miners_sight_bonus,IF(TblMagic[[#This Row],[Active Mining Strength]]&gt;0,mining_strength_bonus)) +  tech_1_6*TblTech[[#This Row],[1-6]]</f>
        <v>0</v>
      </c>
      <c r="AN71" s="149" t="n">
        <f aca="false">race_gem_bonus+ tech_3_2*TblTech[[#This Row],[3-2]] + tech_4_3*TblTech[[#This Row],[4-3]] + tech_6_2*TblTech[[#This Row],[6-2]]</f>
        <v>0.15</v>
      </c>
      <c r="AO71" s="132"/>
      <c r="AP71" s="69" t="n">
        <f aca="false">TblProd[[#This Row],[Food]]*food_decay * (1 + tech_2_1*TblTech[[#This Row],[2-1]] + tech_2_8*TblTech[[#This Row],[2-8]])</f>
        <v>4665.01</v>
      </c>
      <c r="AQ71" s="69" t="n">
        <f aca="false">(1+race_food_consumption)*TblPop[[#This Row],[Total]]*food_per_person*(1+tech_1_10*TblTech[[#This Row],[1-10]]+tech_7_5*TblTech[[#This Row],[7-5]])</f>
        <v>3102.5</v>
      </c>
      <c r="AR71" s="69" t="n">
        <f aca="false">TblProd[[#This Row],[Lumber]]*lumber_rot * (1 + tech_2_1*TblTech[[#This Row],[2-1]] + tech_2_8*TblTech[[#This Row],[2-8]] + tech_5_2*TblTech[[#This Row],[5-2]])</f>
        <v>1704.04</v>
      </c>
      <c r="AS71" s="69" t="n">
        <f aca="false">TblProd[[#This Row],[Mana]]*mana_drain * (1 + tech_2_1*TblTech[[#This Row],[2-1]] + tech_2_8*TblTech[[#This Row],[2-8]])</f>
        <v>9339.1</v>
      </c>
      <c r="AT71" s="146"/>
      <c r="AU71" s="69" t="n">
        <f aca="false">TblExplore[[#This Row],[Platinum (2)]]+TblConstr[[#This Row],[Total Plat Cost]]+TblMili[[#This Row],[Plat Cost]]+TblRezone[[#This Row],[Platinum cost]]+TblImps[[#This Row],[P1]]-TblProd[[#This Row],[Bank Plat]]</f>
        <v>-23740</v>
      </c>
      <c r="AV71" s="69" t="n">
        <f aca="false">TblConstr[[#This Row],[Total Lum Cost]]+TblImps[[#This Row],[L1]]-TblProd[[#This Row],[Bank Lumber]] + Military!$CL$25*TblMili[[#This Row],[Sec. rec. Cost]]</f>
        <v>-10800</v>
      </c>
      <c r="AW71" s="69" t="n">
        <f aca="false">TblMagic[[#This Row],[Mana cost]] + Military!$CL$26*TblMili[[#This Row],[Sec. rec. Cost]]</f>
        <v>0</v>
      </c>
      <c r="AX71" s="69" t="n">
        <f aca="false">Military!$CL$24*TblMili[[#This Row],[Sec. rec. Cost]]+TblImps[[#This Row],[O1]]-TblProd[[#This Row],[Bank Ore]]</f>
        <v>0</v>
      </c>
      <c r="AY71" s="69" t="n">
        <f aca="false">TblImps[[#This Row],[G1]]-TblProd[[#This Row],[Bank Gems]]</f>
        <v>0</v>
      </c>
      <c r="AZ71" s="132"/>
      <c r="BA71" s="33" t="n">
        <f aca="false">IF(TblProd[[#This Row],[Set Guard]]&lt;&gt;"",TblProd[[#This Row],[Set Guard]],OFFSET(TblProd[[#This Row],[Guard]],-1,0))</f>
        <v>0</v>
      </c>
      <c r="BB71" s="145"/>
      <c r="BC71" s="151" t="n">
        <f aca="false">TblProd[[#This Row],[Hour]]</f>
        <v>68</v>
      </c>
      <c r="BD71" s="152" t="n">
        <f aca="false">-TblProd[[#This Row],[Bank Lumber]] / 2 + -TblProd[[#This Row],[Bank Gems]] * 2 + -TblProd[[#This Row],[Bank Ore]] / 2</f>
        <v>0</v>
      </c>
      <c r="BE71" s="152"/>
      <c r="BF71" s="152"/>
      <c r="BG71" s="152"/>
      <c r="BH71" s="153" t="n">
        <f aca="false">TblProd[[#This Row],[Time]]</f>
        <v>45432.5416666667</v>
      </c>
      <c r="BI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J71" s="69" t="n">
        <f aca="false">TblProd[[#This Row],[Platinum]]</f>
        <v>1119594</v>
      </c>
      <c r="BK71" s="69" t="n">
        <f aca="false">TblProd[[#This Row],[Food]]</f>
        <v>466501</v>
      </c>
      <c r="BL71" s="69" t="n">
        <f aca="false">TblProd[[#This Row],[Lumber]]</f>
        <v>170404</v>
      </c>
      <c r="BM71" s="69" t="n">
        <f aca="false">TblProd[[#This Row],[Mana]]</f>
        <v>466955</v>
      </c>
      <c r="BN71" s="69" t="n">
        <f aca="false">TblProd[[#This Row],[Ore]]</f>
        <v>-357</v>
      </c>
    </row>
    <row r="72" customFormat="false" ht="12.75" hidden="false" customHeight="false" outlineLevel="0" collapsed="false">
      <c r="A72" s="128" t="n">
        <v>69</v>
      </c>
      <c r="B72" s="144" t="n">
        <f aca="false">TblImps[[#This Row],[Time]]</f>
        <v>45432.5833333333</v>
      </c>
      <c r="C72" s="145"/>
      <c r="D72" s="146"/>
      <c r="E72" s="69" t="n">
        <f aca="false">TblConstr[[#This Row],[Land]]</f>
        <v>646</v>
      </c>
      <c r="F72" s="69" t="n">
        <f aca="false">TblPop[[#This Row],[Peasants]]</f>
        <v>9865</v>
      </c>
      <c r="G72" s="69"/>
      <c r="H72" s="69" t="e">
        <f aca="false">TblMili[[#This Row],[Networth (2)]]</f>
        <v>#VALUE!</v>
      </c>
      <c r="I72" s="69" t="n">
        <f aca="false">OFFSET(TblProd[[#This Row],[Platinum]],-1,0)+OFFSET(TblProd[[#This Row],[Plat/hr]],-1,0) - TblProd[[#This Row],[Expenses Platinum]] + IF(TblProd[[#This Row],[Plat Bonus]],TblPop[[#This Row],[Peasants]]*4) + SUM(TblConstr[[#This Row],[Dest Hom]:[Dest Doc]])*TblConstr[[#This Row],[CPA Platinum -DB]]*tech_3_3_2*TblTech[[#This Row],[3-3]]</f>
        <v>1169451</v>
      </c>
      <c r="J72" s="69" t="n">
        <f aca="false">OFFSET(TblProd[[#This Row],[Food]],-1,0)+OFFSET(TblProd[[#This Row],[Food/hr]],-1,0)+ROUNDUP((TblConstr[[#This Row],[Farms]]*80+TblConstr[[#This Row],[Docks]]*35)*(1+OFFSET(TblProd[[#This Row],[Bonus Food/hr]],-1,0)),0)</f>
        <v>462095</v>
      </c>
      <c r="K72" s="69" t="n">
        <f aca="false">OFFSET(TblProd[[#This Row],[Lumber]],-1,0)+OFFSET(TblProd[[#This Row],[Lumber/hr]],-1,0) - TblProd[[#This Row],[Expenses Lumber]] + SUM(TblConstr[[#This Row],[Dest Hom]:[Dest Doc]])*TblConstr[[#This Row],[CPA Lumber -DB]]*tech_3_3_2*TblTech[[#This Row],[3-3]]</f>
        <v>180625</v>
      </c>
      <c r="L72" s="69" t="n">
        <f aca="false">OFFSET(TblProd[[#This Row],[Mana]],-1,0)+OFFSET(TblProd[[#This Row],[Mana/hr]],-1,0)- TblProd[[#This Row],[Expenses Mana]]</f>
        <v>458341</v>
      </c>
      <c r="M72" s="69" t="n">
        <f aca="false">OFFSET(TblProd[[#This Row],[Ore]],-1,0)+OFFSET(TblProd[[#This Row],[Ore/hr]],-1,0) -TblProd[[#This Row],[Expenses Ore]]</f>
        <v>-357</v>
      </c>
      <c r="N72" s="69" t="n">
        <f aca="false">OFFSET(TblProd[[#This Row],[Gems]],-1,0)+OFFSET(TblProd[[#This Row],[Gems/hr]],-1,0) - TblProd[[#This Row],[Expenses Gems]]</f>
        <v>-1000</v>
      </c>
      <c r="O72" s="69" t="n">
        <f aca="false">OFFSET(TblProd[[#This Row],[Boats]],-1,0)+OFFSET(TblProd[[#This Row],[Boats/hr]],-1,0)</f>
        <v>23.45</v>
      </c>
      <c r="P72" s="69" t="n">
        <f aca="false">OFFSET(TblProd[[#This Row],[Prestige]],-1,0)</f>
        <v>250</v>
      </c>
      <c r="Q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2" s="69" t="n">
        <f aca="false">MAX(3750,_xlfn.CEILING.MATH(TblProd[[#This Row],[Land]]*2.5+OFFSET(TblTech[[#This Row],[Sum of tech]],-1,0)*150))</f>
        <v>3750</v>
      </c>
      <c r="S72" s="132"/>
      <c r="T72" s="69" t="n">
        <f aca="false">ROUNDDOWN(TblProd[[#This Row],[Raw Plat/hr]]*(1+TblProd[[#This Row],[Bonus Plat/hr]]),0)</f>
        <v>46844</v>
      </c>
      <c r="U72" s="69" t="n">
        <f aca="false">ROUND(TblProd[[#This Row],[Raw Food/hr]]*(1+TblProd[[#This Row],[Bonus Food/hr]])-TblProd[[#This Row],[Food decay]]-TblProd[[#This Row],[Food eaten]],0)</f>
        <v>-4361</v>
      </c>
      <c r="V72" s="69" t="n">
        <f aca="false">ROUND(TblProd[[#This Row],[Raw Lumber/hr]]*(1+TblProd[[#This Row],[Bonus Lumber/hr]])-TblProd[[#This Row],[Lumber rot]],0)</f>
        <v>-681</v>
      </c>
      <c r="W72" s="69" t="n">
        <f aca="false">ROUND(TblProd[[#This Row],[Raw Mana/hr]]*(1+TblProd[[#This Row],[Bonus Mana/hr]])-TblProd[[#This Row],[Mana drain]],0)</f>
        <v>-8442</v>
      </c>
      <c r="X72" s="69" t="n">
        <f aca="false">ROUNDDOWN(TblProd[[#This Row],[Raw Ore/hr]]*(1+TblProd[[#This Row],[Bonux Ore/hr]]),0)</f>
        <v>0</v>
      </c>
      <c r="Y72" s="69" t="n">
        <f aca="false">ROUNDDOWN(TblProd[[#This Row],[Raw Gems/hr]]*(1+TblProd[[#This Row],[Bonus Gems/hr]]),0)</f>
        <v>0</v>
      </c>
      <c r="Z72" s="148" t="n">
        <f aca="false">OFFSET(TblConstr[[#This Row],[Tot Doc]],1,0)*dock_boats_hr * (1 + tech_4_1*TblTech[[#This Row],[4-1]])</f>
        <v>1.2</v>
      </c>
      <c r="AA72" s="146"/>
      <c r="AB72" s="69" t="n">
        <f aca="false">TblPop[[#This Row],[Peasants]]*tax*TblPop[[#This Row],[Employment]] + (Construction!AZ73+Construction!BX73)*(alch_plat+(Magic!AM72&gt;0)*alchemist_flame_bonus)</f>
        <v>42585.5</v>
      </c>
      <c r="AC72" s="69" t="n">
        <f aca="false">TblConstr[[#This Row],[Tot Farm]]*farm_food + TblConstr[[#This Row],[Tot Doc]]*dock_food</f>
        <v>3280</v>
      </c>
      <c r="AD72" s="69" t="n">
        <f aca="false">TblConstr[[#This Row],[Tot Ly]]*ly_lumber + TblConstr[[#This Row],[Tot Hav]]*fh_lumber</f>
        <v>1250</v>
      </c>
      <c r="AE72" s="69" t="n">
        <f aca="false">OFFSET(TblConstr[[#This Row],[Tot Tow]],1,0)*(tower_mana + tech_4_5*TblTech[[#This Row],[4-5]]) + OFFSET(TblConstr[[#This Row],[Tot WG]],1,0)*wg_mana_prod</f>
        <v>725</v>
      </c>
      <c r="AF72" s="69" t="n">
        <f aca="false">OFFSET(TblConstr[[#This Row],[Tot OM]],1,0)*om_ore+IF(race="Dwarf",ROUNDDOWN(TblMili[[#This Row],[Unit 2]]*0.4,0),)</f>
        <v>0</v>
      </c>
      <c r="AG72" s="69" t="n">
        <f aca="false">OFFSET(TblConstr[[#This Row],[Tot DM]],1,0)*dm_gems</f>
        <v>0</v>
      </c>
      <c r="AH72" s="132"/>
      <c r="AI72" s="149" t="n">
        <f aca="false">MIN(race_platinum_bonus + IF(TblMagic[[#This Row],[Active Alch Frost]]&gt;0,alch_frost_bonus,IF(Magic!AD72&gt;0,midas_bonus)) + TblImps[[#This Row],[Science]] - TblProd[[#This Row],[Guard]]*(0.02 + tech_5_7*TblTech[[#This Row],[5-7]]) + tech_1_5*TblTech[[#This Row],[1-5]] + tech_4_4*TblTech[[#This Row],[4-4]], 0.5)</f>
        <v>0.1</v>
      </c>
      <c r="AJ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2" s="149" t="n">
        <f aca="false">race_lumber_bonus+ IF(TblMagic[[#This Row],[Active Gaia''s Blessing]]&gt;0,gaias_blessing_lumber)+ tech_1_3*TblTech[[#This Row],[1-3]] + tech_1_6*TblTech[[#This Row],[1-6]] + tech_3_3*TblTech[[#This Row],[3-3]]</f>
        <v>-0.1</v>
      </c>
      <c r="AL72" s="149" t="n">
        <f aca="false">race_mana_bonus+ 0 + TblImps[[#This Row],[Towers]] + tech_1_2*TblTech[[#This Row],[1-2]] + tech_3_4*TblTech[[#This Row],[3-4]]</f>
        <v>0</v>
      </c>
      <c r="AM72" s="149" t="n">
        <f aca="false">race_ore_bonus + IF(TblMagic[[#This Row],[Active Miner''s Sight]]&gt;0,miners_sight_bonus,IF(TblMagic[[#This Row],[Active Mining Strength]]&gt;0,mining_strength_bonus)) +  tech_1_6*TblTech[[#This Row],[1-6]]</f>
        <v>0</v>
      </c>
      <c r="AN72" s="149" t="n">
        <f aca="false">race_gem_bonus+ tech_3_2*TblTech[[#This Row],[3-2]] + tech_4_3*TblTech[[#This Row],[4-3]] + tech_6_2*TblTech[[#This Row],[6-2]]</f>
        <v>0.15</v>
      </c>
      <c r="AO72" s="132"/>
      <c r="AP72" s="69" t="n">
        <f aca="false">TblProd[[#This Row],[Food]]*food_decay * (1 + tech_2_1*TblTech[[#This Row],[2-1]] + tech_2_8*TblTech[[#This Row],[2-8]])</f>
        <v>4620.95</v>
      </c>
      <c r="AQ72" s="69" t="n">
        <f aca="false">(1+race_food_consumption)*TblPop[[#This Row],[Total]]*food_per_person*(1+tech_1_10*TblTech[[#This Row],[1-10]]+tech_7_5*TblTech[[#This Row],[7-5]])</f>
        <v>3102.5</v>
      </c>
      <c r="AR72" s="69" t="n">
        <f aca="false">TblProd[[#This Row],[Lumber]]*lumber_rot * (1 + tech_2_1*TblTech[[#This Row],[2-1]] + tech_2_8*TblTech[[#This Row],[2-8]] + tech_5_2*TblTech[[#This Row],[5-2]])</f>
        <v>1806.25</v>
      </c>
      <c r="AS72" s="69" t="n">
        <f aca="false">TblProd[[#This Row],[Mana]]*mana_drain * (1 + tech_2_1*TblTech[[#This Row],[2-1]] + tech_2_8*TblTech[[#This Row],[2-8]])</f>
        <v>9166.82</v>
      </c>
      <c r="AT72" s="146"/>
      <c r="AU72" s="69" t="n">
        <f aca="false">TblExplore[[#This Row],[Platinum (2)]]+TblConstr[[#This Row],[Total Plat Cost]]+TblMili[[#This Row],[Plat Cost]]+TblRezone[[#This Row],[Platinum cost]]+TblImps[[#This Row],[P1]]-TblProd[[#This Row],[Bank Plat]]</f>
        <v>-2716</v>
      </c>
      <c r="AV72" s="69" t="n">
        <f aca="false">TblConstr[[#This Row],[Total Lum Cost]]+TblImps[[#This Row],[L1]]-TblProd[[#This Row],[Bank Lumber]] + Military!$CL$25*TblMili[[#This Row],[Sec. rec. Cost]]</f>
        <v>-10800</v>
      </c>
      <c r="AW72" s="69" t="n">
        <f aca="false">TblMagic[[#This Row],[Mana cost]] + Military!$CL$26*TblMili[[#This Row],[Sec. rec. Cost]]</f>
        <v>0</v>
      </c>
      <c r="AX72" s="69" t="n">
        <f aca="false">Military!$CL$24*TblMili[[#This Row],[Sec. rec. Cost]]+TblImps[[#This Row],[O1]]-TblProd[[#This Row],[Bank Ore]]</f>
        <v>0</v>
      </c>
      <c r="AY72" s="69" t="n">
        <f aca="false">TblImps[[#This Row],[G1]]-TblProd[[#This Row],[Bank Gems]]</f>
        <v>0</v>
      </c>
      <c r="AZ72" s="132"/>
      <c r="BA72" s="33" t="n">
        <f aca="false">IF(TblProd[[#This Row],[Set Guard]]&lt;&gt;"",TblProd[[#This Row],[Set Guard]],OFFSET(TblProd[[#This Row],[Guard]],-1,0))</f>
        <v>0</v>
      </c>
      <c r="BB72" s="145"/>
      <c r="BC72" s="151" t="n">
        <f aca="false">TblProd[[#This Row],[Hour]]</f>
        <v>69</v>
      </c>
      <c r="BD72" s="152" t="n">
        <f aca="false">-TblProd[[#This Row],[Bank Lumber]] / 2 + -TblProd[[#This Row],[Bank Gems]] * 2 + -TblProd[[#This Row],[Bank Ore]] / 2</f>
        <v>0</v>
      </c>
      <c r="BE72" s="152"/>
      <c r="BF72" s="152"/>
      <c r="BG72" s="152"/>
      <c r="BH72" s="153" t="n">
        <f aca="false">TblProd[[#This Row],[Time]]</f>
        <v>45432.5833333333</v>
      </c>
      <c r="BI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J72" s="69" t="n">
        <f aca="false">TblProd[[#This Row],[Platinum]]</f>
        <v>1169451</v>
      </c>
      <c r="BK72" s="69" t="n">
        <f aca="false">TblProd[[#This Row],[Food]]</f>
        <v>462095</v>
      </c>
      <c r="BL72" s="69" t="n">
        <f aca="false">TblProd[[#This Row],[Lumber]]</f>
        <v>180625</v>
      </c>
      <c r="BM72" s="69" t="n">
        <f aca="false">TblProd[[#This Row],[Mana]]</f>
        <v>458341</v>
      </c>
      <c r="BN72" s="69" t="n">
        <f aca="false">TblProd[[#This Row],[Ore]]</f>
        <v>-357</v>
      </c>
    </row>
    <row r="73" customFormat="false" ht="12.75" hidden="false" customHeight="false" outlineLevel="0" collapsed="false">
      <c r="A73" s="128" t="n">
        <v>70</v>
      </c>
      <c r="B73" s="144" t="n">
        <f aca="false">TblImps[[#This Row],[Time]]</f>
        <v>45432.625</v>
      </c>
      <c r="C73" s="145"/>
      <c r="D73" s="146"/>
      <c r="E73" s="69" t="n">
        <f aca="false">TblConstr[[#This Row],[Land]]</f>
        <v>646</v>
      </c>
      <c r="F73" s="69" t="n">
        <f aca="false">TblPop[[#This Row],[Peasants]]</f>
        <v>9766</v>
      </c>
      <c r="G73" s="69"/>
      <c r="H73" s="69" t="e">
        <f aca="false">TblMili[[#This Row],[Networth (2)]]</f>
        <v>#VALUE!</v>
      </c>
      <c r="I73" s="69" t="n">
        <f aca="false">OFFSET(TblProd[[#This Row],[Platinum]],-1,0)+OFFSET(TblProd[[#This Row],[Plat/hr]],-1,0) - TblProd[[#This Row],[Expenses Platinum]] + IF(TblProd[[#This Row],[Plat Bonus]],TblPop[[#This Row],[Peasants]]*4) + SUM(TblConstr[[#This Row],[Dest Hom]:[Dest Doc]])*TblConstr[[#This Row],[CPA Platinum -DB]]*tech_3_3_2*TblTech[[#This Row],[3-3]]</f>
        <v>1219619</v>
      </c>
      <c r="J73" s="69" t="n">
        <f aca="false">OFFSET(TblProd[[#This Row],[Food]],-1,0)+OFFSET(TblProd[[#This Row],[Food/hr]],-1,0)+ROUNDUP((TblConstr[[#This Row],[Farms]]*80+TblConstr[[#This Row],[Docks]]*35)*(1+OFFSET(TblProd[[#This Row],[Bonus Food/hr]],-1,0)),0)</f>
        <v>457734</v>
      </c>
      <c r="K73" s="69" t="n">
        <f aca="false">OFFSET(TblProd[[#This Row],[Lumber]],-1,0)+OFFSET(TblProd[[#This Row],[Lumber/hr]],-1,0) - TblProd[[#This Row],[Expenses Lumber]] + SUM(TblConstr[[#This Row],[Dest Hom]:[Dest Doc]])*TblConstr[[#This Row],[CPA Lumber -DB]]*tech_3_3_2*TblTech[[#This Row],[3-3]]</f>
        <v>190744</v>
      </c>
      <c r="L73" s="69" t="n">
        <f aca="false">OFFSET(TblProd[[#This Row],[Mana]],-1,0)+OFFSET(TblProd[[#This Row],[Mana/hr]],-1,0)- TblProd[[#This Row],[Expenses Mana]]</f>
        <v>449899</v>
      </c>
      <c r="M73" s="69" t="n">
        <f aca="false">OFFSET(TblProd[[#This Row],[Ore]],-1,0)+OFFSET(TblProd[[#This Row],[Ore/hr]],-1,0) -TblProd[[#This Row],[Expenses Ore]]</f>
        <v>-357</v>
      </c>
      <c r="N73" s="69" t="n">
        <f aca="false">OFFSET(TblProd[[#This Row],[Gems]],-1,0)+OFFSET(TblProd[[#This Row],[Gems/hr]],-1,0) - TblProd[[#This Row],[Expenses Gems]]</f>
        <v>-1000</v>
      </c>
      <c r="O73" s="69" t="n">
        <f aca="false">OFFSET(TblProd[[#This Row],[Boats]],-1,0)+OFFSET(TblProd[[#This Row],[Boats/hr]],-1,0)</f>
        <v>24.65</v>
      </c>
      <c r="P73" s="69" t="n">
        <f aca="false">OFFSET(TblProd[[#This Row],[Prestige]],-1,0)</f>
        <v>250</v>
      </c>
      <c r="Q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3" s="69" t="n">
        <f aca="false">MAX(3750,_xlfn.CEILING.MATH(TblProd[[#This Row],[Land]]*2.5+OFFSET(TblTech[[#This Row],[Sum of tech]],-1,0)*150))</f>
        <v>3750</v>
      </c>
      <c r="S73" s="132"/>
      <c r="T73" s="69" t="n">
        <f aca="false">ROUNDDOWN(TblProd[[#This Row],[Raw Plat/hr]]*(1+TblProd[[#This Row],[Bonus Plat/hr]]),0)</f>
        <v>46550</v>
      </c>
      <c r="U73" s="69" t="n">
        <f aca="false">ROUND(TblProd[[#This Row],[Raw Food/hr]]*(1+TblProd[[#This Row],[Bonus Food/hr]])-TblProd[[#This Row],[Food decay]]-TblProd[[#This Row],[Food eaten]],0)</f>
        <v>-4318</v>
      </c>
      <c r="V73" s="69" t="n">
        <f aca="false">ROUND(TblProd[[#This Row],[Raw Lumber/hr]]*(1+TblProd[[#This Row],[Bonus Lumber/hr]])-TblProd[[#This Row],[Lumber rot]],0)</f>
        <v>-782</v>
      </c>
      <c r="W73" s="69" t="n">
        <f aca="false">ROUND(TblProd[[#This Row],[Raw Mana/hr]]*(1+TblProd[[#This Row],[Bonus Mana/hr]])-TblProd[[#This Row],[Mana drain]],0)</f>
        <v>-8273</v>
      </c>
      <c r="X73" s="69" t="n">
        <f aca="false">ROUNDDOWN(TblProd[[#This Row],[Raw Ore/hr]]*(1+TblProd[[#This Row],[Bonux Ore/hr]]),0)</f>
        <v>0</v>
      </c>
      <c r="Y73" s="69" t="n">
        <f aca="false">ROUNDDOWN(TblProd[[#This Row],[Raw Gems/hr]]*(1+TblProd[[#This Row],[Bonus Gems/hr]]),0)</f>
        <v>0</v>
      </c>
      <c r="Z73" s="148" t="n">
        <f aca="false">OFFSET(TblConstr[[#This Row],[Tot Doc]],1,0)*dock_boats_hr * (1 + tech_4_1*TblTech[[#This Row],[4-1]])</f>
        <v>1.2</v>
      </c>
      <c r="AA73" s="146"/>
      <c r="AB73" s="69" t="n">
        <f aca="false">TblPop[[#This Row],[Peasants]]*tax*TblPop[[#This Row],[Employment]] + (Construction!AZ74+Construction!BX74)*(alch_plat+(Magic!AM73&gt;0)*alchemist_flame_bonus)</f>
        <v>42318.2</v>
      </c>
      <c r="AC73" s="69" t="n">
        <f aca="false">TblConstr[[#This Row],[Tot Farm]]*farm_food + TblConstr[[#This Row],[Tot Doc]]*dock_food</f>
        <v>3280</v>
      </c>
      <c r="AD73" s="69" t="n">
        <f aca="false">TblConstr[[#This Row],[Tot Ly]]*ly_lumber + TblConstr[[#This Row],[Tot Hav]]*fh_lumber</f>
        <v>1250</v>
      </c>
      <c r="AE73" s="69" t="n">
        <f aca="false">OFFSET(TblConstr[[#This Row],[Tot Tow]],1,0)*(tower_mana + tech_4_5*TblTech[[#This Row],[4-5]]) + OFFSET(TblConstr[[#This Row],[Tot WG]],1,0)*wg_mana_prod</f>
        <v>725</v>
      </c>
      <c r="AF73" s="69" t="n">
        <f aca="false">OFFSET(TblConstr[[#This Row],[Tot OM]],1,0)*om_ore+IF(race="Dwarf",ROUNDDOWN(TblMili[[#This Row],[Unit 2]]*0.4,0),)</f>
        <v>0</v>
      </c>
      <c r="AG73" s="69" t="n">
        <f aca="false">OFFSET(TblConstr[[#This Row],[Tot DM]],1,0)*dm_gems</f>
        <v>0</v>
      </c>
      <c r="AH73" s="132"/>
      <c r="AI73" s="149" t="n">
        <f aca="false">MIN(race_platinum_bonus + IF(TblMagic[[#This Row],[Active Alch Frost]]&gt;0,alch_frost_bonus,IF(Magic!AD73&gt;0,midas_bonus)) + TblImps[[#This Row],[Science]] - TblProd[[#This Row],[Guard]]*(0.02 + tech_5_7*TblTech[[#This Row],[5-7]]) + tech_1_5*TblTech[[#This Row],[1-5]] + tech_4_4*TblTech[[#This Row],[4-4]], 0.5)</f>
        <v>0.1</v>
      </c>
      <c r="AJ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3" s="149" t="n">
        <f aca="false">race_lumber_bonus+ IF(TblMagic[[#This Row],[Active Gaia''s Blessing]]&gt;0,gaias_blessing_lumber)+ tech_1_3*TblTech[[#This Row],[1-3]] + tech_1_6*TblTech[[#This Row],[1-6]] + tech_3_3*TblTech[[#This Row],[3-3]]</f>
        <v>-0.1</v>
      </c>
      <c r="AL73" s="149" t="n">
        <f aca="false">race_mana_bonus+ 0 + TblImps[[#This Row],[Towers]] + tech_1_2*TblTech[[#This Row],[1-2]] + tech_3_4*TblTech[[#This Row],[3-4]]</f>
        <v>0</v>
      </c>
      <c r="AM73" s="149" t="n">
        <f aca="false">race_ore_bonus + IF(TblMagic[[#This Row],[Active Miner''s Sight]]&gt;0,miners_sight_bonus,IF(TblMagic[[#This Row],[Active Mining Strength]]&gt;0,mining_strength_bonus)) +  tech_1_6*TblTech[[#This Row],[1-6]]</f>
        <v>0</v>
      </c>
      <c r="AN73" s="149" t="n">
        <f aca="false">race_gem_bonus+ tech_3_2*TblTech[[#This Row],[3-2]] + tech_4_3*TblTech[[#This Row],[4-3]] + tech_6_2*TblTech[[#This Row],[6-2]]</f>
        <v>0.15</v>
      </c>
      <c r="AO73" s="132"/>
      <c r="AP73" s="69" t="n">
        <f aca="false">TblProd[[#This Row],[Food]]*food_decay * (1 + tech_2_1*TblTech[[#This Row],[2-1]] + tech_2_8*TblTech[[#This Row],[2-8]])</f>
        <v>4577.34</v>
      </c>
      <c r="AQ73" s="69" t="n">
        <f aca="false">(1+race_food_consumption)*TblPop[[#This Row],[Total]]*food_per_person*(1+tech_1_10*TblTech[[#This Row],[1-10]]+tech_7_5*TblTech[[#This Row],[7-5]])</f>
        <v>3102.5</v>
      </c>
      <c r="AR73" s="69" t="n">
        <f aca="false">TblProd[[#This Row],[Lumber]]*lumber_rot * (1 + tech_2_1*TblTech[[#This Row],[2-1]] + tech_2_8*TblTech[[#This Row],[2-8]] + tech_5_2*TblTech[[#This Row],[5-2]])</f>
        <v>1907.44</v>
      </c>
      <c r="AS73" s="69" t="n">
        <f aca="false">TblProd[[#This Row],[Mana]]*mana_drain * (1 + tech_2_1*TblTech[[#This Row],[2-1]] + tech_2_8*TblTech[[#This Row],[2-8]])</f>
        <v>8997.98</v>
      </c>
      <c r="AT73" s="146"/>
      <c r="AU73" s="69" t="n">
        <f aca="false">TblExplore[[#This Row],[Platinum (2)]]+TblConstr[[#This Row],[Total Plat Cost]]+TblMili[[#This Row],[Plat Cost]]+TblRezone[[#This Row],[Platinum cost]]+TblImps[[#This Row],[P1]]-TblProd[[#This Row],[Bank Plat]]</f>
        <v>-3324</v>
      </c>
      <c r="AV73" s="69" t="n">
        <f aca="false">TblConstr[[#This Row],[Total Lum Cost]]+TblImps[[#This Row],[L1]]-TblProd[[#This Row],[Bank Lumber]] + Military!$CL$25*TblMili[[#This Row],[Sec. rec. Cost]]</f>
        <v>-10800</v>
      </c>
      <c r="AW73" s="69" t="n">
        <f aca="false">TblMagic[[#This Row],[Mana cost]] + Military!$CL$26*TblMili[[#This Row],[Sec. rec. Cost]]</f>
        <v>0</v>
      </c>
      <c r="AX73" s="69" t="n">
        <f aca="false">Military!$CL$24*TblMili[[#This Row],[Sec. rec. Cost]]+TblImps[[#This Row],[O1]]-TblProd[[#This Row],[Bank Ore]]</f>
        <v>0</v>
      </c>
      <c r="AY73" s="69" t="n">
        <f aca="false">TblImps[[#This Row],[G1]]-TblProd[[#This Row],[Bank Gems]]</f>
        <v>0</v>
      </c>
      <c r="AZ73" s="132"/>
      <c r="BA73" s="33" t="n">
        <f aca="false">IF(TblProd[[#This Row],[Set Guard]]&lt;&gt;"",TblProd[[#This Row],[Set Guard]],OFFSET(TblProd[[#This Row],[Guard]],-1,0))</f>
        <v>0</v>
      </c>
      <c r="BB73" s="145"/>
      <c r="BC73" s="151" t="n">
        <f aca="false">TblProd[[#This Row],[Hour]]</f>
        <v>70</v>
      </c>
      <c r="BD73" s="152" t="n">
        <f aca="false">-TblProd[[#This Row],[Bank Lumber]] / 2 + -TblProd[[#This Row],[Bank Gems]] * 2 + -TblProd[[#This Row],[Bank Ore]] / 2</f>
        <v>0</v>
      </c>
      <c r="BE73" s="152"/>
      <c r="BF73" s="152"/>
      <c r="BG73" s="152"/>
      <c r="BH73" s="153" t="n">
        <f aca="false">TblProd[[#This Row],[Time]]</f>
        <v>45432.625</v>
      </c>
      <c r="BI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J73" s="69" t="n">
        <f aca="false">TblProd[[#This Row],[Platinum]]</f>
        <v>1219619</v>
      </c>
      <c r="BK73" s="69" t="n">
        <f aca="false">TblProd[[#This Row],[Food]]</f>
        <v>457734</v>
      </c>
      <c r="BL73" s="69" t="n">
        <f aca="false">TblProd[[#This Row],[Lumber]]</f>
        <v>190744</v>
      </c>
      <c r="BM73" s="69" t="n">
        <f aca="false">TblProd[[#This Row],[Mana]]</f>
        <v>449899</v>
      </c>
      <c r="BN73" s="69" t="n">
        <f aca="false">TblProd[[#This Row],[Ore]]</f>
        <v>-357</v>
      </c>
    </row>
    <row r="74" customFormat="false" ht="12.75" hidden="false" customHeight="false" outlineLevel="0" collapsed="false">
      <c r="A74" s="128" t="n">
        <v>71</v>
      </c>
      <c r="B74" s="144" t="n">
        <f aca="false">TblImps[[#This Row],[Time]]</f>
        <v>45432.6666666667</v>
      </c>
      <c r="C74" s="145"/>
      <c r="D74" s="146"/>
      <c r="E74" s="69" t="n">
        <f aca="false">TblConstr[[#This Row],[Land]]</f>
        <v>646</v>
      </c>
      <c r="F74" s="69" t="n">
        <f aca="false">TblPop[[#This Row],[Peasants]]</f>
        <v>9668</v>
      </c>
      <c r="G74" s="69"/>
      <c r="H74" s="69" t="e">
        <f aca="false">TblMili[[#This Row],[Networth (2)]]</f>
        <v>#VALUE!</v>
      </c>
      <c r="I74" s="69" t="n">
        <f aca="false">OFFSET(TblProd[[#This Row],[Platinum]],-1,0)+OFFSET(TblProd[[#This Row],[Plat/hr]],-1,0) - TblProd[[#This Row],[Expenses Platinum]] + IF(TblProd[[#This Row],[Plat Bonus]],TblPop[[#This Row],[Peasants]]*4) + SUM(TblConstr[[#This Row],[Dest Hom]:[Dest Doc]])*TblConstr[[#This Row],[CPA Platinum -DB]]*tech_3_3_2*TblTech[[#This Row],[3-3]]</f>
        <v>1270101</v>
      </c>
      <c r="J74" s="69" t="n">
        <f aca="false">OFFSET(TblProd[[#This Row],[Food]],-1,0)+OFFSET(TblProd[[#This Row],[Food/hr]],-1,0)+ROUNDUP((TblConstr[[#This Row],[Farms]]*80+TblConstr[[#This Row],[Docks]]*35)*(1+OFFSET(TblProd[[#This Row],[Bonus Food/hr]],-1,0)),0)</f>
        <v>453416</v>
      </c>
      <c r="K74" s="69" t="n">
        <f aca="false">OFFSET(TblProd[[#This Row],[Lumber]],-1,0)+OFFSET(TblProd[[#This Row],[Lumber/hr]],-1,0) - TblProd[[#This Row],[Expenses Lumber]] + SUM(TblConstr[[#This Row],[Dest Hom]:[Dest Doc]])*TblConstr[[#This Row],[CPA Lumber -DB]]*tech_3_3_2*TblTech[[#This Row],[3-3]]</f>
        <v>200762</v>
      </c>
      <c r="L74" s="69" t="n">
        <f aca="false">OFFSET(TblProd[[#This Row],[Mana]],-1,0)+OFFSET(TblProd[[#This Row],[Mana/hr]],-1,0)- TblProd[[#This Row],[Expenses Mana]]</f>
        <v>441626</v>
      </c>
      <c r="M74" s="69" t="n">
        <f aca="false">OFFSET(TblProd[[#This Row],[Ore]],-1,0)+OFFSET(TblProd[[#This Row],[Ore/hr]],-1,0) -TblProd[[#This Row],[Expenses Ore]]</f>
        <v>-357</v>
      </c>
      <c r="N74" s="69" t="n">
        <f aca="false">OFFSET(TblProd[[#This Row],[Gems]],-1,0)+OFFSET(TblProd[[#This Row],[Gems/hr]],-1,0) - TblProd[[#This Row],[Expenses Gems]]</f>
        <v>-1000</v>
      </c>
      <c r="O74" s="69" t="n">
        <f aca="false">OFFSET(TblProd[[#This Row],[Boats]],-1,0)+OFFSET(TblProd[[#This Row],[Boats/hr]],-1,0)</f>
        <v>25.85</v>
      </c>
      <c r="P74" s="69" t="n">
        <f aca="false">OFFSET(TblProd[[#This Row],[Prestige]],-1,0)</f>
        <v>250</v>
      </c>
      <c r="Q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4" s="69" t="n">
        <f aca="false">MAX(3750,_xlfn.CEILING.MATH(TblProd[[#This Row],[Land]]*2.5+OFFSET(TblTech[[#This Row],[Sum of tech]],-1,0)*150))</f>
        <v>3750</v>
      </c>
      <c r="S74" s="132"/>
      <c r="T74" s="69" t="n">
        <f aca="false">ROUNDDOWN(TblProd[[#This Row],[Raw Plat/hr]]*(1+TblProd[[#This Row],[Bonus Plat/hr]]),0)</f>
        <v>46258</v>
      </c>
      <c r="U74" s="69" t="n">
        <f aca="false">ROUND(TblProd[[#This Row],[Raw Food/hr]]*(1+TblProd[[#This Row],[Bonus Food/hr]])-TblProd[[#This Row],[Food decay]]-TblProd[[#This Row],[Food eaten]],0)</f>
        <v>-4275</v>
      </c>
      <c r="V74" s="69" t="n">
        <f aca="false">ROUND(TblProd[[#This Row],[Raw Lumber/hr]]*(1+TblProd[[#This Row],[Bonus Lumber/hr]])-TblProd[[#This Row],[Lumber rot]],0)</f>
        <v>-883</v>
      </c>
      <c r="W74" s="69" t="n">
        <f aca="false">ROUND(TblProd[[#This Row],[Raw Mana/hr]]*(1+TblProd[[#This Row],[Bonus Mana/hr]])-TblProd[[#This Row],[Mana drain]],0)</f>
        <v>-8108</v>
      </c>
      <c r="X74" s="69" t="n">
        <f aca="false">ROUNDDOWN(TblProd[[#This Row],[Raw Ore/hr]]*(1+TblProd[[#This Row],[Bonux Ore/hr]]),0)</f>
        <v>0</v>
      </c>
      <c r="Y74" s="69" t="n">
        <f aca="false">ROUNDDOWN(TblProd[[#This Row],[Raw Gems/hr]]*(1+TblProd[[#This Row],[Bonus Gems/hr]]),0)</f>
        <v>0</v>
      </c>
      <c r="Z74" s="148" t="n">
        <f aca="false">OFFSET(TblConstr[[#This Row],[Tot Doc]],1,0)*dock_boats_hr * (1 + tech_4_1*TblTech[[#This Row],[4-1]])</f>
        <v>1.2</v>
      </c>
      <c r="AA74" s="146"/>
      <c r="AB74" s="69" t="n">
        <f aca="false">TblPop[[#This Row],[Peasants]]*tax*TblPop[[#This Row],[Employment]] + (Construction!AZ75+Construction!BX75)*(alch_plat+(Magic!AM74&gt;0)*alchemist_flame_bonus)</f>
        <v>42053.6</v>
      </c>
      <c r="AC74" s="69" t="n">
        <f aca="false">TblConstr[[#This Row],[Tot Farm]]*farm_food + TblConstr[[#This Row],[Tot Doc]]*dock_food</f>
        <v>3280</v>
      </c>
      <c r="AD74" s="69" t="n">
        <f aca="false">TblConstr[[#This Row],[Tot Ly]]*ly_lumber + TblConstr[[#This Row],[Tot Hav]]*fh_lumber</f>
        <v>1250</v>
      </c>
      <c r="AE74" s="69" t="n">
        <f aca="false">OFFSET(TblConstr[[#This Row],[Tot Tow]],1,0)*(tower_mana + tech_4_5*TblTech[[#This Row],[4-5]]) + OFFSET(TblConstr[[#This Row],[Tot WG]],1,0)*wg_mana_prod</f>
        <v>725</v>
      </c>
      <c r="AF74" s="69" t="n">
        <f aca="false">OFFSET(TblConstr[[#This Row],[Tot OM]],1,0)*om_ore+IF(race="Dwarf",ROUNDDOWN(TblMili[[#This Row],[Unit 2]]*0.4,0),)</f>
        <v>0</v>
      </c>
      <c r="AG74" s="69" t="n">
        <f aca="false">OFFSET(TblConstr[[#This Row],[Tot DM]],1,0)*dm_gems</f>
        <v>0</v>
      </c>
      <c r="AH74" s="132"/>
      <c r="AI74" s="149" t="n">
        <f aca="false">MIN(race_platinum_bonus + IF(TblMagic[[#This Row],[Active Alch Frost]]&gt;0,alch_frost_bonus,IF(Magic!AD74&gt;0,midas_bonus)) + TblImps[[#This Row],[Science]] - TblProd[[#This Row],[Guard]]*(0.02 + tech_5_7*TblTech[[#This Row],[5-7]]) + tech_1_5*TblTech[[#This Row],[1-5]] + tech_4_4*TblTech[[#This Row],[4-4]], 0.5)</f>
        <v>0.1</v>
      </c>
      <c r="AJ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4" s="149" t="n">
        <f aca="false">race_lumber_bonus+ IF(TblMagic[[#This Row],[Active Gaia''s Blessing]]&gt;0,gaias_blessing_lumber)+ tech_1_3*TblTech[[#This Row],[1-3]] + tech_1_6*TblTech[[#This Row],[1-6]] + tech_3_3*TblTech[[#This Row],[3-3]]</f>
        <v>-0.1</v>
      </c>
      <c r="AL74" s="149" t="n">
        <f aca="false">race_mana_bonus+ 0 + TblImps[[#This Row],[Towers]] + tech_1_2*TblTech[[#This Row],[1-2]] + tech_3_4*TblTech[[#This Row],[3-4]]</f>
        <v>0</v>
      </c>
      <c r="AM74" s="149" t="n">
        <f aca="false">race_ore_bonus + IF(TblMagic[[#This Row],[Active Miner''s Sight]]&gt;0,miners_sight_bonus,IF(TblMagic[[#This Row],[Active Mining Strength]]&gt;0,mining_strength_bonus)) +  tech_1_6*TblTech[[#This Row],[1-6]]</f>
        <v>0</v>
      </c>
      <c r="AN74" s="149" t="n">
        <f aca="false">race_gem_bonus+ tech_3_2*TblTech[[#This Row],[3-2]] + tech_4_3*TblTech[[#This Row],[4-3]] + tech_6_2*TblTech[[#This Row],[6-2]]</f>
        <v>0.15</v>
      </c>
      <c r="AO74" s="132"/>
      <c r="AP74" s="69" t="n">
        <f aca="false">TblProd[[#This Row],[Food]]*food_decay * (1 + tech_2_1*TblTech[[#This Row],[2-1]] + tech_2_8*TblTech[[#This Row],[2-8]])</f>
        <v>4534.16</v>
      </c>
      <c r="AQ74" s="69" t="n">
        <f aca="false">(1+race_food_consumption)*TblPop[[#This Row],[Total]]*food_per_person*(1+tech_1_10*TblTech[[#This Row],[1-10]]+tech_7_5*TblTech[[#This Row],[7-5]])</f>
        <v>3102.5</v>
      </c>
      <c r="AR74" s="69" t="n">
        <f aca="false">TblProd[[#This Row],[Lumber]]*lumber_rot * (1 + tech_2_1*TblTech[[#This Row],[2-1]] + tech_2_8*TblTech[[#This Row],[2-8]] + tech_5_2*TblTech[[#This Row],[5-2]])</f>
        <v>2007.62</v>
      </c>
      <c r="AS74" s="69" t="n">
        <f aca="false">TblProd[[#This Row],[Mana]]*mana_drain * (1 + tech_2_1*TblTech[[#This Row],[2-1]] + tech_2_8*TblTech[[#This Row],[2-8]])</f>
        <v>8832.52</v>
      </c>
      <c r="AT74" s="146"/>
      <c r="AU74" s="69" t="n">
        <f aca="false">TblExplore[[#This Row],[Platinum (2)]]+TblConstr[[#This Row],[Total Plat Cost]]+TblMili[[#This Row],[Plat Cost]]+TblRezone[[#This Row],[Platinum cost]]+TblImps[[#This Row],[P1]]-TblProd[[#This Row],[Bank Plat]]</f>
        <v>-3932</v>
      </c>
      <c r="AV74" s="69" t="n">
        <f aca="false">TblConstr[[#This Row],[Total Lum Cost]]+TblImps[[#This Row],[L1]]-TblProd[[#This Row],[Bank Lumber]] + Military!$CL$25*TblMili[[#This Row],[Sec. rec. Cost]]</f>
        <v>-10800</v>
      </c>
      <c r="AW74" s="69" t="n">
        <f aca="false">TblMagic[[#This Row],[Mana cost]] + Military!$CL$26*TblMili[[#This Row],[Sec. rec. Cost]]</f>
        <v>0</v>
      </c>
      <c r="AX74" s="69" t="n">
        <f aca="false">Military!$CL$24*TblMili[[#This Row],[Sec. rec. Cost]]+TblImps[[#This Row],[O1]]-TblProd[[#This Row],[Bank Ore]]</f>
        <v>0</v>
      </c>
      <c r="AY74" s="69" t="n">
        <f aca="false">TblImps[[#This Row],[G1]]-TblProd[[#This Row],[Bank Gems]]</f>
        <v>0</v>
      </c>
      <c r="AZ74" s="132"/>
      <c r="BA74" s="33" t="n">
        <f aca="false">IF(TblProd[[#This Row],[Set Guard]]&lt;&gt;"",TblProd[[#This Row],[Set Guard]],OFFSET(TblProd[[#This Row],[Guard]],-1,0))</f>
        <v>0</v>
      </c>
      <c r="BB74" s="145"/>
      <c r="BC74" s="151" t="n">
        <f aca="false">TblProd[[#This Row],[Hour]]</f>
        <v>71</v>
      </c>
      <c r="BD74" s="152" t="n">
        <f aca="false">-TblProd[[#This Row],[Bank Lumber]] / 2 + -TblProd[[#This Row],[Bank Gems]] * 2 + -TblProd[[#This Row],[Bank Ore]] / 2</f>
        <v>0</v>
      </c>
      <c r="BE74" s="152"/>
      <c r="BF74" s="152"/>
      <c r="BG74" s="152"/>
      <c r="BH74" s="153" t="n">
        <f aca="false">TblProd[[#This Row],[Time]]</f>
        <v>45432.6666666667</v>
      </c>
      <c r="BI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J74" s="69" t="n">
        <f aca="false">TblProd[[#This Row],[Platinum]]</f>
        <v>1270101</v>
      </c>
      <c r="BK74" s="69" t="n">
        <f aca="false">TblProd[[#This Row],[Food]]</f>
        <v>453416</v>
      </c>
      <c r="BL74" s="69" t="n">
        <f aca="false">TblProd[[#This Row],[Lumber]]</f>
        <v>200762</v>
      </c>
      <c r="BM74" s="69" t="n">
        <f aca="false">TblProd[[#This Row],[Mana]]</f>
        <v>441626</v>
      </c>
      <c r="BN74" s="69" t="n">
        <f aca="false">TblProd[[#This Row],[Ore]]</f>
        <v>-357</v>
      </c>
    </row>
    <row r="75" customFormat="false" ht="12.75" hidden="false" customHeight="false" outlineLevel="0" collapsed="false">
      <c r="A75" s="128" t="n">
        <v>72</v>
      </c>
      <c r="B75" s="144" t="n">
        <f aca="false">TblImps[[#This Row],[Time]]</f>
        <v>45432.7083333333</v>
      </c>
      <c r="C75" s="145"/>
      <c r="D75" s="146"/>
      <c r="E75" s="69" t="n">
        <f aca="false">TblConstr[[#This Row],[Land]]</f>
        <v>646</v>
      </c>
      <c r="F75" s="69" t="n">
        <f aca="false">TblPop[[#This Row],[Peasants]]</f>
        <v>9571</v>
      </c>
      <c r="G75" s="69"/>
      <c r="H75" s="69" t="e">
        <f aca="false">TblMili[[#This Row],[Networth (2)]]</f>
        <v>#VALUE!</v>
      </c>
      <c r="I75" s="69" t="n">
        <f aca="false">OFFSET(TblProd[[#This Row],[Platinum]],-1,0)+OFFSET(TblProd[[#This Row],[Plat/hr]],-1,0) - TblProd[[#This Row],[Expenses Platinum]] + IF(TblProd[[#This Row],[Plat Bonus]],TblPop[[#This Row],[Peasants]]*4) + SUM(TblConstr[[#This Row],[Dest Hom]:[Dest Doc]])*TblConstr[[#This Row],[CPA Platinum -DB]]*tech_3_3_2*TblTech[[#This Row],[3-3]]</f>
        <v>1320899</v>
      </c>
      <c r="J75" s="69" t="n">
        <f aca="false">OFFSET(TblProd[[#This Row],[Food]],-1,0)+OFFSET(TblProd[[#This Row],[Food/hr]],-1,0)+ROUNDUP((TblConstr[[#This Row],[Farms]]*80+TblConstr[[#This Row],[Docks]]*35)*(1+OFFSET(TblProd[[#This Row],[Bonus Food/hr]],-1,0)),0)</f>
        <v>449141</v>
      </c>
      <c r="K75" s="69" t="n">
        <f aca="false">OFFSET(TblProd[[#This Row],[Lumber]],-1,0)+OFFSET(TblProd[[#This Row],[Lumber/hr]],-1,0) - TblProd[[#This Row],[Expenses Lumber]] + SUM(TblConstr[[#This Row],[Dest Hom]:[Dest Doc]])*TblConstr[[#This Row],[CPA Lumber -DB]]*tech_3_3_2*TblTech[[#This Row],[3-3]]</f>
        <v>210679</v>
      </c>
      <c r="L75" s="69" t="n">
        <f aca="false">OFFSET(TblProd[[#This Row],[Mana]],-1,0)+OFFSET(TblProd[[#This Row],[Mana/hr]],-1,0)- TblProd[[#This Row],[Expenses Mana]]</f>
        <v>433518</v>
      </c>
      <c r="M75" s="69" t="n">
        <f aca="false">OFFSET(TblProd[[#This Row],[Ore]],-1,0)+OFFSET(TblProd[[#This Row],[Ore/hr]],-1,0) -TblProd[[#This Row],[Expenses Ore]]</f>
        <v>-357</v>
      </c>
      <c r="N75" s="69" t="n">
        <f aca="false">OFFSET(TblProd[[#This Row],[Gems]],-1,0)+OFFSET(TblProd[[#This Row],[Gems/hr]],-1,0) - TblProd[[#This Row],[Expenses Gems]]</f>
        <v>-1000</v>
      </c>
      <c r="O75" s="69" t="n">
        <f aca="false">OFFSET(TblProd[[#This Row],[Boats]],-1,0)+OFFSET(TblProd[[#This Row],[Boats/hr]],-1,0)</f>
        <v>27.05</v>
      </c>
      <c r="P75" s="69" t="n">
        <f aca="false">OFFSET(TblProd[[#This Row],[Prestige]],-1,0)</f>
        <v>250</v>
      </c>
      <c r="Q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5" s="69" t="n">
        <f aca="false">MAX(3750,_xlfn.CEILING.MATH(TblProd[[#This Row],[Land]]*2.5+OFFSET(TblTech[[#This Row],[Sum of tech]],-1,0)*150))</f>
        <v>3750</v>
      </c>
      <c r="S75" s="132"/>
      <c r="T75" s="69" t="n">
        <f aca="false">ROUNDDOWN(TblProd[[#This Row],[Raw Plat/hr]]*(1+TblProd[[#This Row],[Bonus Plat/hr]]),0)</f>
        <v>45970</v>
      </c>
      <c r="U75" s="69" t="n">
        <f aca="false">ROUND(TblProd[[#This Row],[Raw Food/hr]]*(1+TblProd[[#This Row],[Bonus Food/hr]])-TblProd[[#This Row],[Food decay]]-TblProd[[#This Row],[Food eaten]],0)</f>
        <v>-4232</v>
      </c>
      <c r="V75" s="69" t="n">
        <f aca="false">ROUND(TblProd[[#This Row],[Raw Lumber/hr]]*(1+TblProd[[#This Row],[Bonus Lumber/hr]])-TblProd[[#This Row],[Lumber rot]],0)</f>
        <v>-982</v>
      </c>
      <c r="W75" s="69" t="n">
        <f aca="false">ROUND(TblProd[[#This Row],[Raw Mana/hr]]*(1+TblProd[[#This Row],[Bonus Mana/hr]])-TblProd[[#This Row],[Mana drain]],0)</f>
        <v>-7945</v>
      </c>
      <c r="X75" s="69" t="n">
        <f aca="false">ROUNDDOWN(TblProd[[#This Row],[Raw Ore/hr]]*(1+TblProd[[#This Row],[Bonux Ore/hr]]),0)</f>
        <v>0</v>
      </c>
      <c r="Y75" s="69" t="n">
        <f aca="false">ROUNDDOWN(TblProd[[#This Row],[Raw Gems/hr]]*(1+TblProd[[#This Row],[Bonus Gems/hr]]),0)</f>
        <v>0</v>
      </c>
      <c r="Z75" s="148" t="n">
        <f aca="false">OFFSET(TblConstr[[#This Row],[Tot Doc]],1,0)*dock_boats_hr * (1 + tech_4_1*TblTech[[#This Row],[4-1]])</f>
        <v>1.2</v>
      </c>
      <c r="AA75" s="146"/>
      <c r="AB75" s="69" t="n">
        <f aca="false">TblPop[[#This Row],[Peasants]]*tax*TblPop[[#This Row],[Employment]] + (Construction!AZ76+Construction!BX76)*(alch_plat+(Magic!AM75&gt;0)*alchemist_flame_bonus)</f>
        <v>41791.7</v>
      </c>
      <c r="AC75" s="69" t="n">
        <f aca="false">TblConstr[[#This Row],[Tot Farm]]*farm_food + TblConstr[[#This Row],[Tot Doc]]*dock_food</f>
        <v>3280</v>
      </c>
      <c r="AD75" s="69" t="n">
        <f aca="false">TblConstr[[#This Row],[Tot Ly]]*ly_lumber + TblConstr[[#This Row],[Tot Hav]]*fh_lumber</f>
        <v>1250</v>
      </c>
      <c r="AE75" s="69" t="n">
        <f aca="false">OFFSET(TblConstr[[#This Row],[Tot Tow]],1,0)*(tower_mana + tech_4_5*TblTech[[#This Row],[4-5]]) + OFFSET(TblConstr[[#This Row],[Tot WG]],1,0)*wg_mana_prod</f>
        <v>725</v>
      </c>
      <c r="AF75" s="69" t="n">
        <f aca="false">OFFSET(TblConstr[[#This Row],[Tot OM]],1,0)*om_ore+IF(race="Dwarf",ROUNDDOWN(TblMili[[#This Row],[Unit 2]]*0.4,0),)</f>
        <v>0</v>
      </c>
      <c r="AG75" s="69" t="n">
        <f aca="false">OFFSET(TblConstr[[#This Row],[Tot DM]],1,0)*dm_gems</f>
        <v>0</v>
      </c>
      <c r="AH75" s="132"/>
      <c r="AI75" s="149" t="n">
        <f aca="false">MIN(race_platinum_bonus + IF(TblMagic[[#This Row],[Active Alch Frost]]&gt;0,alch_frost_bonus,IF(Magic!AD75&gt;0,midas_bonus)) + TblImps[[#This Row],[Science]] - TblProd[[#This Row],[Guard]]*(0.02 + tech_5_7*TblTech[[#This Row],[5-7]]) + tech_1_5*TblTech[[#This Row],[1-5]] + tech_4_4*TblTech[[#This Row],[4-4]], 0.5)</f>
        <v>0.1</v>
      </c>
      <c r="AJ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5" s="149" t="n">
        <f aca="false">race_lumber_bonus+ IF(TblMagic[[#This Row],[Active Gaia''s Blessing]]&gt;0,gaias_blessing_lumber)+ tech_1_3*TblTech[[#This Row],[1-3]] + tech_1_6*TblTech[[#This Row],[1-6]] + tech_3_3*TblTech[[#This Row],[3-3]]</f>
        <v>-0.1</v>
      </c>
      <c r="AL75" s="149" t="n">
        <f aca="false">race_mana_bonus+ 0 + TblImps[[#This Row],[Towers]] + tech_1_2*TblTech[[#This Row],[1-2]] + tech_3_4*TblTech[[#This Row],[3-4]]</f>
        <v>0</v>
      </c>
      <c r="AM75" s="149" t="n">
        <f aca="false">race_ore_bonus + IF(TblMagic[[#This Row],[Active Miner''s Sight]]&gt;0,miners_sight_bonus,IF(TblMagic[[#This Row],[Active Mining Strength]]&gt;0,mining_strength_bonus)) +  tech_1_6*TblTech[[#This Row],[1-6]]</f>
        <v>0</v>
      </c>
      <c r="AN75" s="149" t="n">
        <f aca="false">race_gem_bonus+ tech_3_2*TblTech[[#This Row],[3-2]] + tech_4_3*TblTech[[#This Row],[4-3]] + tech_6_2*TblTech[[#This Row],[6-2]]</f>
        <v>0.15</v>
      </c>
      <c r="AO75" s="132"/>
      <c r="AP75" s="69" t="n">
        <f aca="false">TblProd[[#This Row],[Food]]*food_decay * (1 + tech_2_1*TblTech[[#This Row],[2-1]] + tech_2_8*TblTech[[#This Row],[2-8]])</f>
        <v>4491.41</v>
      </c>
      <c r="AQ75" s="69" t="n">
        <f aca="false">(1+race_food_consumption)*TblPop[[#This Row],[Total]]*food_per_person*(1+tech_1_10*TblTech[[#This Row],[1-10]]+tech_7_5*TblTech[[#This Row],[7-5]])</f>
        <v>3102.5</v>
      </c>
      <c r="AR75" s="69" t="n">
        <f aca="false">TblProd[[#This Row],[Lumber]]*lumber_rot * (1 + tech_2_1*TblTech[[#This Row],[2-1]] + tech_2_8*TblTech[[#This Row],[2-8]] + tech_5_2*TblTech[[#This Row],[5-2]])</f>
        <v>2106.79</v>
      </c>
      <c r="AS75" s="69" t="n">
        <f aca="false">TblProd[[#This Row],[Mana]]*mana_drain * (1 + tech_2_1*TblTech[[#This Row],[2-1]] + tech_2_8*TblTech[[#This Row],[2-8]])</f>
        <v>8670.36</v>
      </c>
      <c r="AT75" s="146"/>
      <c r="AU75" s="69" t="n">
        <f aca="false">TblExplore[[#This Row],[Platinum (2)]]+TblConstr[[#This Row],[Total Plat Cost]]+TblMili[[#This Row],[Plat Cost]]+TblRezone[[#This Row],[Platinum cost]]+TblImps[[#This Row],[P1]]-TblProd[[#This Row],[Bank Plat]]</f>
        <v>-4540</v>
      </c>
      <c r="AV75" s="69" t="n">
        <f aca="false">TblConstr[[#This Row],[Total Lum Cost]]+TblImps[[#This Row],[L1]]-TblProd[[#This Row],[Bank Lumber]] + Military!$CL$25*TblMili[[#This Row],[Sec. rec. Cost]]</f>
        <v>-10800</v>
      </c>
      <c r="AW75" s="69" t="n">
        <f aca="false">TblMagic[[#This Row],[Mana cost]] + Military!$CL$26*TblMili[[#This Row],[Sec. rec. Cost]]</f>
        <v>0</v>
      </c>
      <c r="AX75" s="69" t="n">
        <f aca="false">Military!$CL$24*TblMili[[#This Row],[Sec. rec. Cost]]+TblImps[[#This Row],[O1]]-TblProd[[#This Row],[Bank Ore]]</f>
        <v>0</v>
      </c>
      <c r="AY75" s="69" t="n">
        <f aca="false">TblImps[[#This Row],[G1]]-TblProd[[#This Row],[Bank Gems]]</f>
        <v>0</v>
      </c>
      <c r="AZ75" s="132"/>
      <c r="BA75" s="33" t="n">
        <f aca="false">IF(TblProd[[#This Row],[Set Guard]]&lt;&gt;"",TblProd[[#This Row],[Set Guard]],OFFSET(TblProd[[#This Row],[Guard]],-1,0))</f>
        <v>0</v>
      </c>
      <c r="BB75" s="145"/>
      <c r="BC75" s="151" t="n">
        <f aca="false">TblProd[[#This Row],[Hour]]</f>
        <v>72</v>
      </c>
      <c r="BD75" s="152" t="n">
        <f aca="false">-TblProd[[#This Row],[Bank Lumber]] / 2 + -TblProd[[#This Row],[Bank Gems]] * 2 + -TblProd[[#This Row],[Bank Ore]] / 2</f>
        <v>0</v>
      </c>
      <c r="BE75" s="152"/>
      <c r="BF75" s="152"/>
      <c r="BG75" s="152"/>
      <c r="BH75" s="153" t="n">
        <f aca="false">TblProd[[#This Row],[Time]]</f>
        <v>45432.7083333333</v>
      </c>
      <c r="BI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J75" s="69" t="n">
        <f aca="false">TblProd[[#This Row],[Platinum]]</f>
        <v>1320899</v>
      </c>
      <c r="BK75" s="69" t="n">
        <f aca="false">TblProd[[#This Row],[Food]]</f>
        <v>449141</v>
      </c>
      <c r="BL75" s="69" t="n">
        <f aca="false">TblProd[[#This Row],[Lumber]]</f>
        <v>210679</v>
      </c>
      <c r="BM75" s="69" t="n">
        <f aca="false">TblProd[[#This Row],[Mana]]</f>
        <v>433518</v>
      </c>
      <c r="BN75" s="69" t="n">
        <f aca="false">TblProd[[#This Row],[Ore]]</f>
        <v>-357</v>
      </c>
    </row>
    <row r="76" s="31" customFormat="true" ht="12.75" hidden="false" customHeight="false" outlineLevel="0" collapsed="false">
      <c r="A76" s="154" t="s">
        <v>85</v>
      </c>
      <c r="B76" s="155" t="n">
        <f aca="false">TblImps[[#This Row],[Time]]</f>
        <v>45432.75</v>
      </c>
      <c r="C76" s="156"/>
      <c r="D76" s="157"/>
      <c r="E76" s="76" t="n">
        <f aca="false">TblConstr[[#This Row],[Land]]</f>
        <v>646</v>
      </c>
      <c r="F76" s="76" t="n">
        <f aca="false">TblPop[[#This Row],[Peasants]]</f>
        <v>9475</v>
      </c>
      <c r="G76" s="76"/>
      <c r="H76" s="76" t="e">
        <f aca="false">TblMili[[#This Row],[Networth (2)]]</f>
        <v>#VALUE!</v>
      </c>
      <c r="I76" s="76" t="n">
        <f aca="false">OFFSET(TblProd[[#This Row],[Platinum]],-1,0)+OFFSET(TblProd[[#This Row],[Plat/hr]],-1,0) - TblProd[[#This Row],[Expenses Platinum]] + IF(TblProd[[#This Row],[Plat Bonus]],TblPop[[#This Row],[Peasants]]*4) + SUM(TblConstr[[#This Row],[Dest Hom]:[Dest Doc]])*TblConstr[[#This Row],[CPA Platinum -DB]]*tech_3_3_2*TblTech[[#This Row],[3-3]]</f>
        <v>1372417</v>
      </c>
      <c r="J76" s="76" t="n">
        <f aca="false">OFFSET(TblProd[[#This Row],[Food]],-1,0)+OFFSET(TblProd[[#This Row],[Food/hr]],-1,0)+ROUNDUP((TblConstr[[#This Row],[Farms]]*80+TblConstr[[#This Row],[Docks]]*35)*(1+OFFSET(TblProd[[#This Row],[Bonus Food/hr]],-1,0)),0)</f>
        <v>444909</v>
      </c>
      <c r="K76" s="76" t="n">
        <f aca="false">OFFSET(TblProd[[#This Row],[Lumber]],-1,0)+OFFSET(TblProd[[#This Row],[Lumber/hr]],-1,0) - TblProd[[#This Row],[Expenses Lumber]] + SUM(TblConstr[[#This Row],[Dest Hom]:[Dest Doc]])*TblConstr[[#This Row],[CPA Lumber -DB]]*tech_3_3_2*TblTech[[#This Row],[3-3]]</f>
        <v>220497</v>
      </c>
      <c r="L76" s="76" t="n">
        <f aca="false">OFFSET(TblProd[[#This Row],[Mana]],-1,0)+OFFSET(TblProd[[#This Row],[Mana/hr]],-1,0)- TblProd[[#This Row],[Expenses Mana]]</f>
        <v>419113</v>
      </c>
      <c r="M76" s="76" t="n">
        <f aca="false">OFFSET(TblProd[[#This Row],[Ore]],-1,0)+OFFSET(TblProd[[#This Row],[Ore/hr]],-1,0) -TblProd[[#This Row],[Expenses Ore]]</f>
        <v>-357</v>
      </c>
      <c r="N76" s="76" t="n">
        <f aca="false">OFFSET(TblProd[[#This Row],[Gems]],-1,0)+OFFSET(TblProd[[#This Row],[Gems/hr]],-1,0) - TblProd[[#This Row],[Expenses Gems]]</f>
        <v>-1000</v>
      </c>
      <c r="O76" s="76" t="n">
        <f aca="false">OFFSET(TblProd[[#This Row],[Boats]],-1,0)+OFFSET(TblProd[[#This Row],[Boats/hr]],-1,0)</f>
        <v>28.25</v>
      </c>
      <c r="P76" s="76" t="n">
        <f aca="false">OFFSET(TblProd[[#This Row],[Prestige]],-1,0)</f>
        <v>250</v>
      </c>
      <c r="Q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6" s="69" t="n">
        <f aca="false">MAX(3750,_xlfn.CEILING.MATH(TblProd[[#This Row],[Land]]*2.5+OFFSET(TblTech[[#This Row],[Sum of tech]],-1,0)*150))</f>
        <v>3750</v>
      </c>
      <c r="T76" s="76" t="n">
        <f aca="false">ROUNDDOWN(TblProd[[#This Row],[Raw Plat/hr]]*(1+TblProd[[#This Row],[Bonus Plat/hr]]),0)</f>
        <v>45685</v>
      </c>
      <c r="U76" s="76" t="n">
        <f aca="false">ROUND(TblProd[[#This Row],[Raw Food/hr]]*(1+TblProd[[#This Row],[Bonus Food/hr]])-TblProd[[#This Row],[Food decay]]-TblProd[[#This Row],[Food eaten]],0)</f>
        <v>-4190</v>
      </c>
      <c r="V76" s="76" t="n">
        <f aca="false">ROUND(TblProd[[#This Row],[Raw Lumber/hr]]*(1+TblProd[[#This Row],[Bonus Lumber/hr]])-TblProd[[#This Row],[Lumber rot]],0)</f>
        <v>-1080</v>
      </c>
      <c r="W76" s="76" t="n">
        <f aca="false">ROUND(TblProd[[#This Row],[Raw Mana/hr]]*(1+TblProd[[#This Row],[Bonus Mana/hr]])-TblProd[[#This Row],[Mana drain]],0)</f>
        <v>-7657</v>
      </c>
      <c r="X76" s="76" t="n">
        <f aca="false">ROUNDDOWN(TblProd[[#This Row],[Raw Ore/hr]]*(1+TblProd[[#This Row],[Bonux Ore/hr]]),0)</f>
        <v>0</v>
      </c>
      <c r="Y76" s="76" t="n">
        <f aca="false">ROUNDDOWN(TblProd[[#This Row],[Raw Gems/hr]]*(1+TblProd[[#This Row],[Bonus Gems/hr]]),0)</f>
        <v>0</v>
      </c>
      <c r="Z76" s="158" t="n">
        <f aca="false">OFFSET(TblConstr[[#This Row],[Tot Doc]],1,0)*dock_boats_hr * (1 + tech_4_1*TblTech[[#This Row],[4-1]])</f>
        <v>1.2</v>
      </c>
      <c r="AA76" s="76"/>
      <c r="AB76" s="76" t="n">
        <f aca="false">TblPop[[#This Row],[Peasants]]*tax*TblPop[[#This Row],[Employment]] + (Construction!AZ77+Construction!BX77)*(alch_plat+(Magic!AM76&gt;0)*alchemist_flame_bonus)</f>
        <v>41532.5</v>
      </c>
      <c r="AC76" s="76" t="n">
        <f aca="false">TblConstr[[#This Row],[Tot Farm]]*farm_food + TblConstr[[#This Row],[Tot Doc]]*dock_food</f>
        <v>3280</v>
      </c>
      <c r="AD76" s="76" t="n">
        <f aca="false">TblConstr[[#This Row],[Tot Ly]]*ly_lumber + TblConstr[[#This Row],[Tot Hav]]*fh_lumber</f>
        <v>1250</v>
      </c>
      <c r="AE76" s="76" t="n">
        <f aca="false">OFFSET(TblConstr[[#This Row],[Tot Tow]],1,0)*(tower_mana + tech_4_5*TblTech[[#This Row],[4-5]]) + OFFSET(TblConstr[[#This Row],[Tot WG]],1,0)*wg_mana_prod</f>
        <v>725</v>
      </c>
      <c r="AF76" s="76" t="n">
        <f aca="false">OFFSET(TblConstr[[#This Row],[Tot OM]],1,0)*om_ore+IF(race="Dwarf",ROUNDDOWN(TblMili[[#This Row],[Unit 2]]*0.4,0),)</f>
        <v>0</v>
      </c>
      <c r="AG76" s="76" t="n">
        <f aca="false">OFFSET(TblConstr[[#This Row],[Tot DM]],1,0)*dm_gems</f>
        <v>0</v>
      </c>
      <c r="AI76" s="159" t="n">
        <f aca="false">MIN(race_platinum_bonus + IF(TblMagic[[#This Row],[Active Alch Frost]]&gt;0,alch_frost_bonus,IF(Magic!AD76&gt;0,midas_bonus)) + TblImps[[#This Row],[Science]] - TblProd[[#This Row],[Guard]]*(0.02 + tech_5_7*TblTech[[#This Row],[5-7]]) + tech_1_5*TblTech[[#This Row],[1-5]] + tech_4_4*TblTech[[#This Row],[4-4]], 0.5)</f>
        <v>0.1</v>
      </c>
      <c r="AJ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6" s="159" t="n">
        <f aca="false">race_lumber_bonus+ IF(TblMagic[[#This Row],[Active Gaia''s Blessing]]&gt;0,gaias_blessing_lumber)+ tech_1_3*TblTech[[#This Row],[1-3]] + tech_1_6*TblTech[[#This Row],[1-6]] + tech_3_3*TblTech[[#This Row],[3-3]]</f>
        <v>-0.1</v>
      </c>
      <c r="AL76" s="159" t="n">
        <f aca="false">race_mana_bonus+ 0 + TblImps[[#This Row],[Towers]] + tech_1_2*TblTech[[#This Row],[1-2]] + tech_3_4*TblTech[[#This Row],[3-4]]</f>
        <v>0</v>
      </c>
      <c r="AM76" s="159" t="n">
        <f aca="false">race_ore_bonus + IF(TblMagic[[#This Row],[Active Miner''s Sight]]&gt;0,miners_sight_bonus,IF(TblMagic[[#This Row],[Active Mining Strength]]&gt;0,mining_strength_bonus)) +  tech_1_6*TblTech[[#This Row],[1-6]]</f>
        <v>0</v>
      </c>
      <c r="AN76" s="159" t="n">
        <f aca="false">race_gem_bonus+ tech_3_2*TblTech[[#This Row],[3-2]] + tech_4_3*TblTech[[#This Row],[4-3]] + tech_6_2*TblTech[[#This Row],[6-2]]</f>
        <v>0.15</v>
      </c>
      <c r="AP76" s="76" t="n">
        <f aca="false">TblProd[[#This Row],[Food]]*food_decay * (1 + tech_2_1*TblTech[[#This Row],[2-1]] + tech_2_8*TblTech[[#This Row],[2-8]])</f>
        <v>4449.09</v>
      </c>
      <c r="AQ76" s="76" t="n">
        <f aca="false">(1+race_food_consumption)*TblPop[[#This Row],[Total]]*food_per_person*(1+tech_1_10*TblTech[[#This Row],[1-10]]+tech_7_5*TblTech[[#This Row],[7-5]])</f>
        <v>3102.5</v>
      </c>
      <c r="AR76" s="76" t="n">
        <f aca="false">TblProd[[#This Row],[Lumber]]*lumber_rot * (1 + tech_2_1*TblTech[[#This Row],[2-1]] + tech_2_8*TblTech[[#This Row],[2-8]] + tech_5_2*TblTech[[#This Row],[5-2]])</f>
        <v>2204.97</v>
      </c>
      <c r="AS76" s="76" t="n">
        <f aca="false">TblProd[[#This Row],[Mana]]*mana_drain * (1 + tech_2_1*TblTech[[#This Row],[2-1]] + tech_2_8*TblTech[[#This Row],[2-8]])</f>
        <v>8382.26</v>
      </c>
      <c r="AT76" s="76"/>
      <c r="AU76" s="76" t="n">
        <f aca="false">TblExplore[[#This Row],[Platinum (2)]]+TblConstr[[#This Row],[Total Plat Cost]]+TblMili[[#This Row],[Plat Cost]]+TblRezone[[#This Row],[Platinum cost]]+TblImps[[#This Row],[P1]]-TblProd[[#This Row],[Bank Plat]]</f>
        <v>-5548</v>
      </c>
      <c r="AV76" s="76" t="n">
        <f aca="false">TblConstr[[#This Row],[Total Lum Cost]]+TblImps[[#This Row],[L1]]-TblProd[[#This Row],[Bank Lumber]] + Military!$CL$25*TblMili[[#This Row],[Sec. rec. Cost]]</f>
        <v>-10800</v>
      </c>
      <c r="AW76" s="76" t="n">
        <f aca="false">TblMagic[[#This Row],[Mana cost]] + Military!$CL$26*TblMili[[#This Row],[Sec. rec. Cost]]</f>
        <v>6460</v>
      </c>
      <c r="AX76" s="76" t="n">
        <f aca="false">Military!$CL$24*TblMili[[#This Row],[Sec. rec. Cost]]+TblImps[[#This Row],[O1]]-TblProd[[#This Row],[Bank Ore]]</f>
        <v>0</v>
      </c>
      <c r="AY76" s="76" t="n">
        <f aca="false">TblImps[[#This Row],[G1]]-TblProd[[#This Row],[Bank Gems]]</f>
        <v>0</v>
      </c>
      <c r="BA76" s="137" t="n">
        <f aca="false">IF(TblProd[[#This Row],[Set Guard]]&lt;&gt;"",TblProd[[#This Row],[Set Guard]],OFFSET(TblProd[[#This Row],[Guard]],-1,0))</f>
        <v>0</v>
      </c>
      <c r="BB76" s="156"/>
      <c r="BC76" s="31" t="str">
        <f aca="false">TblProd[[#This Row],[Hour]]</f>
        <v>OOP</v>
      </c>
      <c r="BD76" s="161" t="n">
        <f aca="false">-TblProd[[#This Row],[Bank Lumber]] / 2 + -TblProd[[#This Row],[Bank Gems]] * 2 + -TblProd[[#This Row],[Bank Ore]] / 2</f>
        <v>0</v>
      </c>
      <c r="BE76" s="161"/>
      <c r="BF76" s="161"/>
      <c r="BG76" s="161"/>
      <c r="BH76" s="162" t="n">
        <f aca="false">TblProd[[#This Row],[Time]]</f>
        <v>45432.75</v>
      </c>
      <c r="BI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J76" s="76" t="n">
        <f aca="false">TblProd[[#This Row],[Platinum]]</f>
        <v>1372417</v>
      </c>
      <c r="BK76" s="76" t="n">
        <f aca="false">TblProd[[#This Row],[Food]]</f>
        <v>444909</v>
      </c>
      <c r="BL76" s="76" t="n">
        <f aca="false">TblProd[[#This Row],[Lumber]]</f>
        <v>220497</v>
      </c>
      <c r="BM76" s="76" t="n">
        <f aca="false">TblProd[[#This Row],[Mana]]</f>
        <v>419113</v>
      </c>
      <c r="BN76" s="76" t="n">
        <f aca="false">TblProd[[#This Row],[Ore]]</f>
        <v>-357</v>
      </c>
    </row>
    <row r="77" customFormat="false" ht="12.75" hidden="false" customHeight="false" outlineLevel="0" collapsed="false">
      <c r="A77" s="128" t="n">
        <v>2</v>
      </c>
      <c r="B77" s="144" t="n">
        <f aca="false">TblImps[[#This Row],[Time]]</f>
        <v>45432.7916666667</v>
      </c>
      <c r="C77" s="145"/>
      <c r="D77" s="146"/>
      <c r="E77" s="69" t="n">
        <f aca="false">TblConstr[[#This Row],[Land]]</f>
        <v>646</v>
      </c>
      <c r="F77" s="69" t="n">
        <f aca="false">TblPop[[#This Row],[Peasants]]</f>
        <v>9480</v>
      </c>
      <c r="G77" s="69"/>
      <c r="H77" s="69" t="e">
        <f aca="false">TblMili[[#This Row],[Networth (2)]]</f>
        <v>#VALUE!</v>
      </c>
      <c r="I77" s="69" t="n">
        <f aca="false">OFFSET(TblProd[[#This Row],[Platinum]],-1,0)+OFFSET(TblProd[[#This Row],[Plat/hr]],-1,0) - TblProd[[#This Row],[Expenses Platinum]] + IF(TblProd[[#This Row],[Plat Bonus]],TblPop[[#This Row],[Peasants]]*4) + SUM(TblConstr[[#This Row],[Dest Hom]:[Dest Doc]])*TblConstr[[#This Row],[CPA Platinum -DB]]*tech_3_3_2*TblTech[[#This Row],[3-3]]</f>
        <v>1444626</v>
      </c>
      <c r="J77" s="69" t="n">
        <f aca="false">OFFSET(TblProd[[#This Row],[Food]],-1,0)+OFFSET(TblProd[[#This Row],[Food/hr]],-1,0)+ROUNDUP((TblConstr[[#This Row],[Farms]]*80+TblConstr[[#This Row],[Docks]]*35)*(1+OFFSET(TblProd[[#This Row],[Bonus Food/hr]],-1,0)),0)</f>
        <v>440719</v>
      </c>
      <c r="K77" s="69" t="n">
        <f aca="false">OFFSET(TblProd[[#This Row],[Lumber]],-1,0)+OFFSET(TblProd[[#This Row],[Lumber/hr]],-1,0) - TblProd[[#This Row],[Expenses Lumber]] + SUM(TblConstr[[#This Row],[Dest Hom]:[Dest Doc]])*TblConstr[[#This Row],[CPA Lumber -DB]]*tech_3_3_2*TblTech[[#This Row],[3-3]]</f>
        <v>230217</v>
      </c>
      <c r="L77" s="69" t="n">
        <f aca="false">OFFSET(TblProd[[#This Row],[Mana]],-1,0)+OFFSET(TblProd[[#This Row],[Mana/hr]],-1,0)- TblProd[[#This Row],[Expenses Mana]]</f>
        <v>411456</v>
      </c>
      <c r="M77" s="69" t="n">
        <f aca="false">OFFSET(TblProd[[#This Row],[Ore]],-1,0)+OFFSET(TblProd[[#This Row],[Ore/hr]],-1,0) -TblProd[[#This Row],[Expenses Ore]]</f>
        <v>-357</v>
      </c>
      <c r="N77" s="69" t="n">
        <f aca="false">OFFSET(TblProd[[#This Row],[Gems]],-1,0)+OFFSET(TblProd[[#This Row],[Gems/hr]],-1,0) - TblProd[[#This Row],[Expenses Gems]]</f>
        <v>-1000</v>
      </c>
      <c r="O77" s="69" t="n">
        <f aca="false">OFFSET(TblProd[[#This Row],[Boats]],-1,0)+OFFSET(TblProd[[#This Row],[Boats/hr]],-1,0)</f>
        <v>29.45</v>
      </c>
      <c r="P77" s="69" t="n">
        <f aca="false">OFFSET(TblProd[[#This Row],[Prestige]],-1,0)</f>
        <v>250</v>
      </c>
      <c r="Q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7" s="69" t="n">
        <f aca="false">MAX(3750,_xlfn.CEILING.MATH(TblProd[[#This Row],[Land]]*2.5+OFFSET(TblTech[[#This Row],[Sum of tech]],-1,0)*150))</f>
        <v>3750</v>
      </c>
      <c r="S77" s="132"/>
      <c r="T77" s="69" t="n">
        <f aca="false">ROUNDDOWN(TblProd[[#This Row],[Raw Plat/hr]]*(1+TblProd[[#This Row],[Bonus Plat/hr]]),0)</f>
        <v>45700</v>
      </c>
      <c r="U77" s="69" t="n">
        <f aca="false">ROUND(TblProd[[#This Row],[Raw Food/hr]]*(1+TblProd[[#This Row],[Bonus Food/hr]])-TblProd[[#This Row],[Food decay]]-TblProd[[#This Row],[Food eaten]],0)</f>
        <v>-4173</v>
      </c>
      <c r="V77" s="69" t="n">
        <f aca="false">ROUND(TblProd[[#This Row],[Raw Lumber/hr]]*(1+TblProd[[#This Row],[Bonus Lumber/hr]])-TblProd[[#This Row],[Lumber rot]],0)</f>
        <v>-1177</v>
      </c>
      <c r="W77" s="69" t="n">
        <f aca="false">ROUND(TblProd[[#This Row],[Raw Mana/hr]]*(1+TblProd[[#This Row],[Bonus Mana/hr]])-TblProd[[#This Row],[Mana drain]],0)</f>
        <v>-7504</v>
      </c>
      <c r="X77" s="69" t="n">
        <f aca="false">ROUNDDOWN(TblProd[[#This Row],[Raw Ore/hr]]*(1+TblProd[[#This Row],[Bonux Ore/hr]]),0)</f>
        <v>0</v>
      </c>
      <c r="Y77" s="69" t="n">
        <f aca="false">ROUNDDOWN(TblProd[[#This Row],[Raw Gems/hr]]*(1+TblProd[[#This Row],[Bonus Gems/hr]]),0)</f>
        <v>0</v>
      </c>
      <c r="Z77" s="148" t="n">
        <f aca="false">OFFSET(TblConstr[[#This Row],[Tot Doc]],1,0)*dock_boats_hr * (1 + tech_4_1*TblTech[[#This Row],[4-1]])</f>
        <v>1.2</v>
      </c>
      <c r="AA77" s="146"/>
      <c r="AB77" s="69" t="n">
        <f aca="false">TblPop[[#This Row],[Peasants]]*tax*TblPop[[#This Row],[Employment]] + (Construction!AZ78+Construction!BX78)*(alch_plat+(Magic!AM77&gt;0)*alchemist_flame_bonus)</f>
        <v>41546</v>
      </c>
      <c r="AC77" s="69" t="n">
        <f aca="false">TblConstr[[#This Row],[Tot Farm]]*farm_food + TblConstr[[#This Row],[Tot Doc]]*dock_food</f>
        <v>3280</v>
      </c>
      <c r="AD77" s="69" t="n">
        <f aca="false">TblConstr[[#This Row],[Tot Ly]]*ly_lumber + TblConstr[[#This Row],[Tot Hav]]*fh_lumber</f>
        <v>1250</v>
      </c>
      <c r="AE77" s="69" t="n">
        <f aca="false">OFFSET(TblConstr[[#This Row],[Tot Tow]],1,0)*(tower_mana + tech_4_5*TblTech[[#This Row],[4-5]]) + OFFSET(TblConstr[[#This Row],[Tot WG]],1,0)*wg_mana_prod</f>
        <v>725</v>
      </c>
      <c r="AF77" s="69" t="n">
        <f aca="false">OFFSET(TblConstr[[#This Row],[Tot OM]],1,0)*om_ore+IF(race="Dwarf",ROUNDDOWN(TblMili[[#This Row],[Unit 2]]*0.4,0),)</f>
        <v>0</v>
      </c>
      <c r="AG77" s="69" t="n">
        <f aca="false">OFFSET(TblConstr[[#This Row],[Tot DM]],1,0)*dm_gems</f>
        <v>0</v>
      </c>
      <c r="AH77" s="132"/>
      <c r="AI77" s="149" t="n">
        <f aca="false">MIN(race_platinum_bonus + IF(TblMagic[[#This Row],[Active Alch Frost]]&gt;0,alch_frost_bonus,IF(Magic!AD77&gt;0,midas_bonus)) + TblImps[[#This Row],[Science]] - TblProd[[#This Row],[Guard]]*(0.02 + tech_5_7*TblTech[[#This Row],[5-7]]) + tech_1_5*TblTech[[#This Row],[1-5]] + tech_4_4*TblTech[[#This Row],[4-4]], 0.5)</f>
        <v>0.1</v>
      </c>
      <c r="AJ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7" s="149" t="n">
        <f aca="false">race_lumber_bonus+ IF(TblMagic[[#This Row],[Active Gaia''s Blessing]]&gt;0,gaias_blessing_lumber)+ tech_1_3*TblTech[[#This Row],[1-3]] + tech_1_6*TblTech[[#This Row],[1-6]] + tech_3_3*TblTech[[#This Row],[3-3]]</f>
        <v>-0.1</v>
      </c>
      <c r="AL77" s="149" t="n">
        <f aca="false">race_mana_bonus+ 0 + TblImps[[#This Row],[Towers]] + tech_1_2*TblTech[[#This Row],[1-2]] + tech_3_4*TblTech[[#This Row],[3-4]]</f>
        <v>0</v>
      </c>
      <c r="AM77" s="149" t="n">
        <f aca="false">race_ore_bonus + IF(TblMagic[[#This Row],[Active Miner''s Sight]]&gt;0,miners_sight_bonus,IF(TblMagic[[#This Row],[Active Mining Strength]]&gt;0,mining_strength_bonus)) +  tech_1_6*TblTech[[#This Row],[1-6]]</f>
        <v>0</v>
      </c>
      <c r="AN77" s="149" t="n">
        <f aca="false">race_gem_bonus+ tech_3_2*TblTech[[#This Row],[3-2]] + tech_4_3*TblTech[[#This Row],[4-3]] + tech_6_2*TblTech[[#This Row],[6-2]]</f>
        <v>0.15</v>
      </c>
      <c r="AO77" s="132"/>
      <c r="AP77" s="69" t="n">
        <f aca="false">TblProd[[#This Row],[Food]]*food_decay * (1 + tech_2_1*TblTech[[#This Row],[2-1]] + tech_2_8*TblTech[[#This Row],[2-8]])</f>
        <v>4407.19</v>
      </c>
      <c r="AQ77" s="69" t="n">
        <f aca="false">(1+race_food_consumption)*TblPop[[#This Row],[Total]]*food_per_person*(1+tech_1_10*TblTech[[#This Row],[1-10]]+tech_7_5*TblTech[[#This Row],[7-5]])</f>
        <v>3127.5</v>
      </c>
      <c r="AR77" s="69" t="n">
        <f aca="false">TblProd[[#This Row],[Lumber]]*lumber_rot * (1 + tech_2_1*TblTech[[#This Row],[2-1]] + tech_2_8*TblTech[[#This Row],[2-8]] + tech_5_2*TblTech[[#This Row],[5-2]])</f>
        <v>2302.17</v>
      </c>
      <c r="AS77" s="69" t="n">
        <f aca="false">TblProd[[#This Row],[Mana]]*mana_drain * (1 + tech_2_1*TblTech[[#This Row],[2-1]] + tech_2_8*TblTech[[#This Row],[2-8]])</f>
        <v>8229.12</v>
      </c>
      <c r="AT77" s="146"/>
      <c r="AU77" s="69" t="n">
        <f aca="false">TblExplore[[#This Row],[Platinum (2)]]+TblConstr[[#This Row],[Total Plat Cost]]+TblMili[[#This Row],[Plat Cost]]+TblRezone[[#This Row],[Platinum cost]]+TblImps[[#This Row],[P1]]-TblProd[[#This Row],[Bank Plat]]</f>
        <v>-26524</v>
      </c>
      <c r="AV77" s="69" t="n">
        <f aca="false">TblConstr[[#This Row],[Total Lum Cost]]+TblImps[[#This Row],[L1]]-TblProd[[#This Row],[Bank Lumber]] + Military!$CL$25*TblMili[[#This Row],[Sec. rec. Cost]]</f>
        <v>-10800</v>
      </c>
      <c r="AW77" s="69" t="n">
        <f aca="false">TblMagic[[#This Row],[Mana cost]] + Military!$CL$26*TblMili[[#This Row],[Sec. rec. Cost]]</f>
        <v>0</v>
      </c>
      <c r="AX77" s="69" t="n">
        <f aca="false">Military!$CL$24*TblMili[[#This Row],[Sec. rec. Cost]]+TblImps[[#This Row],[O1]]-TblProd[[#This Row],[Bank Ore]]</f>
        <v>0</v>
      </c>
      <c r="AY77" s="69" t="n">
        <f aca="false">TblImps[[#This Row],[G1]]-TblProd[[#This Row],[Bank Gems]]</f>
        <v>0</v>
      </c>
      <c r="AZ77" s="132"/>
      <c r="BA77" s="33" t="n">
        <f aca="false">IF(TblProd[[#This Row],[Set Guard]]&lt;&gt;"",TblProd[[#This Row],[Set Guard]],OFFSET(TblProd[[#This Row],[Guard]],-1,0))</f>
        <v>0</v>
      </c>
      <c r="BB77" s="145"/>
      <c r="BC77" s="151" t="n">
        <f aca="false">TblProd[[#This Row],[Hour]]</f>
        <v>2</v>
      </c>
      <c r="BD77" s="152" t="n">
        <f aca="false">-TblProd[[#This Row],[Bank Lumber]] / 2 + -TblProd[[#This Row],[Bank Gems]] * 2 + -TblProd[[#This Row],[Bank Ore]] / 2</f>
        <v>0</v>
      </c>
      <c r="BE77" s="152"/>
      <c r="BF77" s="152"/>
      <c r="BG77" s="152"/>
      <c r="BH77" s="153" t="n">
        <f aca="false">TblProd[[#This Row],[Time]]</f>
        <v>45432.7916666667</v>
      </c>
      <c r="BI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J77" s="69" t="n">
        <f aca="false">TblProd[[#This Row],[Platinum]]</f>
        <v>1444626</v>
      </c>
      <c r="BK77" s="69" t="n">
        <f aca="false">TblProd[[#This Row],[Food]]</f>
        <v>440719</v>
      </c>
      <c r="BL77" s="69" t="n">
        <f aca="false">TblProd[[#This Row],[Lumber]]</f>
        <v>230217</v>
      </c>
      <c r="BM77" s="69" t="n">
        <f aca="false">TblProd[[#This Row],[Mana]]</f>
        <v>411456</v>
      </c>
      <c r="BN77" s="69" t="n">
        <f aca="false">TblProd[[#This Row],[Ore]]</f>
        <v>-357</v>
      </c>
    </row>
    <row r="78" customFormat="false" ht="12.75" hidden="false" customHeight="false" outlineLevel="0" collapsed="false">
      <c r="A78" s="128" t="n">
        <v>3</v>
      </c>
      <c r="B78" s="144" t="n">
        <f aca="false">TblImps[[#This Row],[Time]]</f>
        <v>45432.8333333333</v>
      </c>
      <c r="C78" s="145"/>
      <c r="D78" s="146"/>
      <c r="E78" s="69" t="n">
        <f aca="false">TblConstr[[#This Row],[Land]]</f>
        <v>646</v>
      </c>
      <c r="F78" s="69" t="n">
        <f aca="false">TblPop[[#This Row],[Peasants]]</f>
        <v>9484</v>
      </c>
      <c r="G78" s="69"/>
      <c r="H78" s="69" t="e">
        <f aca="false">TblMili[[#This Row],[Networth (2)]]</f>
        <v>#VALUE!</v>
      </c>
      <c r="I78" s="69" t="n">
        <f aca="false">OFFSET(TblProd[[#This Row],[Platinum]],-1,0)+OFFSET(TblProd[[#This Row],[Plat/hr]],-1,0) - TblProd[[#This Row],[Expenses Platinum]] + IF(TblProd[[#This Row],[Plat Bonus]],TblPop[[#This Row],[Peasants]]*4) + SUM(TblConstr[[#This Row],[Dest Hom]:[Dest Doc]])*TblConstr[[#This Row],[CPA Platinum -DB]]*tech_3_3_2*TblTech[[#This Row],[3-3]]</f>
        <v>1536850</v>
      </c>
      <c r="J78" s="69" t="n">
        <f aca="false">OFFSET(TblProd[[#This Row],[Food]],-1,0)+OFFSET(TblProd[[#This Row],[Food/hr]],-1,0)+ROUNDUP((TblConstr[[#This Row],[Farms]]*80+TblConstr[[#This Row],[Docks]]*35)*(1+OFFSET(TblProd[[#This Row],[Bonus Food/hr]],-1,0)),0)</f>
        <v>436546</v>
      </c>
      <c r="K78" s="69" t="n">
        <f aca="false">OFFSET(TblProd[[#This Row],[Lumber]],-1,0)+OFFSET(TblProd[[#This Row],[Lumber/hr]],-1,0) - TblProd[[#This Row],[Expenses Lumber]] + SUM(TblConstr[[#This Row],[Dest Hom]:[Dest Doc]])*TblConstr[[#This Row],[CPA Lumber -DB]]*tech_3_3_2*TblTech[[#This Row],[3-3]]</f>
        <v>239840</v>
      </c>
      <c r="L78" s="69" t="n">
        <f aca="false">OFFSET(TblProd[[#This Row],[Mana]],-1,0)+OFFSET(TblProd[[#This Row],[Mana/hr]],-1,0)- TblProd[[#This Row],[Expenses Mana]]</f>
        <v>403952</v>
      </c>
      <c r="M78" s="69" t="n">
        <f aca="false">OFFSET(TblProd[[#This Row],[Ore]],-1,0)+OFFSET(TblProd[[#This Row],[Ore/hr]],-1,0) -TblProd[[#This Row],[Expenses Ore]]</f>
        <v>-357</v>
      </c>
      <c r="N78" s="69" t="n">
        <f aca="false">OFFSET(TblProd[[#This Row],[Gems]],-1,0)+OFFSET(TblProd[[#This Row],[Gems/hr]],-1,0) - TblProd[[#This Row],[Expenses Gems]]</f>
        <v>-1000</v>
      </c>
      <c r="O78" s="69" t="n">
        <f aca="false">OFFSET(TblProd[[#This Row],[Boats]],-1,0)+OFFSET(TblProd[[#This Row],[Boats/hr]],-1,0)</f>
        <v>30.65</v>
      </c>
      <c r="P78" s="69" t="n">
        <f aca="false">OFFSET(TblProd[[#This Row],[Prestige]],-1,0)</f>
        <v>250</v>
      </c>
      <c r="Q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8" s="69" t="n">
        <f aca="false">MAX(3750,_xlfn.CEILING.MATH(TblProd[[#This Row],[Land]]*2.5+OFFSET(TblTech[[#This Row],[Sum of tech]],-1,0)*150))</f>
        <v>3750</v>
      </c>
      <c r="S78" s="132"/>
      <c r="T78" s="69" t="n">
        <f aca="false">ROUNDDOWN(TblProd[[#This Row],[Raw Plat/hr]]*(1+TblProd[[#This Row],[Bonus Plat/hr]]),0)</f>
        <v>45712</v>
      </c>
      <c r="U78" s="69" t="n">
        <f aca="false">ROUND(TblProd[[#This Row],[Raw Food/hr]]*(1+TblProd[[#This Row],[Bonus Food/hr]])-TblProd[[#This Row],[Food decay]]-TblProd[[#This Row],[Food eaten]],0)</f>
        <v>-4156</v>
      </c>
      <c r="V78" s="69" t="n">
        <f aca="false">ROUND(TblProd[[#This Row],[Raw Lumber/hr]]*(1+TblProd[[#This Row],[Bonus Lumber/hr]])-TblProd[[#This Row],[Lumber rot]],0)</f>
        <v>-1273</v>
      </c>
      <c r="W78" s="69" t="n">
        <f aca="false">ROUND(TblProd[[#This Row],[Raw Mana/hr]]*(1+TblProd[[#This Row],[Bonus Mana/hr]])-TblProd[[#This Row],[Mana drain]],0)</f>
        <v>-7354</v>
      </c>
      <c r="X78" s="69" t="n">
        <f aca="false">ROUNDDOWN(TblProd[[#This Row],[Raw Ore/hr]]*(1+TblProd[[#This Row],[Bonux Ore/hr]]),0)</f>
        <v>0</v>
      </c>
      <c r="Y78" s="69" t="n">
        <f aca="false">ROUNDDOWN(TblProd[[#This Row],[Raw Gems/hr]]*(1+TblProd[[#This Row],[Bonus Gems/hr]]),0)</f>
        <v>0</v>
      </c>
      <c r="Z78" s="148" t="n">
        <f aca="false">OFFSET(TblConstr[[#This Row],[Tot Doc]],1,0)*dock_boats_hr * (1 + tech_4_1*TblTech[[#This Row],[4-1]])</f>
        <v>1.2</v>
      </c>
      <c r="AA78" s="146"/>
      <c r="AB78" s="69" t="n">
        <f aca="false">TblPop[[#This Row],[Peasants]]*tax*TblPop[[#This Row],[Employment]] + (Construction!AZ79+Construction!BX79)*(alch_plat+(Magic!AM78&gt;0)*alchemist_flame_bonus)</f>
        <v>41556.8</v>
      </c>
      <c r="AC78" s="69" t="n">
        <f aca="false">TblConstr[[#This Row],[Tot Farm]]*farm_food + TblConstr[[#This Row],[Tot Doc]]*dock_food</f>
        <v>3280</v>
      </c>
      <c r="AD78" s="69" t="n">
        <f aca="false">TblConstr[[#This Row],[Tot Ly]]*ly_lumber + TblConstr[[#This Row],[Tot Hav]]*fh_lumber</f>
        <v>1250</v>
      </c>
      <c r="AE78" s="69" t="n">
        <f aca="false">OFFSET(TblConstr[[#This Row],[Tot Tow]],1,0)*(tower_mana + tech_4_5*TblTech[[#This Row],[4-5]]) + OFFSET(TblConstr[[#This Row],[Tot WG]],1,0)*wg_mana_prod</f>
        <v>725</v>
      </c>
      <c r="AF78" s="69" t="n">
        <f aca="false">OFFSET(TblConstr[[#This Row],[Tot OM]],1,0)*om_ore+IF(race="Dwarf",ROUNDDOWN(TblMili[[#This Row],[Unit 2]]*0.4,0),)</f>
        <v>0</v>
      </c>
      <c r="AG78" s="69" t="n">
        <f aca="false">OFFSET(TblConstr[[#This Row],[Tot DM]],1,0)*dm_gems</f>
        <v>0</v>
      </c>
      <c r="AH78" s="132"/>
      <c r="AI78" s="149" t="n">
        <f aca="false">MIN(race_platinum_bonus + IF(TblMagic[[#This Row],[Active Alch Frost]]&gt;0,alch_frost_bonus,IF(Magic!AD78&gt;0,midas_bonus)) + TblImps[[#This Row],[Science]] - TblProd[[#This Row],[Guard]]*(0.02 + tech_5_7*TblTech[[#This Row],[5-7]]) + tech_1_5*TblTech[[#This Row],[1-5]] + tech_4_4*TblTech[[#This Row],[4-4]], 0.5)</f>
        <v>0.1</v>
      </c>
      <c r="AJ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8" s="149" t="n">
        <f aca="false">race_lumber_bonus+ IF(TblMagic[[#This Row],[Active Gaia''s Blessing]]&gt;0,gaias_blessing_lumber)+ tech_1_3*TblTech[[#This Row],[1-3]] + tech_1_6*TblTech[[#This Row],[1-6]] + tech_3_3*TblTech[[#This Row],[3-3]]</f>
        <v>-0.1</v>
      </c>
      <c r="AL78" s="149" t="n">
        <f aca="false">race_mana_bonus+ 0 + TblImps[[#This Row],[Towers]] + tech_1_2*TblTech[[#This Row],[1-2]] + tech_3_4*TblTech[[#This Row],[3-4]]</f>
        <v>0</v>
      </c>
      <c r="AM78" s="149" t="n">
        <f aca="false">race_ore_bonus + IF(TblMagic[[#This Row],[Active Miner''s Sight]]&gt;0,miners_sight_bonus,IF(TblMagic[[#This Row],[Active Mining Strength]]&gt;0,mining_strength_bonus)) +  tech_1_6*TblTech[[#This Row],[1-6]]</f>
        <v>0</v>
      </c>
      <c r="AN78" s="149" t="n">
        <f aca="false">race_gem_bonus+ tech_3_2*TblTech[[#This Row],[3-2]] + tech_4_3*TblTech[[#This Row],[4-3]] + tech_6_2*TblTech[[#This Row],[6-2]]</f>
        <v>0.15</v>
      </c>
      <c r="AO78" s="132"/>
      <c r="AP78" s="69" t="n">
        <f aca="false">TblProd[[#This Row],[Food]]*food_decay * (1 + tech_2_1*TblTech[[#This Row],[2-1]] + tech_2_8*TblTech[[#This Row],[2-8]])</f>
        <v>4365.46</v>
      </c>
      <c r="AQ78" s="69" t="n">
        <f aca="false">(1+race_food_consumption)*TblPop[[#This Row],[Total]]*food_per_person*(1+tech_1_10*TblTech[[#This Row],[1-10]]+tech_7_5*TblTech[[#This Row],[7-5]])</f>
        <v>3152.25</v>
      </c>
      <c r="AR78" s="69" t="n">
        <f aca="false">TblProd[[#This Row],[Lumber]]*lumber_rot * (1 + tech_2_1*TblTech[[#This Row],[2-1]] + tech_2_8*TblTech[[#This Row],[2-8]] + tech_5_2*TblTech[[#This Row],[5-2]])</f>
        <v>2398.4</v>
      </c>
      <c r="AS78" s="69" t="n">
        <f aca="false">TblProd[[#This Row],[Mana]]*mana_drain * (1 + tech_2_1*TblTech[[#This Row],[2-1]] + tech_2_8*TblTech[[#This Row],[2-8]])</f>
        <v>8079.04</v>
      </c>
      <c r="AT78" s="146"/>
      <c r="AU78" s="69" t="n">
        <f aca="false">TblExplore[[#This Row],[Platinum (2)]]+TblConstr[[#This Row],[Total Plat Cost]]+TblMili[[#This Row],[Plat Cost]]+TblRezone[[#This Row],[Platinum cost]]+TblImps[[#This Row],[P1]]-TblProd[[#This Row],[Bank Plat]]</f>
        <v>-46524</v>
      </c>
      <c r="AV78" s="69" t="n">
        <f aca="false">TblConstr[[#This Row],[Total Lum Cost]]+TblImps[[#This Row],[L1]]-TblProd[[#This Row],[Bank Lumber]] + Military!$CL$25*TblMili[[#This Row],[Sec. rec. Cost]]</f>
        <v>-10800</v>
      </c>
      <c r="AW78" s="69" t="n">
        <f aca="false">TblMagic[[#This Row],[Mana cost]] + Military!$CL$26*TblMili[[#This Row],[Sec. rec. Cost]]</f>
        <v>0</v>
      </c>
      <c r="AX78" s="69" t="n">
        <f aca="false">Military!$CL$24*TblMili[[#This Row],[Sec. rec. Cost]]+TblImps[[#This Row],[O1]]-TblProd[[#This Row],[Bank Ore]]</f>
        <v>0</v>
      </c>
      <c r="AY78" s="69" t="n">
        <f aca="false">TblImps[[#This Row],[G1]]-TblProd[[#This Row],[Bank Gems]]</f>
        <v>0</v>
      </c>
      <c r="AZ78" s="132"/>
      <c r="BA78" s="33" t="n">
        <f aca="false">IF(TblProd[[#This Row],[Set Guard]]&lt;&gt;"",TblProd[[#This Row],[Set Guard]],OFFSET(TblProd[[#This Row],[Guard]],-1,0))</f>
        <v>0</v>
      </c>
      <c r="BB78" s="145"/>
      <c r="BC78" s="151" t="n">
        <f aca="false">TblProd[[#This Row],[Hour]]</f>
        <v>3</v>
      </c>
      <c r="BD78" s="152" t="n">
        <f aca="false">-TblProd[[#This Row],[Bank Lumber]] / 2 + -TblProd[[#This Row],[Bank Gems]] * 2 + -TblProd[[#This Row],[Bank Ore]] / 2</f>
        <v>0</v>
      </c>
      <c r="BE78" s="152"/>
      <c r="BF78" s="152"/>
      <c r="BG78" s="152"/>
      <c r="BH78" s="153" t="n">
        <f aca="false">TblProd[[#This Row],[Time]]</f>
        <v>45432.8333333333</v>
      </c>
      <c r="BI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J78" s="69" t="n">
        <f aca="false">TblProd[[#This Row],[Platinum]]</f>
        <v>1536850</v>
      </c>
      <c r="BK78" s="69" t="n">
        <f aca="false">TblProd[[#This Row],[Food]]</f>
        <v>436546</v>
      </c>
      <c r="BL78" s="69" t="n">
        <f aca="false">TblProd[[#This Row],[Lumber]]</f>
        <v>239840</v>
      </c>
      <c r="BM78" s="69" t="n">
        <f aca="false">TblProd[[#This Row],[Mana]]</f>
        <v>403952</v>
      </c>
      <c r="BN78" s="69" t="n">
        <f aca="false">TblProd[[#This Row],[Ore]]</f>
        <v>-357</v>
      </c>
    </row>
    <row r="79" customFormat="false" ht="12.75" hidden="false" customHeight="false" outlineLevel="0" collapsed="false">
      <c r="A79" s="128" t="n">
        <v>4</v>
      </c>
      <c r="B79" s="144" t="n">
        <f aca="false">TblImps[[#This Row],[Time]]</f>
        <v>45432.875</v>
      </c>
      <c r="C79" s="145"/>
      <c r="D79" s="146"/>
      <c r="E79" s="69" t="n">
        <f aca="false">TblConstr[[#This Row],[Land]]</f>
        <v>646</v>
      </c>
      <c r="F79" s="69" t="n">
        <f aca="false">TblPop[[#This Row],[Peasants]]</f>
        <v>9429</v>
      </c>
      <c r="G79" s="69"/>
      <c r="H79" s="69" t="e">
        <f aca="false">TblMili[[#This Row],[Networth (2)]]</f>
        <v>#VALUE!</v>
      </c>
      <c r="I79" s="69" t="n">
        <f aca="false">OFFSET(TblProd[[#This Row],[Platinum]],-1,0)+OFFSET(TblProd[[#This Row],[Plat/hr]],-1,0) - TblProd[[#This Row],[Expenses Platinum]] + IF(TblProd[[#This Row],[Plat Bonus]],TblPop[[#This Row],[Peasants]]*4) + SUM(TblConstr[[#This Row],[Dest Hom]:[Dest Doc]])*TblConstr[[#This Row],[CPA Platinum -DB]]*tech_3_3_2*TblTech[[#This Row],[3-3]]</f>
        <v>1629086</v>
      </c>
      <c r="J79" s="69" t="n">
        <f aca="false">OFFSET(TblProd[[#This Row],[Food]],-1,0)+OFFSET(TblProd[[#This Row],[Food/hr]],-1,0)+ROUNDUP((TblConstr[[#This Row],[Farms]]*80+TblConstr[[#This Row],[Docks]]*35)*(1+OFFSET(TblProd[[#This Row],[Bonus Food/hr]],-1,0)),0)</f>
        <v>432390</v>
      </c>
      <c r="K79" s="69" t="n">
        <f aca="false">OFFSET(TblProd[[#This Row],[Lumber]],-1,0)+OFFSET(TblProd[[#This Row],[Lumber/hr]],-1,0) - TblProd[[#This Row],[Expenses Lumber]] + SUM(TblConstr[[#This Row],[Dest Hom]:[Dest Doc]])*TblConstr[[#This Row],[CPA Lumber -DB]]*tech_3_3_2*TblTech[[#This Row],[3-3]]</f>
        <v>249367</v>
      </c>
      <c r="L79" s="69" t="n">
        <f aca="false">OFFSET(TblProd[[#This Row],[Mana]],-1,0)+OFFSET(TblProd[[#This Row],[Mana/hr]],-1,0)- TblProd[[#This Row],[Expenses Mana]]</f>
        <v>396598</v>
      </c>
      <c r="M79" s="69" t="n">
        <f aca="false">OFFSET(TblProd[[#This Row],[Ore]],-1,0)+OFFSET(TblProd[[#This Row],[Ore/hr]],-1,0) -TblProd[[#This Row],[Expenses Ore]]</f>
        <v>-357</v>
      </c>
      <c r="N79" s="69" t="n">
        <f aca="false">OFFSET(TblProd[[#This Row],[Gems]],-1,0)+OFFSET(TblProd[[#This Row],[Gems/hr]],-1,0) - TblProd[[#This Row],[Expenses Gems]]</f>
        <v>-1000</v>
      </c>
      <c r="O79" s="69" t="n">
        <f aca="false">OFFSET(TblProd[[#This Row],[Boats]],-1,0)+OFFSET(TblProd[[#This Row],[Boats/hr]],-1,0)</f>
        <v>31.85</v>
      </c>
      <c r="P79" s="69" t="n">
        <f aca="false">OFFSET(TblProd[[#This Row],[Prestige]],-1,0)</f>
        <v>250</v>
      </c>
      <c r="Q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R79" s="69" t="n">
        <f aca="false">MAX(3750,_xlfn.CEILING.MATH(TblProd[[#This Row],[Land]]*2.5+OFFSET(TblTech[[#This Row],[Sum of tech]],-1,0)*150))</f>
        <v>3750</v>
      </c>
      <c r="S79" s="132"/>
      <c r="T79" s="69" t="n">
        <f aca="false">ROUNDDOWN(TblProd[[#This Row],[Raw Plat/hr]]*(1+TblProd[[#This Row],[Bonus Plat/hr]]),0)</f>
        <v>45549</v>
      </c>
      <c r="U79" s="69" t="n">
        <f aca="false">ROUND(TblProd[[#This Row],[Raw Food/hr]]*(1+TblProd[[#This Row],[Bonus Food/hr]])-TblProd[[#This Row],[Food decay]]-TblProd[[#This Row],[Food eaten]],0)</f>
        <v>-4124</v>
      </c>
      <c r="V79" s="69" t="n">
        <f aca="false">ROUND(TblProd[[#This Row],[Raw Lumber/hr]]*(1+TblProd[[#This Row],[Bonus Lumber/hr]])-TblProd[[#This Row],[Lumber rot]],0)</f>
        <v>-1369</v>
      </c>
      <c r="W79" s="69" t="n">
        <f aca="false">ROUND(TblProd[[#This Row],[Raw Mana/hr]]*(1+TblProd[[#This Row],[Bonus Mana/hr]])-TblProd[[#This Row],[Mana drain]],0)</f>
        <v>-7207</v>
      </c>
      <c r="X79" s="69" t="n">
        <f aca="false">ROUNDDOWN(TblProd[[#This Row],[Raw Ore/hr]]*(1+TblProd[[#This Row],[Bonux Ore/hr]]),0)</f>
        <v>0</v>
      </c>
      <c r="Y79" s="69" t="n">
        <f aca="false">ROUNDDOWN(TblProd[[#This Row],[Raw Gems/hr]]*(1+TblProd[[#This Row],[Bonus Gems/hr]]),0)</f>
        <v>0</v>
      </c>
      <c r="Z79" s="148" t="n">
        <f aca="false">OFFSET(TblConstr[[#This Row],[Tot Doc]],1,0)*dock_boats_hr * (1 + tech_4_1*TblTech[[#This Row],[4-1]])</f>
        <v>1.2</v>
      </c>
      <c r="AA79" s="146"/>
      <c r="AB79" s="69" t="n">
        <f aca="false">TblPop[[#This Row],[Peasants]]*tax*TblPop[[#This Row],[Employment]] + (Construction!AZ80+Construction!BX80)*(alch_plat+(Magic!AM79&gt;0)*alchemist_flame_bonus)</f>
        <v>41408.3</v>
      </c>
      <c r="AC79" s="69" t="n">
        <f aca="false">TblConstr[[#This Row],[Tot Farm]]*farm_food + TblConstr[[#This Row],[Tot Doc]]*dock_food</f>
        <v>3280</v>
      </c>
      <c r="AD79" s="69" t="n">
        <f aca="false">TblConstr[[#This Row],[Tot Ly]]*ly_lumber + TblConstr[[#This Row],[Tot Hav]]*fh_lumber</f>
        <v>1250</v>
      </c>
      <c r="AE79" s="69" t="n">
        <f aca="false">OFFSET(TblConstr[[#This Row],[Tot Tow]],1,0)*(tower_mana + tech_4_5*TblTech[[#This Row],[4-5]]) + OFFSET(TblConstr[[#This Row],[Tot WG]],1,0)*wg_mana_prod</f>
        <v>725</v>
      </c>
      <c r="AF79" s="69" t="n">
        <f aca="false">OFFSET(TblConstr[[#This Row],[Tot OM]],1,0)*om_ore+IF(race="Dwarf",ROUNDDOWN(TblMili[[#This Row],[Unit 2]]*0.4,0),)</f>
        <v>0</v>
      </c>
      <c r="AG79" s="69" t="n">
        <f aca="false">OFFSET(TblConstr[[#This Row],[Tot DM]],1,0)*dm_gems</f>
        <v>0</v>
      </c>
      <c r="AH79" s="132"/>
      <c r="AI79" s="149" t="n">
        <f aca="false">MIN(race_platinum_bonus + IF(TblMagic[[#This Row],[Active Alch Frost]]&gt;0,alch_frost_bonus,IF(Magic!AD79&gt;0,midas_bonus)) + TblImps[[#This Row],[Science]] - TblProd[[#This Row],[Guard]]*(0.02 + tech_5_7*TblTech[[#This Row],[5-7]]) + tech_1_5*TblTech[[#This Row],[1-5]] + tech_4_4*TblTech[[#This Row],[4-4]], 0.5)</f>
        <v>0.1</v>
      </c>
      <c r="AJ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79" s="149" t="n">
        <f aca="false">race_lumber_bonus+ IF(TblMagic[[#This Row],[Active Gaia''s Blessing]]&gt;0,gaias_blessing_lumber)+ tech_1_3*TblTech[[#This Row],[1-3]] + tech_1_6*TblTech[[#This Row],[1-6]] + tech_3_3*TblTech[[#This Row],[3-3]]</f>
        <v>-0.1</v>
      </c>
      <c r="AL79" s="149" t="n">
        <f aca="false">race_mana_bonus+ 0 + TblImps[[#This Row],[Towers]] + tech_1_2*TblTech[[#This Row],[1-2]] + tech_3_4*TblTech[[#This Row],[3-4]]</f>
        <v>0</v>
      </c>
      <c r="AM79" s="149" t="n">
        <f aca="false">race_ore_bonus + IF(TblMagic[[#This Row],[Active Miner''s Sight]]&gt;0,miners_sight_bonus,IF(TblMagic[[#This Row],[Active Mining Strength]]&gt;0,mining_strength_bonus)) +  tech_1_6*TblTech[[#This Row],[1-6]]</f>
        <v>0</v>
      </c>
      <c r="AN79" s="149" t="n">
        <f aca="false">race_gem_bonus+ tech_3_2*TblTech[[#This Row],[3-2]] + tech_4_3*TblTech[[#This Row],[4-3]] + tech_6_2*TblTech[[#This Row],[6-2]]</f>
        <v>0.15</v>
      </c>
      <c r="AO79" s="132"/>
      <c r="AP79" s="69" t="n">
        <f aca="false">TblProd[[#This Row],[Food]]*food_decay * (1 + tech_2_1*TblTech[[#This Row],[2-1]] + tech_2_8*TblTech[[#This Row],[2-8]])</f>
        <v>4323.9</v>
      </c>
      <c r="AQ79" s="69" t="n">
        <f aca="false">(1+race_food_consumption)*TblPop[[#This Row],[Total]]*food_per_person*(1+tech_1_10*TblTech[[#This Row],[1-10]]+tech_7_5*TblTech[[#This Row],[7-5]])</f>
        <v>3162.25</v>
      </c>
      <c r="AR79" s="69" t="n">
        <f aca="false">TblProd[[#This Row],[Lumber]]*lumber_rot * (1 + tech_2_1*TblTech[[#This Row],[2-1]] + tech_2_8*TblTech[[#This Row],[2-8]] + tech_5_2*TblTech[[#This Row],[5-2]])</f>
        <v>2493.67</v>
      </c>
      <c r="AS79" s="69" t="n">
        <f aca="false">TblProd[[#This Row],[Mana]]*mana_drain * (1 + tech_2_1*TblTech[[#This Row],[2-1]] + tech_2_8*TblTech[[#This Row],[2-8]])</f>
        <v>7931.96</v>
      </c>
      <c r="AT79" s="146"/>
      <c r="AU79" s="69" t="n">
        <f aca="false">TblExplore[[#This Row],[Platinum (2)]]+TblConstr[[#This Row],[Total Plat Cost]]+TblMili[[#This Row],[Plat Cost]]+TblRezone[[#This Row],[Platinum cost]]+TblImps[[#This Row],[P1]]-TblProd[[#This Row],[Bank Plat]]</f>
        <v>-46524</v>
      </c>
      <c r="AV79" s="69" t="n">
        <f aca="false">TblConstr[[#This Row],[Total Lum Cost]]+TblImps[[#This Row],[L1]]-TblProd[[#This Row],[Bank Lumber]] + Military!$CL$25*TblMili[[#This Row],[Sec. rec. Cost]]</f>
        <v>-10800</v>
      </c>
      <c r="AW79" s="69" t="n">
        <f aca="false">TblMagic[[#This Row],[Mana cost]] + Military!$CL$26*TblMili[[#This Row],[Sec. rec. Cost]]</f>
        <v>0</v>
      </c>
      <c r="AX79" s="69" t="n">
        <f aca="false">Military!$CL$24*TblMili[[#This Row],[Sec. rec. Cost]]+TblImps[[#This Row],[O1]]-TblProd[[#This Row],[Bank Ore]]</f>
        <v>0</v>
      </c>
      <c r="AY79" s="69" t="n">
        <f aca="false">TblImps[[#This Row],[G1]]-TblProd[[#This Row],[Bank Gems]]</f>
        <v>0</v>
      </c>
      <c r="AZ79" s="132"/>
      <c r="BA79" s="33" t="n">
        <f aca="false">IF(TblProd[[#This Row],[Set Guard]]&lt;&gt;"",TblProd[[#This Row],[Set Guard]],OFFSET(TblProd[[#This Row],[Guard]],-1,0))</f>
        <v>0</v>
      </c>
      <c r="BB79" s="145"/>
      <c r="BC79" s="151" t="n">
        <f aca="false">TblProd[[#This Row],[Hour]]</f>
        <v>4</v>
      </c>
      <c r="BD79" s="152" t="n">
        <f aca="false">-TblProd[[#This Row],[Bank Lumber]] / 2 + -TblProd[[#This Row],[Bank Gems]] * 2 + -TblProd[[#This Row],[Bank Ore]] / 2</f>
        <v>0</v>
      </c>
      <c r="BE79" s="152"/>
      <c r="BF79" s="152"/>
      <c r="BG79" s="152"/>
      <c r="BH79" s="153" t="n">
        <f aca="false">TblProd[[#This Row],[Time]]</f>
        <v>45432.875</v>
      </c>
      <c r="BI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J79" s="69" t="n">
        <f aca="false">TblProd[[#This Row],[Platinum]]</f>
        <v>1629086</v>
      </c>
      <c r="BK79" s="69" t="n">
        <f aca="false">TblProd[[#This Row],[Food]]</f>
        <v>432390</v>
      </c>
      <c r="BL79" s="69" t="n">
        <f aca="false">TblProd[[#This Row],[Lumber]]</f>
        <v>249367</v>
      </c>
      <c r="BM79" s="69" t="n">
        <f aca="false">TblProd[[#This Row],[Mana]]</f>
        <v>396598</v>
      </c>
      <c r="BN79" s="69" t="n">
        <f aca="false">TblProd[[#This Row],[Ore]]</f>
        <v>-357</v>
      </c>
    </row>
    <row r="80" customFormat="false" ht="12.75" hidden="false" customHeight="false" outlineLevel="0" collapsed="false">
      <c r="A80" s="128" t="n">
        <v>5</v>
      </c>
      <c r="B80" s="144" t="n">
        <f aca="false">TblImps[[#This Row],[Time]]</f>
        <v>45432.9166666667</v>
      </c>
      <c r="C80" s="145" t="n">
        <v>1</v>
      </c>
      <c r="D80" s="146"/>
      <c r="E80" s="69" t="n">
        <f aca="false">TblConstr[[#This Row],[Land]]</f>
        <v>646</v>
      </c>
      <c r="F80" s="69" t="n">
        <f aca="false">TblPop[[#This Row],[Peasants]]</f>
        <v>9335</v>
      </c>
      <c r="G80" s="69"/>
      <c r="H80" s="69" t="e">
        <f aca="false">TblMili[[#This Row],[Networth (2)]]</f>
        <v>#VALUE!</v>
      </c>
      <c r="I80" s="69" t="n">
        <f aca="false">OFFSET(TblProd[[#This Row],[Platinum]],-1,0)+OFFSET(TblProd[[#This Row],[Plat/hr]],-1,0) - TblProd[[#This Row],[Expenses Platinum]] + IF(TblProd[[#This Row],[Plat Bonus]],TblPop[[#This Row],[Peasants]]*4) + SUM(TblConstr[[#This Row],[Dest Hom]:[Dest Doc]])*TblConstr[[#This Row],[CPA Platinum -DB]]*tech_3_3_2*TblTech[[#This Row],[3-3]]</f>
        <v>1777315</v>
      </c>
      <c r="J80" s="69" t="n">
        <f aca="false">OFFSET(TblProd[[#This Row],[Food]],-1,0)+OFFSET(TblProd[[#This Row],[Food/hr]],-1,0)+ROUNDUP((TblConstr[[#This Row],[Farms]]*80+TblConstr[[#This Row],[Docks]]*35)*(1+OFFSET(TblProd[[#This Row],[Bonus Food/hr]],-1,0)),0)</f>
        <v>428266</v>
      </c>
      <c r="K80" s="69" t="n">
        <f aca="false">OFFSET(TblProd[[#This Row],[Lumber]],-1,0)+OFFSET(TblProd[[#This Row],[Lumber/hr]],-1,0) - TblProd[[#This Row],[Expenses Lumber]] + SUM(TblConstr[[#This Row],[Dest Hom]:[Dest Doc]])*TblConstr[[#This Row],[CPA Lumber -DB]]*tech_3_3_2*TblTech[[#This Row],[3-3]]</f>
        <v>258798</v>
      </c>
      <c r="L80" s="69" t="n">
        <f aca="false">OFFSET(TblProd[[#This Row],[Mana]],-1,0)+OFFSET(TblProd[[#This Row],[Mana/hr]],-1,0)- TblProd[[#This Row],[Expenses Mana]]</f>
        <v>389391</v>
      </c>
      <c r="M80" s="69" t="n">
        <f aca="false">OFFSET(TblProd[[#This Row],[Ore]],-1,0)+OFFSET(TblProd[[#This Row],[Ore/hr]],-1,0) -TblProd[[#This Row],[Expenses Ore]]</f>
        <v>-357</v>
      </c>
      <c r="N80" s="69" t="n">
        <f aca="false">OFFSET(TblProd[[#This Row],[Gems]],-1,0)+OFFSET(TblProd[[#This Row],[Gems/hr]],-1,0) - TblProd[[#This Row],[Expenses Gems]]</f>
        <v>-1000</v>
      </c>
      <c r="O80" s="69" t="n">
        <f aca="false">OFFSET(TblProd[[#This Row],[Boats]],-1,0)+OFFSET(TblProd[[#This Row],[Boats/hr]],-1,0)</f>
        <v>33.05</v>
      </c>
      <c r="P80" s="69" t="n">
        <f aca="false">OFFSET(TblProd[[#This Row],[Prestige]],-1,0)</f>
        <v>250</v>
      </c>
      <c r="Q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0" s="69" t="n">
        <f aca="false">MAX(3750,_xlfn.CEILING.MATH(TblProd[[#This Row],[Land]]*2.5+OFFSET(TblTech[[#This Row],[Sum of tech]],-1,0)*150))</f>
        <v>3750</v>
      </c>
      <c r="S80" s="132"/>
      <c r="T80" s="69" t="n">
        <f aca="false">ROUNDDOWN(TblProd[[#This Row],[Raw Plat/hr]]*(1+TblProd[[#This Row],[Bonus Plat/hr]]),0)</f>
        <v>45269</v>
      </c>
      <c r="U80" s="69" t="n">
        <f aca="false">ROUND(TblProd[[#This Row],[Raw Food/hr]]*(1+TblProd[[#This Row],[Bonus Food/hr]])-TblProd[[#This Row],[Food decay]]-TblProd[[#This Row],[Food eaten]],0)</f>
        <v>-4083</v>
      </c>
      <c r="V80" s="69" t="n">
        <f aca="false">ROUND(TblProd[[#This Row],[Raw Lumber/hr]]*(1+TblProd[[#This Row],[Bonus Lumber/hr]])-TblProd[[#This Row],[Lumber rot]],0)</f>
        <v>-1463</v>
      </c>
      <c r="W80" s="69" t="n">
        <f aca="false">ROUND(TblProd[[#This Row],[Raw Mana/hr]]*(1+TblProd[[#This Row],[Bonus Mana/hr]])-TblProd[[#This Row],[Mana drain]],0)</f>
        <v>-7063</v>
      </c>
      <c r="X80" s="69" t="n">
        <f aca="false">ROUNDDOWN(TblProd[[#This Row],[Raw Ore/hr]]*(1+TblProd[[#This Row],[Bonux Ore/hr]]),0)</f>
        <v>0</v>
      </c>
      <c r="Y80" s="69" t="n">
        <f aca="false">ROUNDDOWN(TblProd[[#This Row],[Raw Gems/hr]]*(1+TblProd[[#This Row],[Bonus Gems/hr]]),0)</f>
        <v>0</v>
      </c>
      <c r="Z80" s="148" t="n">
        <f aca="false">OFFSET(TblConstr[[#This Row],[Tot Doc]],1,0)*dock_boats_hr * (1 + tech_4_1*TblTech[[#This Row],[4-1]])</f>
        <v>1.2</v>
      </c>
      <c r="AA80" s="146"/>
      <c r="AB80" s="69" t="n">
        <f aca="false">TblPop[[#This Row],[Peasants]]*tax*TblPop[[#This Row],[Employment]] + (Construction!AZ81+Construction!BX81)*(alch_plat+(Magic!AM80&gt;0)*alchemist_flame_bonus)</f>
        <v>41154.5</v>
      </c>
      <c r="AC80" s="69" t="n">
        <f aca="false">TblConstr[[#This Row],[Tot Farm]]*farm_food + TblConstr[[#This Row],[Tot Doc]]*dock_food</f>
        <v>3280</v>
      </c>
      <c r="AD80" s="69" t="n">
        <f aca="false">TblConstr[[#This Row],[Tot Ly]]*ly_lumber + TblConstr[[#This Row],[Tot Hav]]*fh_lumber</f>
        <v>1250</v>
      </c>
      <c r="AE80" s="69" t="n">
        <f aca="false">OFFSET(TblConstr[[#This Row],[Tot Tow]],1,0)*(tower_mana + tech_4_5*TblTech[[#This Row],[4-5]]) + OFFSET(TblConstr[[#This Row],[Tot WG]],1,0)*wg_mana_prod</f>
        <v>725</v>
      </c>
      <c r="AF80" s="69" t="n">
        <f aca="false">OFFSET(TblConstr[[#This Row],[Tot OM]],1,0)*om_ore+IF(race="Dwarf",ROUNDDOWN(TblMili[[#This Row],[Unit 2]]*0.4,0),)</f>
        <v>0</v>
      </c>
      <c r="AG80" s="69" t="n">
        <f aca="false">OFFSET(TblConstr[[#This Row],[Tot DM]],1,0)*dm_gems</f>
        <v>0</v>
      </c>
      <c r="AH80" s="132"/>
      <c r="AI80" s="149" t="n">
        <f aca="false">MIN(race_platinum_bonus + IF(TblMagic[[#This Row],[Active Alch Frost]]&gt;0,alch_frost_bonus,IF(Magic!AD80&gt;0,midas_bonus)) + TblImps[[#This Row],[Science]] - TblProd[[#This Row],[Guard]]*(0.02 + tech_5_7*TblTech[[#This Row],[5-7]]) + tech_1_5*TblTech[[#This Row],[1-5]] + tech_4_4*TblTech[[#This Row],[4-4]], 0.5)</f>
        <v>0.1</v>
      </c>
      <c r="AJ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0" s="149" t="n">
        <f aca="false">race_lumber_bonus+ IF(TblMagic[[#This Row],[Active Gaia''s Blessing]]&gt;0,gaias_blessing_lumber)+ tech_1_3*TblTech[[#This Row],[1-3]] + tech_1_6*TblTech[[#This Row],[1-6]] + tech_3_3*TblTech[[#This Row],[3-3]]</f>
        <v>-0.1</v>
      </c>
      <c r="AL80" s="149" t="n">
        <f aca="false">race_mana_bonus+ 0 + TblImps[[#This Row],[Towers]] + tech_1_2*TblTech[[#This Row],[1-2]] + tech_3_4*TblTech[[#This Row],[3-4]]</f>
        <v>0</v>
      </c>
      <c r="AM80" s="149" t="n">
        <f aca="false">race_ore_bonus + IF(TblMagic[[#This Row],[Active Miner''s Sight]]&gt;0,miners_sight_bonus,IF(TblMagic[[#This Row],[Active Mining Strength]]&gt;0,mining_strength_bonus)) +  tech_1_6*TblTech[[#This Row],[1-6]]</f>
        <v>0</v>
      </c>
      <c r="AN80" s="149" t="n">
        <f aca="false">race_gem_bonus+ tech_3_2*TblTech[[#This Row],[3-2]] + tech_4_3*TblTech[[#This Row],[4-3]] + tech_6_2*TblTech[[#This Row],[6-2]]</f>
        <v>0.15</v>
      </c>
      <c r="AO80" s="132"/>
      <c r="AP80" s="69" t="n">
        <f aca="false">TblProd[[#This Row],[Food]]*food_decay * (1 + tech_2_1*TblTech[[#This Row],[2-1]] + tech_2_8*TblTech[[#This Row],[2-8]])</f>
        <v>4282.66</v>
      </c>
      <c r="AQ80" s="69" t="n">
        <f aca="false">(1+race_food_consumption)*TblPop[[#This Row],[Total]]*food_per_person*(1+tech_1_10*TblTech[[#This Row],[1-10]]+tech_7_5*TblTech[[#This Row],[7-5]])</f>
        <v>3162.25</v>
      </c>
      <c r="AR80" s="69" t="n">
        <f aca="false">TblProd[[#This Row],[Lumber]]*lumber_rot * (1 + tech_2_1*TblTech[[#This Row],[2-1]] + tech_2_8*TblTech[[#This Row],[2-8]] + tech_5_2*TblTech[[#This Row],[5-2]])</f>
        <v>2587.98</v>
      </c>
      <c r="AS80" s="69" t="n">
        <f aca="false">TblProd[[#This Row],[Mana]]*mana_drain * (1 + tech_2_1*TblTech[[#This Row],[2-1]] + tech_2_8*TblTech[[#This Row],[2-8]])</f>
        <v>7787.82</v>
      </c>
      <c r="AT80" s="146"/>
      <c r="AU80" s="69" t="n">
        <f aca="false">TblExplore[[#This Row],[Platinum (2)]]+TblConstr[[#This Row],[Total Plat Cost]]+TblMili[[#This Row],[Plat Cost]]+TblRezone[[#This Row],[Platinum cost]]+TblImps[[#This Row],[P1]]-TblProd[[#This Row],[Bank Plat]]</f>
        <v>-65340</v>
      </c>
      <c r="AV80" s="69" t="n">
        <f aca="false">TblConstr[[#This Row],[Total Lum Cost]]+TblImps[[#This Row],[L1]]-TblProd[[#This Row],[Bank Lumber]] + Military!$CL$25*TblMili[[#This Row],[Sec. rec. Cost]]</f>
        <v>-10800</v>
      </c>
      <c r="AW80" s="69" t="n">
        <f aca="false">TblMagic[[#This Row],[Mana cost]] + Military!$CL$26*TblMili[[#This Row],[Sec. rec. Cost]]</f>
        <v>0</v>
      </c>
      <c r="AX80" s="69" t="n">
        <f aca="false">Military!$CL$24*TblMili[[#This Row],[Sec. rec. Cost]]+TblImps[[#This Row],[O1]]-TblProd[[#This Row],[Bank Ore]]</f>
        <v>0</v>
      </c>
      <c r="AY80" s="69" t="n">
        <f aca="false">TblImps[[#This Row],[G1]]-TblProd[[#This Row],[Bank Gems]]</f>
        <v>0</v>
      </c>
      <c r="AZ80" s="132"/>
      <c r="BA80" s="33" t="n">
        <f aca="false">IF(TblProd[[#This Row],[Set Guard]]&lt;&gt;"",TblProd[[#This Row],[Set Guard]],OFFSET(TblProd[[#This Row],[Guard]],-1,0))</f>
        <v>0</v>
      </c>
      <c r="BB80" s="145"/>
      <c r="BC80" s="151" t="n">
        <f aca="false">TblProd[[#This Row],[Hour]]</f>
        <v>5</v>
      </c>
      <c r="BD80" s="152" t="n">
        <f aca="false">-TblProd[[#This Row],[Bank Lumber]] / 2 + -TblProd[[#This Row],[Bank Gems]] * 2 + -TblProd[[#This Row],[Bank Ore]] / 2</f>
        <v>0</v>
      </c>
      <c r="BE80" s="152"/>
      <c r="BF80" s="152"/>
      <c r="BG80" s="152"/>
      <c r="BH80" s="153" t="n">
        <f aca="false">TblProd[[#This Row],[Time]]</f>
        <v>45432.9166666667</v>
      </c>
      <c r="BI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J80" s="69" t="n">
        <f aca="false">TblProd[[#This Row],[Platinum]]</f>
        <v>1777315</v>
      </c>
      <c r="BK80" s="69" t="n">
        <f aca="false">TblProd[[#This Row],[Food]]</f>
        <v>428266</v>
      </c>
      <c r="BL80" s="69" t="n">
        <f aca="false">TblProd[[#This Row],[Lumber]]</f>
        <v>258798</v>
      </c>
      <c r="BM80" s="69" t="n">
        <f aca="false">TblProd[[#This Row],[Mana]]</f>
        <v>389391</v>
      </c>
      <c r="BN80" s="69" t="n">
        <f aca="false">TblProd[[#This Row],[Ore]]</f>
        <v>-357</v>
      </c>
    </row>
    <row r="81" customFormat="false" ht="12.75" hidden="false" customHeight="false" outlineLevel="0" collapsed="false">
      <c r="A81" s="128" t="n">
        <v>6</v>
      </c>
      <c r="B81" s="144" t="n">
        <f aca="false">TblImps[[#This Row],[Time]]</f>
        <v>45432.9583333333</v>
      </c>
      <c r="C81" s="145"/>
      <c r="D81" s="146"/>
      <c r="E81" s="69" t="n">
        <f aca="false">TblConstr[[#This Row],[Land]]</f>
        <v>646</v>
      </c>
      <c r="F81" s="69" t="n">
        <f aca="false">TblPop[[#This Row],[Peasants]]</f>
        <v>9242</v>
      </c>
      <c r="G81" s="69"/>
      <c r="H81" s="69" t="e">
        <f aca="false">TblMili[[#This Row],[Networth (2)]]</f>
        <v>#VALUE!</v>
      </c>
      <c r="I81" s="69" t="n">
        <f aca="false">OFFSET(TblProd[[#This Row],[Platinum]],-1,0)+OFFSET(TblProd[[#This Row],[Plat/hr]],-1,0) - TblProd[[#This Row],[Expenses Platinum]] + IF(TblProd[[#This Row],[Plat Bonus]],TblPop[[#This Row],[Peasants]]*4) + SUM(TblConstr[[#This Row],[Dest Hom]:[Dest Doc]])*TblConstr[[#This Row],[CPA Platinum -DB]]*tech_3_3_2*TblTech[[#This Row],[3-3]]</f>
        <v>1887924</v>
      </c>
      <c r="J81" s="69" t="n">
        <f aca="false">OFFSET(TblProd[[#This Row],[Food]],-1,0)+OFFSET(TblProd[[#This Row],[Food/hr]],-1,0)+ROUNDUP((TblConstr[[#This Row],[Farms]]*80+TblConstr[[#This Row],[Docks]]*35)*(1+OFFSET(TblProd[[#This Row],[Bonus Food/hr]],-1,0)),0)</f>
        <v>424183</v>
      </c>
      <c r="K81" s="69" t="n">
        <f aca="false">OFFSET(TblProd[[#This Row],[Lumber]],-1,0)+OFFSET(TblProd[[#This Row],[Lumber/hr]],-1,0) - TblProd[[#This Row],[Expenses Lumber]] + SUM(TblConstr[[#This Row],[Dest Hom]:[Dest Doc]])*TblConstr[[#This Row],[CPA Lumber -DB]]*tech_3_3_2*TblTech[[#This Row],[3-3]]</f>
        <v>268135</v>
      </c>
      <c r="L81" s="69" t="n">
        <f aca="false">OFFSET(TblProd[[#This Row],[Mana]],-1,0)+OFFSET(TblProd[[#This Row],[Mana/hr]],-1,0)- TblProd[[#This Row],[Expenses Mana]]</f>
        <v>382328</v>
      </c>
      <c r="M81" s="69" t="n">
        <f aca="false">OFFSET(TblProd[[#This Row],[Ore]],-1,0)+OFFSET(TblProd[[#This Row],[Ore/hr]],-1,0) -TblProd[[#This Row],[Expenses Ore]]</f>
        <v>-357</v>
      </c>
      <c r="N81" s="69" t="n">
        <f aca="false">OFFSET(TblProd[[#This Row],[Gems]],-1,0)+OFFSET(TblProd[[#This Row],[Gems/hr]],-1,0) - TblProd[[#This Row],[Expenses Gems]]</f>
        <v>-1000</v>
      </c>
      <c r="O81" s="69" t="n">
        <f aca="false">OFFSET(TblProd[[#This Row],[Boats]],-1,0)+OFFSET(TblProd[[#This Row],[Boats/hr]],-1,0)</f>
        <v>34.25</v>
      </c>
      <c r="P81" s="69" t="n">
        <f aca="false">OFFSET(TblProd[[#This Row],[Prestige]],-1,0)</f>
        <v>250</v>
      </c>
      <c r="Q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1" s="69" t="n">
        <f aca="false">MAX(3750,_xlfn.CEILING.MATH(TblProd[[#This Row],[Land]]*2.5+OFFSET(TblTech[[#This Row],[Sum of tech]],-1,0)*150))</f>
        <v>3750</v>
      </c>
      <c r="S81" s="132"/>
      <c r="T81" s="69" t="n">
        <f aca="false">ROUNDDOWN(TblProd[[#This Row],[Raw Plat/hr]]*(1+TblProd[[#This Row],[Bonus Plat/hr]]),0)</f>
        <v>44993</v>
      </c>
      <c r="U81" s="69" t="n">
        <f aca="false">ROUND(TblProd[[#This Row],[Raw Food/hr]]*(1+TblProd[[#This Row],[Bonus Food/hr]])-TblProd[[#This Row],[Food decay]]-TblProd[[#This Row],[Food eaten]],0)</f>
        <v>-4042</v>
      </c>
      <c r="V81" s="69" t="n">
        <f aca="false">ROUND(TblProd[[#This Row],[Raw Lumber/hr]]*(1+TblProd[[#This Row],[Bonus Lumber/hr]])-TblProd[[#This Row],[Lumber rot]],0)</f>
        <v>-1556</v>
      </c>
      <c r="W81" s="69" t="n">
        <f aca="false">ROUND(TblProd[[#This Row],[Raw Mana/hr]]*(1+TblProd[[#This Row],[Bonus Mana/hr]])-TblProd[[#This Row],[Mana drain]],0)</f>
        <v>-6922</v>
      </c>
      <c r="X81" s="69" t="n">
        <f aca="false">ROUNDDOWN(TblProd[[#This Row],[Raw Ore/hr]]*(1+TblProd[[#This Row],[Bonux Ore/hr]]),0)</f>
        <v>0</v>
      </c>
      <c r="Y81" s="69" t="n">
        <f aca="false">ROUNDDOWN(TblProd[[#This Row],[Raw Gems/hr]]*(1+TblProd[[#This Row],[Bonus Gems/hr]]),0)</f>
        <v>0</v>
      </c>
      <c r="Z81" s="148" t="n">
        <f aca="false">OFFSET(TblConstr[[#This Row],[Tot Doc]],1,0)*dock_boats_hr * (1 + tech_4_1*TblTech[[#This Row],[4-1]])</f>
        <v>1.2</v>
      </c>
      <c r="AA81" s="146"/>
      <c r="AB81" s="69" t="n">
        <f aca="false">TblPop[[#This Row],[Peasants]]*tax*TblPop[[#This Row],[Employment]] + (Construction!AZ82+Construction!BX82)*(alch_plat+(Magic!AM81&gt;0)*alchemist_flame_bonus)</f>
        <v>40903.4</v>
      </c>
      <c r="AC81" s="69" t="n">
        <f aca="false">TblConstr[[#This Row],[Tot Farm]]*farm_food + TblConstr[[#This Row],[Tot Doc]]*dock_food</f>
        <v>3280</v>
      </c>
      <c r="AD81" s="69" t="n">
        <f aca="false">TblConstr[[#This Row],[Tot Ly]]*ly_lumber + TblConstr[[#This Row],[Tot Hav]]*fh_lumber</f>
        <v>1250</v>
      </c>
      <c r="AE81" s="69" t="n">
        <f aca="false">OFFSET(TblConstr[[#This Row],[Tot Tow]],1,0)*(tower_mana + tech_4_5*TblTech[[#This Row],[4-5]]) + OFFSET(TblConstr[[#This Row],[Tot WG]],1,0)*wg_mana_prod</f>
        <v>725</v>
      </c>
      <c r="AF81" s="69" t="n">
        <f aca="false">OFFSET(TblConstr[[#This Row],[Tot OM]],1,0)*om_ore+IF(race="Dwarf",ROUNDDOWN(TblMili[[#This Row],[Unit 2]]*0.4,0),)</f>
        <v>0</v>
      </c>
      <c r="AG81" s="69" t="n">
        <f aca="false">OFFSET(TblConstr[[#This Row],[Tot DM]],1,0)*dm_gems</f>
        <v>0</v>
      </c>
      <c r="AH81" s="132"/>
      <c r="AI81" s="149" t="n">
        <f aca="false">MIN(race_platinum_bonus + IF(TblMagic[[#This Row],[Active Alch Frost]]&gt;0,alch_frost_bonus,IF(Magic!AD81&gt;0,midas_bonus)) + TblImps[[#This Row],[Science]] - TblProd[[#This Row],[Guard]]*(0.02 + tech_5_7*TblTech[[#This Row],[5-7]]) + tech_1_5*TblTech[[#This Row],[1-5]] + tech_4_4*TblTech[[#This Row],[4-4]], 0.5)</f>
        <v>0.1</v>
      </c>
      <c r="AJ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1" s="149" t="n">
        <f aca="false">race_lumber_bonus+ IF(TblMagic[[#This Row],[Active Gaia''s Blessing]]&gt;0,gaias_blessing_lumber)+ tech_1_3*TblTech[[#This Row],[1-3]] + tech_1_6*TblTech[[#This Row],[1-6]] + tech_3_3*TblTech[[#This Row],[3-3]]</f>
        <v>-0.1</v>
      </c>
      <c r="AL81" s="149" t="n">
        <f aca="false">race_mana_bonus+ 0 + TblImps[[#This Row],[Towers]] + tech_1_2*TblTech[[#This Row],[1-2]] + tech_3_4*TblTech[[#This Row],[3-4]]</f>
        <v>0</v>
      </c>
      <c r="AM81" s="149" t="n">
        <f aca="false">race_ore_bonus + IF(TblMagic[[#This Row],[Active Miner''s Sight]]&gt;0,miners_sight_bonus,IF(TblMagic[[#This Row],[Active Mining Strength]]&gt;0,mining_strength_bonus)) +  tech_1_6*TblTech[[#This Row],[1-6]]</f>
        <v>0</v>
      </c>
      <c r="AN81" s="149" t="n">
        <f aca="false">race_gem_bonus+ tech_3_2*TblTech[[#This Row],[3-2]] + tech_4_3*TblTech[[#This Row],[4-3]] + tech_6_2*TblTech[[#This Row],[6-2]]</f>
        <v>0.15</v>
      </c>
      <c r="AO81" s="132"/>
      <c r="AP81" s="69" t="n">
        <f aca="false">TblProd[[#This Row],[Food]]*food_decay * (1 + tech_2_1*TblTech[[#This Row],[2-1]] + tech_2_8*TblTech[[#This Row],[2-8]])</f>
        <v>4241.83</v>
      </c>
      <c r="AQ81" s="69" t="n">
        <f aca="false">(1+race_food_consumption)*TblPop[[#This Row],[Total]]*food_per_person*(1+tech_1_10*TblTech[[#This Row],[1-10]]+tech_7_5*TblTech[[#This Row],[7-5]])</f>
        <v>3162.25</v>
      </c>
      <c r="AR81" s="69" t="n">
        <f aca="false">TblProd[[#This Row],[Lumber]]*lumber_rot * (1 + tech_2_1*TblTech[[#This Row],[2-1]] + tech_2_8*TblTech[[#This Row],[2-8]] + tech_5_2*TblTech[[#This Row],[5-2]])</f>
        <v>2681.35</v>
      </c>
      <c r="AS81" s="69" t="n">
        <f aca="false">TblProd[[#This Row],[Mana]]*mana_drain * (1 + tech_2_1*TblTech[[#This Row],[2-1]] + tech_2_8*TblTech[[#This Row],[2-8]])</f>
        <v>7646.56</v>
      </c>
      <c r="AT81" s="146"/>
      <c r="AU81" s="69" t="n">
        <f aca="false">TblExplore[[#This Row],[Platinum (2)]]+TblConstr[[#This Row],[Total Plat Cost]]+TblMili[[#This Row],[Plat Cost]]+TblRezone[[#This Row],[Platinum cost]]+TblImps[[#This Row],[P1]]-TblProd[[#This Row],[Bank Plat]]</f>
        <v>-65340</v>
      </c>
      <c r="AV81" s="69" t="n">
        <f aca="false">TblConstr[[#This Row],[Total Lum Cost]]+TblImps[[#This Row],[L1]]-TblProd[[#This Row],[Bank Lumber]] + Military!$CL$25*TblMili[[#This Row],[Sec. rec. Cost]]</f>
        <v>-10800</v>
      </c>
      <c r="AW81" s="69" t="n">
        <f aca="false">TblMagic[[#This Row],[Mana cost]] + Military!$CL$26*TblMili[[#This Row],[Sec. rec. Cost]]</f>
        <v>0</v>
      </c>
      <c r="AX81" s="69" t="n">
        <f aca="false">Military!$CL$24*TblMili[[#This Row],[Sec. rec. Cost]]+TblImps[[#This Row],[O1]]-TblProd[[#This Row],[Bank Ore]]</f>
        <v>0</v>
      </c>
      <c r="AY81" s="69" t="n">
        <f aca="false">TblImps[[#This Row],[G1]]-TblProd[[#This Row],[Bank Gems]]</f>
        <v>0</v>
      </c>
      <c r="AZ81" s="132"/>
      <c r="BA81" s="33" t="n">
        <f aca="false">IF(TblProd[[#This Row],[Set Guard]]&lt;&gt;"",TblProd[[#This Row],[Set Guard]],OFFSET(TblProd[[#This Row],[Guard]],-1,0))</f>
        <v>0</v>
      </c>
      <c r="BB81" s="145"/>
      <c r="BC81" s="151" t="n">
        <f aca="false">TblProd[[#This Row],[Hour]]</f>
        <v>6</v>
      </c>
      <c r="BD81" s="152" t="n">
        <f aca="false">-TblProd[[#This Row],[Bank Lumber]] / 2 + -TblProd[[#This Row],[Bank Gems]] * 2 + -TblProd[[#This Row],[Bank Ore]] / 2</f>
        <v>0</v>
      </c>
      <c r="BE81" s="152"/>
      <c r="BF81" s="152"/>
      <c r="BG81" s="152"/>
      <c r="BH81" s="153" t="n">
        <f aca="false">TblProd[[#This Row],[Time]]</f>
        <v>45432.9583333333</v>
      </c>
      <c r="BI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J81" s="69" t="n">
        <f aca="false">TblProd[[#This Row],[Platinum]]</f>
        <v>1887924</v>
      </c>
      <c r="BK81" s="69" t="n">
        <f aca="false">TblProd[[#This Row],[Food]]</f>
        <v>424183</v>
      </c>
      <c r="BL81" s="69" t="n">
        <f aca="false">TblProd[[#This Row],[Lumber]]</f>
        <v>268135</v>
      </c>
      <c r="BM81" s="69" t="n">
        <f aca="false">TblProd[[#This Row],[Mana]]</f>
        <v>382328</v>
      </c>
      <c r="BN81" s="69" t="n">
        <f aca="false">TblProd[[#This Row],[Ore]]</f>
        <v>-357</v>
      </c>
    </row>
    <row r="82" customFormat="false" ht="12.75" hidden="false" customHeight="false" outlineLevel="0" collapsed="false">
      <c r="A82" s="128" t="n">
        <v>7</v>
      </c>
      <c r="B82" s="144" t="n">
        <f aca="false">TblImps[[#This Row],[Time]]</f>
        <v>45433</v>
      </c>
      <c r="C82" s="145"/>
      <c r="D82" s="146"/>
      <c r="E82" s="69" t="n">
        <f aca="false">TblConstr[[#This Row],[Land]]</f>
        <v>646</v>
      </c>
      <c r="F82" s="69" t="n">
        <f aca="false">TblPop[[#This Row],[Peasants]]</f>
        <v>9150</v>
      </c>
      <c r="G82" s="69"/>
      <c r="H82" s="69" t="e">
        <f aca="false">TblMili[[#This Row],[Networth (2)]]</f>
        <v>#VALUE!</v>
      </c>
      <c r="I82" s="69" t="n">
        <f aca="false">OFFSET(TblProd[[#This Row],[Platinum]],-1,0)+OFFSET(TblProd[[#This Row],[Plat/hr]],-1,0) - TblProd[[#This Row],[Expenses Platinum]] + IF(TblProd[[#This Row],[Plat Bonus]],TblPop[[#This Row],[Peasants]]*4) + SUM(TblConstr[[#This Row],[Dest Hom]:[Dest Doc]])*TblConstr[[#This Row],[CPA Platinum -DB]]*tech_3_3_2*TblTech[[#This Row],[3-3]]</f>
        <v>1998257</v>
      </c>
      <c r="J82" s="69" t="n">
        <f aca="false">OFFSET(TblProd[[#This Row],[Food]],-1,0)+OFFSET(TblProd[[#This Row],[Food/hr]],-1,0)+ROUNDUP((TblConstr[[#This Row],[Farms]]*80+TblConstr[[#This Row],[Docks]]*35)*(1+OFFSET(TblProd[[#This Row],[Bonus Food/hr]],-1,0)),0)</f>
        <v>420141</v>
      </c>
      <c r="K82" s="69" t="n">
        <f aca="false">OFFSET(TblProd[[#This Row],[Lumber]],-1,0)+OFFSET(TblProd[[#This Row],[Lumber/hr]],-1,0) - TblProd[[#This Row],[Expenses Lumber]] + SUM(TblConstr[[#This Row],[Dest Hom]:[Dest Doc]])*TblConstr[[#This Row],[CPA Lumber -DB]]*tech_3_3_2*TblTech[[#This Row],[3-3]]</f>
        <v>277379</v>
      </c>
      <c r="L82" s="69" t="n">
        <f aca="false">OFFSET(TblProd[[#This Row],[Mana]],-1,0)+OFFSET(TblProd[[#This Row],[Mana/hr]],-1,0)- TblProd[[#This Row],[Expenses Mana]]</f>
        <v>375406</v>
      </c>
      <c r="M82" s="69" t="n">
        <f aca="false">OFFSET(TblProd[[#This Row],[Ore]],-1,0)+OFFSET(TblProd[[#This Row],[Ore/hr]],-1,0) -TblProd[[#This Row],[Expenses Ore]]</f>
        <v>-357</v>
      </c>
      <c r="N82" s="69" t="n">
        <f aca="false">OFFSET(TblProd[[#This Row],[Gems]],-1,0)+OFFSET(TblProd[[#This Row],[Gems/hr]],-1,0) - TblProd[[#This Row],[Expenses Gems]]</f>
        <v>-1000</v>
      </c>
      <c r="O82" s="69" t="n">
        <f aca="false">OFFSET(TblProd[[#This Row],[Boats]],-1,0)+OFFSET(TblProd[[#This Row],[Boats/hr]],-1,0)</f>
        <v>35.45</v>
      </c>
      <c r="P82" s="69" t="n">
        <f aca="false">OFFSET(TblProd[[#This Row],[Prestige]],-1,0)</f>
        <v>250</v>
      </c>
      <c r="Q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2" s="69" t="n">
        <f aca="false">MAX(3750,_xlfn.CEILING.MATH(TblProd[[#This Row],[Land]]*2.5+OFFSET(TblTech[[#This Row],[Sum of tech]],-1,0)*150))</f>
        <v>3750</v>
      </c>
      <c r="S82" s="132"/>
      <c r="T82" s="69" t="n">
        <f aca="false">ROUNDDOWN(TblProd[[#This Row],[Raw Plat/hr]]*(1+TblProd[[#This Row],[Bonus Plat/hr]]),0)</f>
        <v>44720</v>
      </c>
      <c r="U82" s="69" t="n">
        <f aca="false">ROUND(TblProd[[#This Row],[Raw Food/hr]]*(1+TblProd[[#This Row],[Bonus Food/hr]])-TblProd[[#This Row],[Food decay]]-TblProd[[#This Row],[Food eaten]],0)</f>
        <v>-4002</v>
      </c>
      <c r="V82" s="69" t="n">
        <f aca="false">ROUND(TblProd[[#This Row],[Raw Lumber/hr]]*(1+TblProd[[#This Row],[Bonus Lumber/hr]])-TblProd[[#This Row],[Lumber rot]],0)</f>
        <v>-1649</v>
      </c>
      <c r="W82" s="69" t="n">
        <f aca="false">ROUND(TblProd[[#This Row],[Raw Mana/hr]]*(1+TblProd[[#This Row],[Bonus Mana/hr]])-TblProd[[#This Row],[Mana drain]],0)</f>
        <v>-6783</v>
      </c>
      <c r="X82" s="69" t="n">
        <f aca="false">ROUNDDOWN(TblProd[[#This Row],[Raw Ore/hr]]*(1+TblProd[[#This Row],[Bonux Ore/hr]]),0)</f>
        <v>0</v>
      </c>
      <c r="Y82" s="69" t="n">
        <f aca="false">ROUNDDOWN(TblProd[[#This Row],[Raw Gems/hr]]*(1+TblProd[[#This Row],[Bonus Gems/hr]]),0)</f>
        <v>0</v>
      </c>
      <c r="Z82" s="148" t="n">
        <f aca="false">OFFSET(TblConstr[[#This Row],[Tot Doc]],1,0)*dock_boats_hr * (1 + tech_4_1*TblTech[[#This Row],[4-1]])</f>
        <v>1.2</v>
      </c>
      <c r="AA82" s="146"/>
      <c r="AB82" s="69" t="n">
        <f aca="false">TblPop[[#This Row],[Peasants]]*tax*TblPop[[#This Row],[Employment]] + (Construction!AZ83+Construction!BX83)*(alch_plat+(Magic!AM82&gt;0)*alchemist_flame_bonus)</f>
        <v>40655</v>
      </c>
      <c r="AC82" s="69" t="n">
        <f aca="false">TblConstr[[#This Row],[Tot Farm]]*farm_food + TblConstr[[#This Row],[Tot Doc]]*dock_food</f>
        <v>3280</v>
      </c>
      <c r="AD82" s="69" t="n">
        <f aca="false">TblConstr[[#This Row],[Tot Ly]]*ly_lumber + TblConstr[[#This Row],[Tot Hav]]*fh_lumber</f>
        <v>1250</v>
      </c>
      <c r="AE82" s="69" t="n">
        <f aca="false">OFFSET(TblConstr[[#This Row],[Tot Tow]],1,0)*(tower_mana + tech_4_5*TblTech[[#This Row],[4-5]]) + OFFSET(TblConstr[[#This Row],[Tot WG]],1,0)*wg_mana_prod</f>
        <v>725</v>
      </c>
      <c r="AF82" s="69" t="n">
        <f aca="false">OFFSET(TblConstr[[#This Row],[Tot OM]],1,0)*om_ore+IF(race="Dwarf",ROUNDDOWN(TblMili[[#This Row],[Unit 2]]*0.4,0),)</f>
        <v>0</v>
      </c>
      <c r="AG82" s="69" t="n">
        <f aca="false">OFFSET(TblConstr[[#This Row],[Tot DM]],1,0)*dm_gems</f>
        <v>0</v>
      </c>
      <c r="AH82" s="132"/>
      <c r="AI82" s="149" t="n">
        <f aca="false">MIN(race_platinum_bonus + IF(TblMagic[[#This Row],[Active Alch Frost]]&gt;0,alch_frost_bonus,IF(Magic!AD82&gt;0,midas_bonus)) + TblImps[[#This Row],[Science]] - TblProd[[#This Row],[Guard]]*(0.02 + tech_5_7*TblTech[[#This Row],[5-7]]) + tech_1_5*TblTech[[#This Row],[1-5]] + tech_4_4*TblTech[[#This Row],[4-4]], 0.5)</f>
        <v>0.1</v>
      </c>
      <c r="AJ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2" s="149" t="n">
        <f aca="false">race_lumber_bonus+ IF(TblMagic[[#This Row],[Active Gaia''s Blessing]]&gt;0,gaias_blessing_lumber)+ tech_1_3*TblTech[[#This Row],[1-3]] + tech_1_6*TblTech[[#This Row],[1-6]] + tech_3_3*TblTech[[#This Row],[3-3]]</f>
        <v>-0.1</v>
      </c>
      <c r="AL82" s="149" t="n">
        <f aca="false">race_mana_bonus+ 0 + TblImps[[#This Row],[Towers]] + tech_1_2*TblTech[[#This Row],[1-2]] + tech_3_4*TblTech[[#This Row],[3-4]]</f>
        <v>0</v>
      </c>
      <c r="AM82" s="149" t="n">
        <f aca="false">race_ore_bonus + IF(TblMagic[[#This Row],[Active Miner''s Sight]]&gt;0,miners_sight_bonus,IF(TblMagic[[#This Row],[Active Mining Strength]]&gt;0,mining_strength_bonus)) +  tech_1_6*TblTech[[#This Row],[1-6]]</f>
        <v>0</v>
      </c>
      <c r="AN82" s="149" t="n">
        <f aca="false">race_gem_bonus+ tech_3_2*TblTech[[#This Row],[3-2]] + tech_4_3*TblTech[[#This Row],[4-3]] + tech_6_2*TblTech[[#This Row],[6-2]]</f>
        <v>0.15</v>
      </c>
      <c r="AO82" s="132"/>
      <c r="AP82" s="69" t="n">
        <f aca="false">TblProd[[#This Row],[Food]]*food_decay * (1 + tech_2_1*TblTech[[#This Row],[2-1]] + tech_2_8*TblTech[[#This Row],[2-8]])</f>
        <v>4201.41</v>
      </c>
      <c r="AQ82" s="69" t="n">
        <f aca="false">(1+race_food_consumption)*TblPop[[#This Row],[Total]]*food_per_person*(1+tech_1_10*TblTech[[#This Row],[1-10]]+tech_7_5*TblTech[[#This Row],[7-5]])</f>
        <v>3162.25</v>
      </c>
      <c r="AR82" s="69" t="n">
        <f aca="false">TblProd[[#This Row],[Lumber]]*lumber_rot * (1 + tech_2_1*TblTech[[#This Row],[2-1]] + tech_2_8*TblTech[[#This Row],[2-8]] + tech_5_2*TblTech[[#This Row],[5-2]])</f>
        <v>2773.79</v>
      </c>
      <c r="AS82" s="69" t="n">
        <f aca="false">TblProd[[#This Row],[Mana]]*mana_drain * (1 + tech_2_1*TblTech[[#This Row],[2-1]] + tech_2_8*TblTech[[#This Row],[2-8]])</f>
        <v>7508.12</v>
      </c>
      <c r="AT82" s="146"/>
      <c r="AU82" s="69" t="n">
        <f aca="false">TblExplore[[#This Row],[Platinum (2)]]+TblConstr[[#This Row],[Total Plat Cost]]+TblMili[[#This Row],[Plat Cost]]+TblRezone[[#This Row],[Platinum cost]]+TblImps[[#This Row],[P1]]-TblProd[[#This Row],[Bank Plat]]</f>
        <v>-65340</v>
      </c>
      <c r="AV82" s="69" t="n">
        <f aca="false">TblConstr[[#This Row],[Total Lum Cost]]+TblImps[[#This Row],[L1]]-TblProd[[#This Row],[Bank Lumber]] + Military!$CL$25*TblMili[[#This Row],[Sec. rec. Cost]]</f>
        <v>-10800</v>
      </c>
      <c r="AW82" s="69" t="n">
        <f aca="false">TblMagic[[#This Row],[Mana cost]] + Military!$CL$26*TblMili[[#This Row],[Sec. rec. Cost]]</f>
        <v>0</v>
      </c>
      <c r="AX82" s="69" t="n">
        <f aca="false">Military!$CL$24*TblMili[[#This Row],[Sec. rec. Cost]]+TblImps[[#This Row],[O1]]-TblProd[[#This Row],[Bank Ore]]</f>
        <v>0</v>
      </c>
      <c r="AY82" s="69" t="n">
        <f aca="false">TblImps[[#This Row],[G1]]-TblProd[[#This Row],[Bank Gems]]</f>
        <v>0</v>
      </c>
      <c r="AZ82" s="132"/>
      <c r="BA82" s="33" t="n">
        <f aca="false">IF(TblProd[[#This Row],[Set Guard]]&lt;&gt;"",TblProd[[#This Row],[Set Guard]],OFFSET(TblProd[[#This Row],[Guard]],-1,0))</f>
        <v>0</v>
      </c>
      <c r="BB82" s="145"/>
      <c r="BC82" s="151" t="n">
        <f aca="false">TblProd[[#This Row],[Hour]]</f>
        <v>7</v>
      </c>
      <c r="BD82" s="152" t="n">
        <f aca="false">-TblProd[[#This Row],[Bank Lumber]] / 2 + -TblProd[[#This Row],[Bank Gems]] * 2 + -TblProd[[#This Row],[Bank Ore]] / 2</f>
        <v>0</v>
      </c>
      <c r="BE82" s="152"/>
      <c r="BF82" s="152"/>
      <c r="BG82" s="152"/>
      <c r="BH82" s="153" t="n">
        <f aca="false">TblProd[[#This Row],[Time]]</f>
        <v>45433</v>
      </c>
      <c r="BI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J82" s="69" t="n">
        <f aca="false">TblProd[[#This Row],[Platinum]]</f>
        <v>1998257</v>
      </c>
      <c r="BK82" s="69" t="n">
        <f aca="false">TblProd[[#This Row],[Food]]</f>
        <v>420141</v>
      </c>
      <c r="BL82" s="69" t="n">
        <f aca="false">TblProd[[#This Row],[Lumber]]</f>
        <v>277379</v>
      </c>
      <c r="BM82" s="69" t="n">
        <f aca="false">TblProd[[#This Row],[Mana]]</f>
        <v>375406</v>
      </c>
      <c r="BN82" s="69" t="n">
        <f aca="false">TblProd[[#This Row],[Ore]]</f>
        <v>-357</v>
      </c>
    </row>
    <row r="83" customFormat="false" ht="12.75" hidden="false" customHeight="false" outlineLevel="0" collapsed="false">
      <c r="A83" s="128" t="n">
        <v>8</v>
      </c>
      <c r="B83" s="144" t="n">
        <f aca="false">TblImps[[#This Row],[Time]]</f>
        <v>45433.0416666667</v>
      </c>
      <c r="C83" s="145"/>
      <c r="D83" s="146"/>
      <c r="E83" s="69" t="n">
        <f aca="false">TblConstr[[#This Row],[Land]]</f>
        <v>646</v>
      </c>
      <c r="F83" s="69" t="n">
        <f aca="false">TblPop[[#This Row],[Peasants]]</f>
        <v>9058</v>
      </c>
      <c r="G83" s="69"/>
      <c r="H83" s="69" t="e">
        <f aca="false">TblMili[[#This Row],[Networth (2)]]</f>
        <v>#VALUE!</v>
      </c>
      <c r="I83" s="69" t="n">
        <f aca="false">OFFSET(TblProd[[#This Row],[Platinum]],-1,0)+OFFSET(TblProd[[#This Row],[Plat/hr]],-1,0) - TblProd[[#This Row],[Expenses Platinum]] + IF(TblProd[[#This Row],[Plat Bonus]],TblPop[[#This Row],[Peasants]]*4) + SUM(TblConstr[[#This Row],[Dest Hom]:[Dest Doc]])*TblConstr[[#This Row],[CPA Platinum -DB]]*tech_3_3_2*TblTech[[#This Row],[3-3]]</f>
        <v>2108317</v>
      </c>
      <c r="J83" s="69" t="n">
        <f aca="false">OFFSET(TblProd[[#This Row],[Food]],-1,0)+OFFSET(TblProd[[#This Row],[Food/hr]],-1,0)+ROUNDUP((TblConstr[[#This Row],[Farms]]*80+TblConstr[[#This Row],[Docks]]*35)*(1+OFFSET(TblProd[[#This Row],[Bonus Food/hr]],-1,0)),0)</f>
        <v>416139</v>
      </c>
      <c r="K83" s="69" t="n">
        <f aca="false">OFFSET(TblProd[[#This Row],[Lumber]],-1,0)+OFFSET(TblProd[[#This Row],[Lumber/hr]],-1,0) - TblProd[[#This Row],[Expenses Lumber]] + SUM(TblConstr[[#This Row],[Dest Hom]:[Dest Doc]])*TblConstr[[#This Row],[CPA Lumber -DB]]*tech_3_3_2*TblTech[[#This Row],[3-3]]</f>
        <v>286530</v>
      </c>
      <c r="L83" s="69" t="n">
        <f aca="false">OFFSET(TblProd[[#This Row],[Mana]],-1,0)+OFFSET(TblProd[[#This Row],[Mana/hr]],-1,0)- TblProd[[#This Row],[Expenses Mana]]</f>
        <v>368623</v>
      </c>
      <c r="M83" s="69" t="n">
        <f aca="false">OFFSET(TblProd[[#This Row],[Ore]],-1,0)+OFFSET(TblProd[[#This Row],[Ore/hr]],-1,0) -TblProd[[#This Row],[Expenses Ore]]</f>
        <v>-357</v>
      </c>
      <c r="N83" s="69" t="n">
        <f aca="false">OFFSET(TblProd[[#This Row],[Gems]],-1,0)+OFFSET(TblProd[[#This Row],[Gems/hr]],-1,0) - TblProd[[#This Row],[Expenses Gems]]</f>
        <v>-1000</v>
      </c>
      <c r="O83" s="69" t="n">
        <f aca="false">OFFSET(TblProd[[#This Row],[Boats]],-1,0)+OFFSET(TblProd[[#This Row],[Boats/hr]],-1,0)</f>
        <v>36.65</v>
      </c>
      <c r="P83" s="69" t="n">
        <f aca="false">OFFSET(TblProd[[#This Row],[Prestige]],-1,0)</f>
        <v>250</v>
      </c>
      <c r="Q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3" s="69" t="n">
        <f aca="false">MAX(3750,_xlfn.CEILING.MATH(TblProd[[#This Row],[Land]]*2.5+OFFSET(TblTech[[#This Row],[Sum of tech]],-1,0)*150))</f>
        <v>3750</v>
      </c>
      <c r="S83" s="132"/>
      <c r="T83" s="69" t="n">
        <f aca="false">ROUNDDOWN(TblProd[[#This Row],[Raw Plat/hr]]*(1+TblProd[[#This Row],[Bonus Plat/hr]]),0)</f>
        <v>44447</v>
      </c>
      <c r="U83" s="69" t="n">
        <f aca="false">ROUND(TblProd[[#This Row],[Raw Food/hr]]*(1+TblProd[[#This Row],[Bonus Food/hr]])-TblProd[[#This Row],[Food decay]]-TblProd[[#This Row],[Food eaten]],0)</f>
        <v>-3962</v>
      </c>
      <c r="V83" s="69" t="n">
        <f aca="false">ROUND(TblProd[[#This Row],[Raw Lumber/hr]]*(1+TblProd[[#This Row],[Bonus Lumber/hr]])-TblProd[[#This Row],[Lumber rot]],0)</f>
        <v>-1740</v>
      </c>
      <c r="W83" s="69" t="n">
        <f aca="false">ROUND(TblProd[[#This Row],[Raw Mana/hr]]*(1+TblProd[[#This Row],[Bonus Mana/hr]])-TblProd[[#This Row],[Mana drain]],0)</f>
        <v>-6647</v>
      </c>
      <c r="X83" s="69" t="n">
        <f aca="false">ROUNDDOWN(TblProd[[#This Row],[Raw Ore/hr]]*(1+TblProd[[#This Row],[Bonux Ore/hr]]),0)</f>
        <v>0</v>
      </c>
      <c r="Y83" s="69" t="n">
        <f aca="false">ROUNDDOWN(TblProd[[#This Row],[Raw Gems/hr]]*(1+TblProd[[#This Row],[Bonus Gems/hr]]),0)</f>
        <v>0</v>
      </c>
      <c r="Z83" s="148" t="n">
        <f aca="false">OFFSET(TblConstr[[#This Row],[Tot Doc]],1,0)*dock_boats_hr * (1 + tech_4_1*TblTech[[#This Row],[4-1]])</f>
        <v>1.2</v>
      </c>
      <c r="AA83" s="146"/>
      <c r="AB83" s="69" t="n">
        <f aca="false">TblPop[[#This Row],[Peasants]]*tax*TblPop[[#This Row],[Employment]] + (Construction!AZ84+Construction!BX84)*(alch_plat+(Magic!AM83&gt;0)*alchemist_flame_bonus)</f>
        <v>40406.6</v>
      </c>
      <c r="AC83" s="69" t="n">
        <f aca="false">TblConstr[[#This Row],[Tot Farm]]*farm_food + TblConstr[[#This Row],[Tot Doc]]*dock_food</f>
        <v>3280</v>
      </c>
      <c r="AD83" s="69" t="n">
        <f aca="false">TblConstr[[#This Row],[Tot Ly]]*ly_lumber + TblConstr[[#This Row],[Tot Hav]]*fh_lumber</f>
        <v>1250</v>
      </c>
      <c r="AE83" s="69" t="n">
        <f aca="false">OFFSET(TblConstr[[#This Row],[Tot Tow]],1,0)*(tower_mana + tech_4_5*TblTech[[#This Row],[4-5]]) + OFFSET(TblConstr[[#This Row],[Tot WG]],1,0)*wg_mana_prod</f>
        <v>725</v>
      </c>
      <c r="AF83" s="69" t="n">
        <f aca="false">OFFSET(TblConstr[[#This Row],[Tot OM]],1,0)*om_ore+IF(race="Dwarf",ROUNDDOWN(TblMili[[#This Row],[Unit 2]]*0.4,0),)</f>
        <v>0</v>
      </c>
      <c r="AG83" s="69" t="n">
        <f aca="false">OFFSET(TblConstr[[#This Row],[Tot DM]],1,0)*dm_gems</f>
        <v>0</v>
      </c>
      <c r="AH83" s="132"/>
      <c r="AI83" s="149" t="n">
        <f aca="false">MIN(race_platinum_bonus + IF(TblMagic[[#This Row],[Active Alch Frost]]&gt;0,alch_frost_bonus,IF(Magic!AD83&gt;0,midas_bonus)) + TblImps[[#This Row],[Science]] - TblProd[[#This Row],[Guard]]*(0.02 + tech_5_7*TblTech[[#This Row],[5-7]]) + tech_1_5*TblTech[[#This Row],[1-5]] + tech_4_4*TblTech[[#This Row],[4-4]], 0.5)</f>
        <v>0.1</v>
      </c>
      <c r="AJ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3" s="149" t="n">
        <f aca="false">race_lumber_bonus+ IF(TblMagic[[#This Row],[Active Gaia''s Blessing]]&gt;0,gaias_blessing_lumber)+ tech_1_3*TblTech[[#This Row],[1-3]] + tech_1_6*TblTech[[#This Row],[1-6]] + tech_3_3*TblTech[[#This Row],[3-3]]</f>
        <v>-0.1</v>
      </c>
      <c r="AL83" s="149" t="n">
        <f aca="false">race_mana_bonus+ 0 + TblImps[[#This Row],[Towers]] + tech_1_2*TblTech[[#This Row],[1-2]] + tech_3_4*TblTech[[#This Row],[3-4]]</f>
        <v>0</v>
      </c>
      <c r="AM83" s="149" t="n">
        <f aca="false">race_ore_bonus + IF(TblMagic[[#This Row],[Active Miner''s Sight]]&gt;0,miners_sight_bonus,IF(TblMagic[[#This Row],[Active Mining Strength]]&gt;0,mining_strength_bonus)) +  tech_1_6*TblTech[[#This Row],[1-6]]</f>
        <v>0</v>
      </c>
      <c r="AN83" s="149" t="n">
        <f aca="false">race_gem_bonus+ tech_3_2*TblTech[[#This Row],[3-2]] + tech_4_3*TblTech[[#This Row],[4-3]] + tech_6_2*TblTech[[#This Row],[6-2]]</f>
        <v>0.15</v>
      </c>
      <c r="AO83" s="132"/>
      <c r="AP83" s="69" t="n">
        <f aca="false">TblProd[[#This Row],[Food]]*food_decay * (1 + tech_2_1*TblTech[[#This Row],[2-1]] + tech_2_8*TblTech[[#This Row],[2-8]])</f>
        <v>4161.39</v>
      </c>
      <c r="AQ83" s="69" t="n">
        <f aca="false">(1+race_food_consumption)*TblPop[[#This Row],[Total]]*food_per_person*(1+tech_1_10*TblTech[[#This Row],[1-10]]+tech_7_5*TblTech[[#This Row],[7-5]])</f>
        <v>3162.25</v>
      </c>
      <c r="AR83" s="69" t="n">
        <f aca="false">TblProd[[#This Row],[Lumber]]*lumber_rot * (1 + tech_2_1*TblTech[[#This Row],[2-1]] + tech_2_8*TblTech[[#This Row],[2-8]] + tech_5_2*TblTech[[#This Row],[5-2]])</f>
        <v>2865.3</v>
      </c>
      <c r="AS83" s="69" t="n">
        <f aca="false">TblProd[[#This Row],[Mana]]*mana_drain * (1 + tech_2_1*TblTech[[#This Row],[2-1]] + tech_2_8*TblTech[[#This Row],[2-8]])</f>
        <v>7372.46</v>
      </c>
      <c r="AT83" s="146"/>
      <c r="AU83" s="69" t="n">
        <f aca="false">TblExplore[[#This Row],[Platinum (2)]]+TblConstr[[#This Row],[Total Plat Cost]]+TblMili[[#This Row],[Plat Cost]]+TblRezone[[#This Row],[Platinum cost]]+TblImps[[#This Row],[P1]]-TblProd[[#This Row],[Bank Plat]]</f>
        <v>-65340</v>
      </c>
      <c r="AV83" s="69" t="n">
        <f aca="false">TblConstr[[#This Row],[Total Lum Cost]]+TblImps[[#This Row],[L1]]-TblProd[[#This Row],[Bank Lumber]] + Military!$CL$25*TblMili[[#This Row],[Sec. rec. Cost]]</f>
        <v>-10800</v>
      </c>
      <c r="AW83" s="69" t="n">
        <f aca="false">TblMagic[[#This Row],[Mana cost]] + Military!$CL$26*TblMili[[#This Row],[Sec. rec. Cost]]</f>
        <v>0</v>
      </c>
      <c r="AX83" s="69" t="n">
        <f aca="false">Military!$CL$24*TblMili[[#This Row],[Sec. rec. Cost]]+TblImps[[#This Row],[O1]]-TblProd[[#This Row],[Bank Ore]]</f>
        <v>0</v>
      </c>
      <c r="AY83" s="69" t="n">
        <f aca="false">TblImps[[#This Row],[G1]]-TblProd[[#This Row],[Bank Gems]]</f>
        <v>0</v>
      </c>
      <c r="AZ83" s="132"/>
      <c r="BA83" s="33" t="n">
        <f aca="false">IF(TblProd[[#This Row],[Set Guard]]&lt;&gt;"",TblProd[[#This Row],[Set Guard]],OFFSET(TblProd[[#This Row],[Guard]],-1,0))</f>
        <v>0</v>
      </c>
      <c r="BB83" s="145"/>
      <c r="BC83" s="151" t="n">
        <f aca="false">TblProd[[#This Row],[Hour]]</f>
        <v>8</v>
      </c>
      <c r="BD83" s="152" t="n">
        <f aca="false">-TblProd[[#This Row],[Bank Lumber]] / 2 + -TblProd[[#This Row],[Bank Gems]] * 2 + -TblProd[[#This Row],[Bank Ore]] / 2</f>
        <v>0</v>
      </c>
      <c r="BE83" s="152"/>
      <c r="BF83" s="152"/>
      <c r="BG83" s="152"/>
      <c r="BH83" s="153" t="n">
        <f aca="false">TblProd[[#This Row],[Time]]</f>
        <v>45433.0416666667</v>
      </c>
      <c r="BI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J83" s="69" t="n">
        <f aca="false">TblProd[[#This Row],[Platinum]]</f>
        <v>2108317</v>
      </c>
      <c r="BK83" s="69" t="n">
        <f aca="false">TblProd[[#This Row],[Food]]</f>
        <v>416139</v>
      </c>
      <c r="BL83" s="69" t="n">
        <f aca="false">TblProd[[#This Row],[Lumber]]</f>
        <v>286530</v>
      </c>
      <c r="BM83" s="69" t="n">
        <f aca="false">TblProd[[#This Row],[Mana]]</f>
        <v>368623</v>
      </c>
      <c r="BN83" s="69" t="n">
        <f aca="false">TblProd[[#This Row],[Ore]]</f>
        <v>-357</v>
      </c>
    </row>
    <row r="84" customFormat="false" ht="12.75" hidden="false" customHeight="false" outlineLevel="0" collapsed="false">
      <c r="A84" s="128" t="n">
        <v>9</v>
      </c>
      <c r="B84" s="144" t="n">
        <f aca="false">TblImps[[#This Row],[Time]]</f>
        <v>45433.0833333333</v>
      </c>
      <c r="C84" s="145"/>
      <c r="D84" s="146"/>
      <c r="E84" s="69" t="n">
        <f aca="false">TblConstr[[#This Row],[Land]]</f>
        <v>646</v>
      </c>
      <c r="F84" s="69" t="n">
        <f aca="false">TblPop[[#This Row],[Peasants]]</f>
        <v>8967</v>
      </c>
      <c r="G84" s="69"/>
      <c r="H84" s="69" t="e">
        <f aca="false">TblMili[[#This Row],[Networth (2)]]</f>
        <v>#VALUE!</v>
      </c>
      <c r="I84" s="69" t="n">
        <f aca="false">OFFSET(TblProd[[#This Row],[Platinum]],-1,0)+OFFSET(TblProd[[#This Row],[Plat/hr]],-1,0) - TblProd[[#This Row],[Expenses Platinum]] + IF(TblProd[[#This Row],[Plat Bonus]],TblPop[[#This Row],[Peasants]]*4) + SUM(TblConstr[[#This Row],[Dest Hom]:[Dest Doc]])*TblConstr[[#This Row],[CPA Platinum -DB]]*tech_3_3_2*TblTech[[#This Row],[3-3]]</f>
        <v>2218104</v>
      </c>
      <c r="J84" s="69" t="n">
        <f aca="false">OFFSET(TblProd[[#This Row],[Food]],-1,0)+OFFSET(TblProd[[#This Row],[Food/hr]],-1,0)+ROUNDUP((TblConstr[[#This Row],[Farms]]*80+TblConstr[[#This Row],[Docks]]*35)*(1+OFFSET(TblProd[[#This Row],[Bonus Food/hr]],-1,0)),0)</f>
        <v>412177</v>
      </c>
      <c r="K84" s="69" t="n">
        <f aca="false">OFFSET(TblProd[[#This Row],[Lumber]],-1,0)+OFFSET(TblProd[[#This Row],[Lumber/hr]],-1,0) - TblProd[[#This Row],[Expenses Lumber]] + SUM(TblConstr[[#This Row],[Dest Hom]:[Dest Doc]])*TblConstr[[#This Row],[CPA Lumber -DB]]*tech_3_3_2*TblTech[[#This Row],[3-3]]</f>
        <v>295590</v>
      </c>
      <c r="L84" s="69" t="n">
        <f aca="false">OFFSET(TblProd[[#This Row],[Mana]],-1,0)+OFFSET(TblProd[[#This Row],[Mana/hr]],-1,0)- TblProd[[#This Row],[Expenses Mana]]</f>
        <v>361976</v>
      </c>
      <c r="M84" s="69" t="n">
        <f aca="false">OFFSET(TblProd[[#This Row],[Ore]],-1,0)+OFFSET(TblProd[[#This Row],[Ore/hr]],-1,0) -TblProd[[#This Row],[Expenses Ore]]</f>
        <v>-357</v>
      </c>
      <c r="N84" s="69" t="n">
        <f aca="false">OFFSET(TblProd[[#This Row],[Gems]],-1,0)+OFFSET(TblProd[[#This Row],[Gems/hr]],-1,0) - TblProd[[#This Row],[Expenses Gems]]</f>
        <v>-1000</v>
      </c>
      <c r="O84" s="69" t="n">
        <f aca="false">OFFSET(TblProd[[#This Row],[Boats]],-1,0)+OFFSET(TblProd[[#This Row],[Boats/hr]],-1,0)</f>
        <v>37.85</v>
      </c>
      <c r="P84" s="69" t="n">
        <f aca="false">OFFSET(TblProd[[#This Row],[Prestige]],-1,0)</f>
        <v>250</v>
      </c>
      <c r="Q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4" s="69" t="n">
        <f aca="false">MAX(3750,_xlfn.CEILING.MATH(TblProd[[#This Row],[Land]]*2.5+OFFSET(TblTech[[#This Row],[Sum of tech]],-1,0)*150))</f>
        <v>3750</v>
      </c>
      <c r="S84" s="132"/>
      <c r="T84" s="69" t="n">
        <f aca="false">ROUNDDOWN(TblProd[[#This Row],[Raw Plat/hr]]*(1+TblProd[[#This Row],[Bonus Plat/hr]]),0)</f>
        <v>44176</v>
      </c>
      <c r="U84" s="69" t="n">
        <f aca="false">ROUND(TblProd[[#This Row],[Raw Food/hr]]*(1+TblProd[[#This Row],[Bonus Food/hr]])-TblProd[[#This Row],[Food decay]]-TblProd[[#This Row],[Food eaten]],0)</f>
        <v>-3922</v>
      </c>
      <c r="V84" s="69" t="n">
        <f aca="false">ROUND(TblProd[[#This Row],[Raw Lumber/hr]]*(1+TblProd[[#This Row],[Bonus Lumber/hr]])-TblProd[[#This Row],[Lumber rot]],0)</f>
        <v>-1831</v>
      </c>
      <c r="W84" s="69" t="n">
        <f aca="false">ROUND(TblProd[[#This Row],[Raw Mana/hr]]*(1+TblProd[[#This Row],[Bonus Mana/hr]])-TblProd[[#This Row],[Mana drain]],0)</f>
        <v>-6515</v>
      </c>
      <c r="X84" s="69" t="n">
        <f aca="false">ROUNDDOWN(TblProd[[#This Row],[Raw Ore/hr]]*(1+TblProd[[#This Row],[Bonux Ore/hr]]),0)</f>
        <v>0</v>
      </c>
      <c r="Y84" s="69" t="n">
        <f aca="false">ROUNDDOWN(TblProd[[#This Row],[Raw Gems/hr]]*(1+TblProd[[#This Row],[Bonus Gems/hr]]),0)</f>
        <v>0</v>
      </c>
      <c r="Z84" s="148" t="n">
        <f aca="false">OFFSET(TblConstr[[#This Row],[Tot Doc]],1,0)*dock_boats_hr * (1 + tech_4_1*TblTech[[#This Row],[4-1]])</f>
        <v>1.2</v>
      </c>
      <c r="AA84" s="146"/>
      <c r="AB84" s="69" t="n">
        <f aca="false">TblPop[[#This Row],[Peasants]]*tax*TblPop[[#This Row],[Employment]] + (Construction!AZ85+Construction!BX85)*(alch_plat+(Magic!AM84&gt;0)*alchemist_flame_bonus)</f>
        <v>40160.9</v>
      </c>
      <c r="AC84" s="69" t="n">
        <f aca="false">TblConstr[[#This Row],[Tot Farm]]*farm_food + TblConstr[[#This Row],[Tot Doc]]*dock_food</f>
        <v>3280</v>
      </c>
      <c r="AD84" s="69" t="n">
        <f aca="false">TblConstr[[#This Row],[Tot Ly]]*ly_lumber + TblConstr[[#This Row],[Tot Hav]]*fh_lumber</f>
        <v>1250</v>
      </c>
      <c r="AE84" s="69" t="n">
        <f aca="false">OFFSET(TblConstr[[#This Row],[Tot Tow]],1,0)*(tower_mana + tech_4_5*TblTech[[#This Row],[4-5]]) + OFFSET(TblConstr[[#This Row],[Tot WG]],1,0)*wg_mana_prod</f>
        <v>725</v>
      </c>
      <c r="AF84" s="69" t="n">
        <f aca="false">OFFSET(TblConstr[[#This Row],[Tot OM]],1,0)*om_ore+IF(race="Dwarf",ROUNDDOWN(TblMili[[#This Row],[Unit 2]]*0.4,0),)</f>
        <v>0</v>
      </c>
      <c r="AG84" s="69" t="n">
        <f aca="false">OFFSET(TblConstr[[#This Row],[Tot DM]],1,0)*dm_gems</f>
        <v>0</v>
      </c>
      <c r="AH84" s="132"/>
      <c r="AI84" s="149" t="n">
        <f aca="false">MIN(race_platinum_bonus + IF(TblMagic[[#This Row],[Active Alch Frost]]&gt;0,alch_frost_bonus,IF(Magic!AD84&gt;0,midas_bonus)) + TblImps[[#This Row],[Science]] - TblProd[[#This Row],[Guard]]*(0.02 + tech_5_7*TblTech[[#This Row],[5-7]]) + tech_1_5*TblTech[[#This Row],[1-5]] + tech_4_4*TblTech[[#This Row],[4-4]], 0.5)</f>
        <v>0.1</v>
      </c>
      <c r="AJ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4" s="149" t="n">
        <f aca="false">race_lumber_bonus+ IF(TblMagic[[#This Row],[Active Gaia''s Blessing]]&gt;0,gaias_blessing_lumber)+ tech_1_3*TblTech[[#This Row],[1-3]] + tech_1_6*TblTech[[#This Row],[1-6]] + tech_3_3*TblTech[[#This Row],[3-3]]</f>
        <v>-0.1</v>
      </c>
      <c r="AL84" s="149" t="n">
        <f aca="false">race_mana_bonus+ 0 + TblImps[[#This Row],[Towers]] + tech_1_2*TblTech[[#This Row],[1-2]] + tech_3_4*TblTech[[#This Row],[3-4]]</f>
        <v>0</v>
      </c>
      <c r="AM84" s="149" t="n">
        <f aca="false">race_ore_bonus + IF(TblMagic[[#This Row],[Active Miner''s Sight]]&gt;0,miners_sight_bonus,IF(TblMagic[[#This Row],[Active Mining Strength]]&gt;0,mining_strength_bonus)) +  tech_1_6*TblTech[[#This Row],[1-6]]</f>
        <v>0</v>
      </c>
      <c r="AN84" s="149" t="n">
        <f aca="false">race_gem_bonus+ tech_3_2*TblTech[[#This Row],[3-2]] + tech_4_3*TblTech[[#This Row],[4-3]] + tech_6_2*TblTech[[#This Row],[6-2]]</f>
        <v>0.15</v>
      </c>
      <c r="AO84" s="132"/>
      <c r="AP84" s="69" t="n">
        <f aca="false">TblProd[[#This Row],[Food]]*food_decay * (1 + tech_2_1*TblTech[[#This Row],[2-1]] + tech_2_8*TblTech[[#This Row],[2-8]])</f>
        <v>4121.77</v>
      </c>
      <c r="AQ84" s="69" t="n">
        <f aca="false">(1+race_food_consumption)*TblPop[[#This Row],[Total]]*food_per_person*(1+tech_1_10*TblTech[[#This Row],[1-10]]+tech_7_5*TblTech[[#This Row],[7-5]])</f>
        <v>3162.25</v>
      </c>
      <c r="AR84" s="69" t="n">
        <f aca="false">TblProd[[#This Row],[Lumber]]*lumber_rot * (1 + tech_2_1*TblTech[[#This Row],[2-1]] + tech_2_8*TblTech[[#This Row],[2-8]] + tech_5_2*TblTech[[#This Row],[5-2]])</f>
        <v>2955.9</v>
      </c>
      <c r="AS84" s="69" t="n">
        <f aca="false">TblProd[[#This Row],[Mana]]*mana_drain * (1 + tech_2_1*TblTech[[#This Row],[2-1]] + tech_2_8*TblTech[[#This Row],[2-8]])</f>
        <v>7239.52</v>
      </c>
      <c r="AT84" s="146"/>
      <c r="AU84" s="69" t="n">
        <f aca="false">TblExplore[[#This Row],[Platinum (2)]]+TblConstr[[#This Row],[Total Plat Cost]]+TblMili[[#This Row],[Plat Cost]]+TblRezone[[#This Row],[Platinum cost]]+TblImps[[#This Row],[P1]]-TblProd[[#This Row],[Bank Plat]]</f>
        <v>-65340</v>
      </c>
      <c r="AV84" s="69" t="n">
        <f aca="false">TblConstr[[#This Row],[Total Lum Cost]]+TblImps[[#This Row],[L1]]-TblProd[[#This Row],[Bank Lumber]] + Military!$CL$25*TblMili[[#This Row],[Sec. rec. Cost]]</f>
        <v>-10800</v>
      </c>
      <c r="AW84" s="69" t="n">
        <f aca="false">TblMagic[[#This Row],[Mana cost]] + Military!$CL$26*TblMili[[#This Row],[Sec. rec. Cost]]</f>
        <v>0</v>
      </c>
      <c r="AX84" s="69" t="n">
        <f aca="false">Military!$CL$24*TblMili[[#This Row],[Sec. rec. Cost]]+TblImps[[#This Row],[O1]]-TblProd[[#This Row],[Bank Ore]]</f>
        <v>0</v>
      </c>
      <c r="AY84" s="69" t="n">
        <f aca="false">TblImps[[#This Row],[G1]]-TblProd[[#This Row],[Bank Gems]]</f>
        <v>0</v>
      </c>
      <c r="AZ84" s="132"/>
      <c r="BA84" s="33" t="n">
        <f aca="false">IF(TblProd[[#This Row],[Set Guard]]&lt;&gt;"",TblProd[[#This Row],[Set Guard]],OFFSET(TblProd[[#This Row],[Guard]],-1,0))</f>
        <v>0</v>
      </c>
      <c r="BB84" s="145"/>
      <c r="BC84" s="151" t="n">
        <f aca="false">TblProd[[#This Row],[Hour]]</f>
        <v>9</v>
      </c>
      <c r="BD84" s="152" t="n">
        <f aca="false">-TblProd[[#This Row],[Bank Lumber]] / 2 + -TblProd[[#This Row],[Bank Gems]] * 2 + -TblProd[[#This Row],[Bank Ore]] / 2</f>
        <v>0</v>
      </c>
      <c r="BE84" s="152"/>
      <c r="BF84" s="152"/>
      <c r="BG84" s="152"/>
      <c r="BH84" s="153" t="n">
        <f aca="false">TblProd[[#This Row],[Time]]</f>
        <v>45433.0833333333</v>
      </c>
      <c r="BI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J84" s="69" t="n">
        <f aca="false">TblProd[[#This Row],[Platinum]]</f>
        <v>2218104</v>
      </c>
      <c r="BK84" s="69" t="n">
        <f aca="false">TblProd[[#This Row],[Food]]</f>
        <v>412177</v>
      </c>
      <c r="BL84" s="69" t="n">
        <f aca="false">TblProd[[#This Row],[Lumber]]</f>
        <v>295590</v>
      </c>
      <c r="BM84" s="69" t="n">
        <f aca="false">TblProd[[#This Row],[Mana]]</f>
        <v>361976</v>
      </c>
      <c r="BN84" s="69" t="n">
        <f aca="false">TblProd[[#This Row],[Ore]]</f>
        <v>-357</v>
      </c>
    </row>
    <row r="85" customFormat="false" ht="12.75" hidden="false" customHeight="false" outlineLevel="0" collapsed="false">
      <c r="A85" s="128" t="n">
        <v>10</v>
      </c>
      <c r="B85" s="144" t="n">
        <f aca="false">TblImps[[#This Row],[Time]]</f>
        <v>45433.125</v>
      </c>
      <c r="C85" s="145"/>
      <c r="D85" s="146"/>
      <c r="E85" s="69" t="n">
        <f aca="false">TblConstr[[#This Row],[Land]]</f>
        <v>646</v>
      </c>
      <c r="F85" s="69" t="n">
        <f aca="false">TblPop[[#This Row],[Peasants]]</f>
        <v>8877</v>
      </c>
      <c r="G85" s="69"/>
      <c r="H85" s="69" t="e">
        <f aca="false">TblMili[[#This Row],[Networth (2)]]</f>
        <v>#VALUE!</v>
      </c>
      <c r="I85" s="69" t="n">
        <f aca="false">OFFSET(TblProd[[#This Row],[Platinum]],-1,0)+OFFSET(TblProd[[#This Row],[Plat/hr]],-1,0) - TblProd[[#This Row],[Expenses Platinum]] + IF(TblProd[[#This Row],[Plat Bonus]],TblPop[[#This Row],[Peasants]]*4) + SUM(TblConstr[[#This Row],[Dest Hom]:[Dest Doc]])*TblConstr[[#This Row],[CPA Platinum -DB]]*tech_3_3_2*TblTech[[#This Row],[3-3]]</f>
        <v>2327620</v>
      </c>
      <c r="J85" s="69" t="n">
        <f aca="false">OFFSET(TblProd[[#This Row],[Food]],-1,0)+OFFSET(TblProd[[#This Row],[Food/hr]],-1,0)+ROUNDUP((TblConstr[[#This Row],[Farms]]*80+TblConstr[[#This Row],[Docks]]*35)*(1+OFFSET(TblProd[[#This Row],[Bonus Food/hr]],-1,0)),0)</f>
        <v>408255</v>
      </c>
      <c r="K85" s="69" t="n">
        <f aca="false">OFFSET(TblProd[[#This Row],[Lumber]],-1,0)+OFFSET(TblProd[[#This Row],[Lumber/hr]],-1,0) - TblProd[[#This Row],[Expenses Lumber]] + SUM(TblConstr[[#This Row],[Dest Hom]:[Dest Doc]])*TblConstr[[#This Row],[CPA Lumber -DB]]*tech_3_3_2*TblTech[[#This Row],[3-3]]</f>
        <v>304559</v>
      </c>
      <c r="L85" s="69" t="n">
        <f aca="false">OFFSET(TblProd[[#This Row],[Mana]],-1,0)+OFFSET(TblProd[[#This Row],[Mana/hr]],-1,0)- TblProd[[#This Row],[Expenses Mana]]</f>
        <v>355461</v>
      </c>
      <c r="M85" s="69" t="n">
        <f aca="false">OFFSET(TblProd[[#This Row],[Ore]],-1,0)+OFFSET(TblProd[[#This Row],[Ore/hr]],-1,0) -TblProd[[#This Row],[Expenses Ore]]</f>
        <v>-357</v>
      </c>
      <c r="N85" s="69" t="n">
        <f aca="false">OFFSET(TblProd[[#This Row],[Gems]],-1,0)+OFFSET(TblProd[[#This Row],[Gems/hr]],-1,0) - TblProd[[#This Row],[Expenses Gems]]</f>
        <v>-1000</v>
      </c>
      <c r="O85" s="69" t="n">
        <f aca="false">OFFSET(TblProd[[#This Row],[Boats]],-1,0)+OFFSET(TblProd[[#This Row],[Boats/hr]],-1,0)</f>
        <v>39.05</v>
      </c>
      <c r="P85" s="69" t="n">
        <f aca="false">OFFSET(TblProd[[#This Row],[Prestige]],-1,0)</f>
        <v>250</v>
      </c>
      <c r="Q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5" s="69" t="n">
        <f aca="false">MAX(3750,_xlfn.CEILING.MATH(TblProd[[#This Row],[Land]]*2.5+OFFSET(TblTech[[#This Row],[Sum of tech]],-1,0)*150))</f>
        <v>3750</v>
      </c>
      <c r="S85" s="132"/>
      <c r="T85" s="69" t="n">
        <f aca="false">ROUNDDOWN(TblProd[[#This Row],[Raw Plat/hr]]*(1+TblProd[[#This Row],[Bonus Plat/hr]]),0)</f>
        <v>43909</v>
      </c>
      <c r="U85" s="69" t="n">
        <f aca="false">ROUND(TblProd[[#This Row],[Raw Food/hr]]*(1+TblProd[[#This Row],[Bonus Food/hr]])-TblProd[[#This Row],[Food decay]]-TblProd[[#This Row],[Food eaten]],0)</f>
        <v>-3883</v>
      </c>
      <c r="V85" s="69" t="n">
        <f aca="false">ROUND(TblProd[[#This Row],[Raw Lumber/hr]]*(1+TblProd[[#This Row],[Bonus Lumber/hr]])-TblProd[[#This Row],[Lumber rot]],0)</f>
        <v>-1921</v>
      </c>
      <c r="W85" s="69" t="n">
        <f aca="false">ROUND(TblProd[[#This Row],[Raw Mana/hr]]*(1+TblProd[[#This Row],[Bonus Mana/hr]])-TblProd[[#This Row],[Mana drain]],0)</f>
        <v>-6384</v>
      </c>
      <c r="X85" s="69" t="n">
        <f aca="false">ROUNDDOWN(TblProd[[#This Row],[Raw Ore/hr]]*(1+TblProd[[#This Row],[Bonux Ore/hr]]),0)</f>
        <v>0</v>
      </c>
      <c r="Y85" s="69" t="n">
        <f aca="false">ROUNDDOWN(TblProd[[#This Row],[Raw Gems/hr]]*(1+TblProd[[#This Row],[Bonus Gems/hr]]),0)</f>
        <v>0</v>
      </c>
      <c r="Z85" s="148" t="n">
        <f aca="false">OFFSET(TblConstr[[#This Row],[Tot Doc]],1,0)*dock_boats_hr * (1 + tech_4_1*TblTech[[#This Row],[4-1]])</f>
        <v>1.2</v>
      </c>
      <c r="AA85" s="146"/>
      <c r="AB85" s="69" t="n">
        <f aca="false">TblPop[[#This Row],[Peasants]]*tax*TblPop[[#This Row],[Employment]] + (Construction!AZ86+Construction!BX86)*(alch_plat+(Magic!AM85&gt;0)*alchemist_flame_bonus)</f>
        <v>39917.9</v>
      </c>
      <c r="AC85" s="69" t="n">
        <f aca="false">TblConstr[[#This Row],[Tot Farm]]*farm_food + TblConstr[[#This Row],[Tot Doc]]*dock_food</f>
        <v>3280</v>
      </c>
      <c r="AD85" s="69" t="n">
        <f aca="false">TblConstr[[#This Row],[Tot Ly]]*ly_lumber + TblConstr[[#This Row],[Tot Hav]]*fh_lumber</f>
        <v>1250</v>
      </c>
      <c r="AE85" s="69" t="n">
        <f aca="false">OFFSET(TblConstr[[#This Row],[Tot Tow]],1,0)*(tower_mana + tech_4_5*TblTech[[#This Row],[4-5]]) + OFFSET(TblConstr[[#This Row],[Tot WG]],1,0)*wg_mana_prod</f>
        <v>725</v>
      </c>
      <c r="AF85" s="69" t="n">
        <f aca="false">OFFSET(TblConstr[[#This Row],[Tot OM]],1,0)*om_ore+IF(race="Dwarf",ROUNDDOWN(TblMili[[#This Row],[Unit 2]]*0.4,0),)</f>
        <v>0</v>
      </c>
      <c r="AG85" s="69" t="n">
        <f aca="false">OFFSET(TblConstr[[#This Row],[Tot DM]],1,0)*dm_gems</f>
        <v>0</v>
      </c>
      <c r="AH85" s="132"/>
      <c r="AI85" s="149" t="n">
        <f aca="false">MIN(race_platinum_bonus + IF(TblMagic[[#This Row],[Active Alch Frost]]&gt;0,alch_frost_bonus,IF(Magic!AD85&gt;0,midas_bonus)) + TblImps[[#This Row],[Science]] - TblProd[[#This Row],[Guard]]*(0.02 + tech_5_7*TblTech[[#This Row],[5-7]]) + tech_1_5*TblTech[[#This Row],[1-5]] + tech_4_4*TblTech[[#This Row],[4-4]], 0.5)</f>
        <v>0.1</v>
      </c>
      <c r="AJ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5" s="149" t="n">
        <f aca="false">race_lumber_bonus+ IF(TblMagic[[#This Row],[Active Gaia''s Blessing]]&gt;0,gaias_blessing_lumber)+ tech_1_3*TblTech[[#This Row],[1-3]] + tech_1_6*TblTech[[#This Row],[1-6]] + tech_3_3*TblTech[[#This Row],[3-3]]</f>
        <v>-0.1</v>
      </c>
      <c r="AL85" s="149" t="n">
        <f aca="false">race_mana_bonus+ 0 + TblImps[[#This Row],[Towers]] + tech_1_2*TblTech[[#This Row],[1-2]] + tech_3_4*TblTech[[#This Row],[3-4]]</f>
        <v>0</v>
      </c>
      <c r="AM85" s="149" t="n">
        <f aca="false">race_ore_bonus + IF(TblMagic[[#This Row],[Active Miner''s Sight]]&gt;0,miners_sight_bonus,IF(TblMagic[[#This Row],[Active Mining Strength]]&gt;0,mining_strength_bonus)) +  tech_1_6*TblTech[[#This Row],[1-6]]</f>
        <v>0</v>
      </c>
      <c r="AN85" s="149" t="n">
        <f aca="false">race_gem_bonus+ tech_3_2*TblTech[[#This Row],[3-2]] + tech_4_3*TblTech[[#This Row],[4-3]] + tech_6_2*TblTech[[#This Row],[6-2]]</f>
        <v>0.15</v>
      </c>
      <c r="AO85" s="132"/>
      <c r="AP85" s="69" t="n">
        <f aca="false">TblProd[[#This Row],[Food]]*food_decay * (1 + tech_2_1*TblTech[[#This Row],[2-1]] + tech_2_8*TblTech[[#This Row],[2-8]])</f>
        <v>4082.55</v>
      </c>
      <c r="AQ85" s="69" t="n">
        <f aca="false">(1+race_food_consumption)*TblPop[[#This Row],[Total]]*food_per_person*(1+tech_1_10*TblTech[[#This Row],[1-10]]+tech_7_5*TblTech[[#This Row],[7-5]])</f>
        <v>3162.25</v>
      </c>
      <c r="AR85" s="69" t="n">
        <f aca="false">TblProd[[#This Row],[Lumber]]*lumber_rot * (1 + tech_2_1*TblTech[[#This Row],[2-1]] + tech_2_8*TblTech[[#This Row],[2-8]] + tech_5_2*TblTech[[#This Row],[5-2]])</f>
        <v>3045.59</v>
      </c>
      <c r="AS85" s="69" t="n">
        <f aca="false">TblProd[[#This Row],[Mana]]*mana_drain * (1 + tech_2_1*TblTech[[#This Row],[2-1]] + tech_2_8*TblTech[[#This Row],[2-8]])</f>
        <v>7109.22</v>
      </c>
      <c r="AT85" s="146"/>
      <c r="AU85" s="69" t="n">
        <f aca="false">TblExplore[[#This Row],[Platinum (2)]]+TblConstr[[#This Row],[Total Plat Cost]]+TblMili[[#This Row],[Plat Cost]]+TblRezone[[#This Row],[Platinum cost]]+TblImps[[#This Row],[P1]]-TblProd[[#This Row],[Bank Plat]]</f>
        <v>-65340</v>
      </c>
      <c r="AV85" s="69" t="n">
        <f aca="false">TblConstr[[#This Row],[Total Lum Cost]]+TblImps[[#This Row],[L1]]-TblProd[[#This Row],[Bank Lumber]] + Military!$CL$25*TblMili[[#This Row],[Sec. rec. Cost]]</f>
        <v>-10800</v>
      </c>
      <c r="AW85" s="69" t="n">
        <f aca="false">TblMagic[[#This Row],[Mana cost]] + Military!$CL$26*TblMili[[#This Row],[Sec. rec. Cost]]</f>
        <v>0</v>
      </c>
      <c r="AX85" s="69" t="n">
        <f aca="false">Military!$CL$24*TblMili[[#This Row],[Sec. rec. Cost]]+TblImps[[#This Row],[O1]]-TblProd[[#This Row],[Bank Ore]]</f>
        <v>0</v>
      </c>
      <c r="AY85" s="69" t="n">
        <f aca="false">TblImps[[#This Row],[G1]]-TblProd[[#This Row],[Bank Gems]]</f>
        <v>0</v>
      </c>
      <c r="AZ85" s="132"/>
      <c r="BA85" s="33" t="n">
        <f aca="false">IF(TblProd[[#This Row],[Set Guard]]&lt;&gt;"",TblProd[[#This Row],[Set Guard]],OFFSET(TblProd[[#This Row],[Guard]],-1,0))</f>
        <v>0</v>
      </c>
      <c r="BB85" s="145"/>
      <c r="BC85" s="151" t="n">
        <f aca="false">TblProd[[#This Row],[Hour]]</f>
        <v>10</v>
      </c>
      <c r="BD85" s="152" t="n">
        <f aca="false">-TblProd[[#This Row],[Bank Lumber]] / 2 + -TblProd[[#This Row],[Bank Gems]] * 2 + -TblProd[[#This Row],[Bank Ore]] / 2</f>
        <v>0</v>
      </c>
      <c r="BE85" s="152"/>
      <c r="BF85" s="152"/>
      <c r="BG85" s="152"/>
      <c r="BH85" s="153" t="n">
        <f aca="false">TblProd[[#This Row],[Time]]</f>
        <v>45433.125</v>
      </c>
      <c r="BI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J85" s="69" t="n">
        <f aca="false">TblProd[[#This Row],[Platinum]]</f>
        <v>2327620</v>
      </c>
      <c r="BK85" s="69" t="n">
        <f aca="false">TblProd[[#This Row],[Food]]</f>
        <v>408255</v>
      </c>
      <c r="BL85" s="69" t="n">
        <f aca="false">TblProd[[#This Row],[Lumber]]</f>
        <v>304559</v>
      </c>
      <c r="BM85" s="69" t="n">
        <f aca="false">TblProd[[#This Row],[Mana]]</f>
        <v>355461</v>
      </c>
      <c r="BN85" s="69" t="n">
        <f aca="false">TblProd[[#This Row],[Ore]]</f>
        <v>-357</v>
      </c>
    </row>
    <row r="86" customFormat="false" ht="12.75" hidden="false" customHeight="false" outlineLevel="0" collapsed="false">
      <c r="A86" s="128" t="n">
        <v>11</v>
      </c>
      <c r="B86" s="144" t="n">
        <f aca="false">TblImps[[#This Row],[Time]]</f>
        <v>45433.1666666667</v>
      </c>
      <c r="C86" s="145"/>
      <c r="D86" s="146"/>
      <c r="E86" s="69" t="n">
        <f aca="false">TblConstr[[#This Row],[Land]]</f>
        <v>646</v>
      </c>
      <c r="F86" s="69" t="n">
        <f aca="false">TblPop[[#This Row],[Peasants]]</f>
        <v>8788</v>
      </c>
      <c r="G86" s="69"/>
      <c r="H86" s="69" t="e">
        <f aca="false">TblMili[[#This Row],[Networth (2)]]</f>
        <v>#VALUE!</v>
      </c>
      <c r="I86" s="69" t="n">
        <f aca="false">OFFSET(TblProd[[#This Row],[Platinum]],-1,0)+OFFSET(TblProd[[#This Row],[Plat/hr]],-1,0) - TblProd[[#This Row],[Expenses Platinum]] + IF(TblProd[[#This Row],[Plat Bonus]],TblPop[[#This Row],[Peasants]]*4) + SUM(TblConstr[[#This Row],[Dest Hom]:[Dest Doc]])*TblConstr[[#This Row],[CPA Platinum -DB]]*tech_3_3_2*TblTech[[#This Row],[3-3]]</f>
        <v>2436869</v>
      </c>
      <c r="J86" s="69" t="n">
        <f aca="false">OFFSET(TblProd[[#This Row],[Food]],-1,0)+OFFSET(TblProd[[#This Row],[Food/hr]],-1,0)+ROUNDUP((TblConstr[[#This Row],[Farms]]*80+TblConstr[[#This Row],[Docks]]*35)*(1+OFFSET(TblProd[[#This Row],[Bonus Food/hr]],-1,0)),0)</f>
        <v>404372</v>
      </c>
      <c r="K86" s="69" t="n">
        <f aca="false">OFFSET(TblProd[[#This Row],[Lumber]],-1,0)+OFFSET(TblProd[[#This Row],[Lumber/hr]],-1,0) - TblProd[[#This Row],[Expenses Lumber]] + SUM(TblConstr[[#This Row],[Dest Hom]:[Dest Doc]])*TblConstr[[#This Row],[CPA Lumber -DB]]*tech_3_3_2*TblTech[[#This Row],[3-3]]</f>
        <v>313438</v>
      </c>
      <c r="L86" s="69" t="n">
        <f aca="false">OFFSET(TblProd[[#This Row],[Mana]],-1,0)+OFFSET(TblProd[[#This Row],[Mana/hr]],-1,0)- TblProd[[#This Row],[Expenses Mana]]</f>
        <v>349077</v>
      </c>
      <c r="M86" s="69" t="n">
        <f aca="false">OFFSET(TblProd[[#This Row],[Ore]],-1,0)+OFFSET(TblProd[[#This Row],[Ore/hr]],-1,0) -TblProd[[#This Row],[Expenses Ore]]</f>
        <v>-357</v>
      </c>
      <c r="N86" s="69" t="n">
        <f aca="false">OFFSET(TblProd[[#This Row],[Gems]],-1,0)+OFFSET(TblProd[[#This Row],[Gems/hr]],-1,0) - TblProd[[#This Row],[Expenses Gems]]</f>
        <v>-1000</v>
      </c>
      <c r="O86" s="69" t="n">
        <f aca="false">OFFSET(TblProd[[#This Row],[Boats]],-1,0)+OFFSET(TblProd[[#This Row],[Boats/hr]],-1,0)</f>
        <v>40.25</v>
      </c>
      <c r="P86" s="69" t="n">
        <f aca="false">OFFSET(TblProd[[#This Row],[Prestige]],-1,0)</f>
        <v>250</v>
      </c>
      <c r="Q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6" s="69" t="n">
        <f aca="false">MAX(3750,_xlfn.CEILING.MATH(TblProd[[#This Row],[Land]]*2.5+OFFSET(TblTech[[#This Row],[Sum of tech]],-1,0)*150))</f>
        <v>3750</v>
      </c>
      <c r="S86" s="132"/>
      <c r="T86" s="69" t="n">
        <f aca="false">ROUNDDOWN(TblProd[[#This Row],[Raw Plat/hr]]*(1+TblProd[[#This Row],[Bonus Plat/hr]]),0)</f>
        <v>43645</v>
      </c>
      <c r="U86" s="69" t="n">
        <f aca="false">ROUND(TblProd[[#This Row],[Raw Food/hr]]*(1+TblProd[[#This Row],[Bonus Food/hr]])-TblProd[[#This Row],[Food decay]]-TblProd[[#This Row],[Food eaten]],0)</f>
        <v>-3844</v>
      </c>
      <c r="V86" s="69" t="n">
        <f aca="false">ROUND(TblProd[[#This Row],[Raw Lumber/hr]]*(1+TblProd[[#This Row],[Bonus Lumber/hr]])-TblProd[[#This Row],[Lumber rot]],0)</f>
        <v>-2009</v>
      </c>
      <c r="W86" s="69" t="n">
        <f aca="false">ROUND(TblProd[[#This Row],[Raw Mana/hr]]*(1+TblProd[[#This Row],[Bonus Mana/hr]])-TblProd[[#This Row],[Mana drain]],0)</f>
        <v>-6257</v>
      </c>
      <c r="X86" s="69" t="n">
        <f aca="false">ROUNDDOWN(TblProd[[#This Row],[Raw Ore/hr]]*(1+TblProd[[#This Row],[Bonux Ore/hr]]),0)</f>
        <v>0</v>
      </c>
      <c r="Y86" s="69" t="n">
        <f aca="false">ROUNDDOWN(TblProd[[#This Row],[Raw Gems/hr]]*(1+TblProd[[#This Row],[Bonus Gems/hr]]),0)</f>
        <v>0</v>
      </c>
      <c r="Z86" s="148" t="n">
        <f aca="false">OFFSET(TblConstr[[#This Row],[Tot Doc]],1,0)*dock_boats_hr * (1 + tech_4_1*TblTech[[#This Row],[4-1]])</f>
        <v>1.2</v>
      </c>
      <c r="AA86" s="146"/>
      <c r="AB86" s="69" t="n">
        <f aca="false">TblPop[[#This Row],[Peasants]]*tax*TblPop[[#This Row],[Employment]] + (Construction!AZ87+Construction!BX87)*(alch_plat+(Magic!AM86&gt;0)*alchemist_flame_bonus)</f>
        <v>39677.6</v>
      </c>
      <c r="AC86" s="69" t="n">
        <f aca="false">TblConstr[[#This Row],[Tot Farm]]*farm_food + TblConstr[[#This Row],[Tot Doc]]*dock_food</f>
        <v>3280</v>
      </c>
      <c r="AD86" s="69" t="n">
        <f aca="false">TblConstr[[#This Row],[Tot Ly]]*ly_lumber + TblConstr[[#This Row],[Tot Hav]]*fh_lumber</f>
        <v>1250</v>
      </c>
      <c r="AE86" s="69" t="n">
        <f aca="false">OFFSET(TblConstr[[#This Row],[Tot Tow]],1,0)*(tower_mana + tech_4_5*TblTech[[#This Row],[4-5]]) + OFFSET(TblConstr[[#This Row],[Tot WG]],1,0)*wg_mana_prod</f>
        <v>725</v>
      </c>
      <c r="AF86" s="69" t="n">
        <f aca="false">OFFSET(TblConstr[[#This Row],[Tot OM]],1,0)*om_ore+IF(race="Dwarf",ROUNDDOWN(TblMili[[#This Row],[Unit 2]]*0.4,0),)</f>
        <v>0</v>
      </c>
      <c r="AG86" s="69" t="n">
        <f aca="false">OFFSET(TblConstr[[#This Row],[Tot DM]],1,0)*dm_gems</f>
        <v>0</v>
      </c>
      <c r="AH86" s="132"/>
      <c r="AI86" s="149" t="n">
        <f aca="false">MIN(race_platinum_bonus + IF(TblMagic[[#This Row],[Active Alch Frost]]&gt;0,alch_frost_bonus,IF(Magic!AD86&gt;0,midas_bonus)) + TblImps[[#This Row],[Science]] - TblProd[[#This Row],[Guard]]*(0.02 + tech_5_7*TblTech[[#This Row],[5-7]]) + tech_1_5*TblTech[[#This Row],[1-5]] + tech_4_4*TblTech[[#This Row],[4-4]], 0.5)</f>
        <v>0.1</v>
      </c>
      <c r="AJ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6" s="149" t="n">
        <f aca="false">race_lumber_bonus+ IF(TblMagic[[#This Row],[Active Gaia''s Blessing]]&gt;0,gaias_blessing_lumber)+ tech_1_3*TblTech[[#This Row],[1-3]] + tech_1_6*TblTech[[#This Row],[1-6]] + tech_3_3*TblTech[[#This Row],[3-3]]</f>
        <v>-0.1</v>
      </c>
      <c r="AL86" s="149" t="n">
        <f aca="false">race_mana_bonus+ 0 + TblImps[[#This Row],[Towers]] + tech_1_2*TblTech[[#This Row],[1-2]] + tech_3_4*TblTech[[#This Row],[3-4]]</f>
        <v>0</v>
      </c>
      <c r="AM86" s="149" t="n">
        <f aca="false">race_ore_bonus + IF(TblMagic[[#This Row],[Active Miner''s Sight]]&gt;0,miners_sight_bonus,IF(TblMagic[[#This Row],[Active Mining Strength]]&gt;0,mining_strength_bonus)) +  tech_1_6*TblTech[[#This Row],[1-6]]</f>
        <v>0</v>
      </c>
      <c r="AN86" s="149" t="n">
        <f aca="false">race_gem_bonus+ tech_3_2*TblTech[[#This Row],[3-2]] + tech_4_3*TblTech[[#This Row],[4-3]] + tech_6_2*TblTech[[#This Row],[6-2]]</f>
        <v>0.15</v>
      </c>
      <c r="AO86" s="132"/>
      <c r="AP86" s="69" t="n">
        <f aca="false">TblProd[[#This Row],[Food]]*food_decay * (1 + tech_2_1*TblTech[[#This Row],[2-1]] + tech_2_8*TblTech[[#This Row],[2-8]])</f>
        <v>4043.72</v>
      </c>
      <c r="AQ86" s="69" t="n">
        <f aca="false">(1+race_food_consumption)*TblPop[[#This Row],[Total]]*food_per_person*(1+tech_1_10*TblTech[[#This Row],[1-10]]+tech_7_5*TblTech[[#This Row],[7-5]])</f>
        <v>3162.25</v>
      </c>
      <c r="AR86" s="69" t="n">
        <f aca="false">TblProd[[#This Row],[Lumber]]*lumber_rot * (1 + tech_2_1*TblTech[[#This Row],[2-1]] + tech_2_8*TblTech[[#This Row],[2-8]] + tech_5_2*TblTech[[#This Row],[5-2]])</f>
        <v>3134.38</v>
      </c>
      <c r="AS86" s="69" t="n">
        <f aca="false">TblProd[[#This Row],[Mana]]*mana_drain * (1 + tech_2_1*TblTech[[#This Row],[2-1]] + tech_2_8*TblTech[[#This Row],[2-8]])</f>
        <v>6981.54</v>
      </c>
      <c r="AT86" s="146"/>
      <c r="AU86" s="69" t="n">
        <f aca="false">TblExplore[[#This Row],[Platinum (2)]]+TblConstr[[#This Row],[Total Plat Cost]]+TblMili[[#This Row],[Plat Cost]]+TblRezone[[#This Row],[Platinum cost]]+TblImps[[#This Row],[P1]]-TblProd[[#This Row],[Bank Plat]]</f>
        <v>-65340</v>
      </c>
      <c r="AV86" s="69" t="n">
        <f aca="false">TblConstr[[#This Row],[Total Lum Cost]]+TblImps[[#This Row],[L1]]-TblProd[[#This Row],[Bank Lumber]] + Military!$CL$25*TblMili[[#This Row],[Sec. rec. Cost]]</f>
        <v>-10800</v>
      </c>
      <c r="AW86" s="69" t="n">
        <f aca="false">TblMagic[[#This Row],[Mana cost]] + Military!$CL$26*TblMili[[#This Row],[Sec. rec. Cost]]</f>
        <v>0</v>
      </c>
      <c r="AX86" s="69" t="n">
        <f aca="false">Military!$CL$24*TblMili[[#This Row],[Sec. rec. Cost]]+TblImps[[#This Row],[O1]]-TblProd[[#This Row],[Bank Ore]]</f>
        <v>0</v>
      </c>
      <c r="AY86" s="69" t="n">
        <f aca="false">TblImps[[#This Row],[G1]]-TblProd[[#This Row],[Bank Gems]]</f>
        <v>0</v>
      </c>
      <c r="AZ86" s="132"/>
      <c r="BA86" s="33" t="n">
        <f aca="false">IF(TblProd[[#This Row],[Set Guard]]&lt;&gt;"",TblProd[[#This Row],[Set Guard]],OFFSET(TblProd[[#This Row],[Guard]],-1,0))</f>
        <v>0</v>
      </c>
      <c r="BB86" s="145"/>
      <c r="BC86" s="151" t="n">
        <f aca="false">TblProd[[#This Row],[Hour]]</f>
        <v>11</v>
      </c>
      <c r="BD86" s="152" t="n">
        <f aca="false">-TblProd[[#This Row],[Bank Lumber]] / 2 + -TblProd[[#This Row],[Bank Gems]] * 2 + -TblProd[[#This Row],[Bank Ore]] / 2</f>
        <v>0</v>
      </c>
      <c r="BE86" s="152"/>
      <c r="BF86" s="152"/>
      <c r="BG86" s="152"/>
      <c r="BH86" s="153" t="n">
        <f aca="false">TblProd[[#This Row],[Time]]</f>
        <v>45433.1666666667</v>
      </c>
      <c r="BI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J86" s="69" t="n">
        <f aca="false">TblProd[[#This Row],[Platinum]]</f>
        <v>2436869</v>
      </c>
      <c r="BK86" s="69" t="n">
        <f aca="false">TblProd[[#This Row],[Food]]</f>
        <v>404372</v>
      </c>
      <c r="BL86" s="69" t="n">
        <f aca="false">TblProd[[#This Row],[Lumber]]</f>
        <v>313438</v>
      </c>
      <c r="BM86" s="69" t="n">
        <f aca="false">TblProd[[#This Row],[Mana]]</f>
        <v>349077</v>
      </c>
      <c r="BN86" s="69" t="n">
        <f aca="false">TblProd[[#This Row],[Ore]]</f>
        <v>-357</v>
      </c>
    </row>
    <row r="87" customFormat="false" ht="12.75" hidden="false" customHeight="false" outlineLevel="0" collapsed="false">
      <c r="A87" s="128" t="n">
        <v>12</v>
      </c>
      <c r="B87" s="144" t="n">
        <f aca="false">TblImps[[#This Row],[Time]]</f>
        <v>45433.2083333333</v>
      </c>
      <c r="C87" s="145"/>
      <c r="D87" s="146"/>
      <c r="E87" s="69" t="n">
        <f aca="false">TblConstr[[#This Row],[Land]]</f>
        <v>646</v>
      </c>
      <c r="F87" s="69" t="n">
        <f aca="false">TblPop[[#This Row],[Peasants]]</f>
        <v>8700</v>
      </c>
      <c r="G87" s="69"/>
      <c r="H87" s="69" t="e">
        <f aca="false">TblMili[[#This Row],[Networth (2)]]</f>
        <v>#VALUE!</v>
      </c>
      <c r="I87" s="69" t="n">
        <f aca="false">OFFSET(TblProd[[#This Row],[Platinum]],-1,0)+OFFSET(TblProd[[#This Row],[Plat/hr]],-1,0) - TblProd[[#This Row],[Expenses Platinum]] + IF(TblProd[[#This Row],[Plat Bonus]],TblPop[[#This Row],[Peasants]]*4) + SUM(TblConstr[[#This Row],[Dest Hom]:[Dest Doc]])*TblConstr[[#This Row],[CPA Platinum -DB]]*tech_3_3_2*TblTech[[#This Row],[3-3]]</f>
        <v>2545854</v>
      </c>
      <c r="J87" s="69" t="n">
        <f aca="false">OFFSET(TblProd[[#This Row],[Food]],-1,0)+OFFSET(TblProd[[#This Row],[Food/hr]],-1,0)+ROUNDUP((TblConstr[[#This Row],[Farms]]*80+TblConstr[[#This Row],[Docks]]*35)*(1+OFFSET(TblProd[[#This Row],[Bonus Food/hr]],-1,0)),0)</f>
        <v>400528</v>
      </c>
      <c r="K87" s="69" t="n">
        <f aca="false">OFFSET(TblProd[[#This Row],[Lumber]],-1,0)+OFFSET(TblProd[[#This Row],[Lumber/hr]],-1,0) - TblProd[[#This Row],[Expenses Lumber]] + SUM(TblConstr[[#This Row],[Dest Hom]:[Dest Doc]])*TblConstr[[#This Row],[CPA Lumber -DB]]*tech_3_3_2*TblTech[[#This Row],[3-3]]</f>
        <v>322229</v>
      </c>
      <c r="L87" s="69" t="n">
        <f aca="false">OFFSET(TblProd[[#This Row],[Mana]],-1,0)+OFFSET(TblProd[[#This Row],[Mana/hr]],-1,0)- TblProd[[#This Row],[Expenses Mana]]</f>
        <v>342820</v>
      </c>
      <c r="M87" s="69" t="n">
        <f aca="false">OFFSET(TblProd[[#This Row],[Ore]],-1,0)+OFFSET(TblProd[[#This Row],[Ore/hr]],-1,0) -TblProd[[#This Row],[Expenses Ore]]</f>
        <v>-357</v>
      </c>
      <c r="N87" s="69" t="n">
        <f aca="false">OFFSET(TblProd[[#This Row],[Gems]],-1,0)+OFFSET(TblProd[[#This Row],[Gems/hr]],-1,0) - TblProd[[#This Row],[Expenses Gems]]</f>
        <v>-1000</v>
      </c>
      <c r="O87" s="69" t="n">
        <f aca="false">OFFSET(TblProd[[#This Row],[Boats]],-1,0)+OFFSET(TblProd[[#This Row],[Boats/hr]],-1,0)</f>
        <v>41.45</v>
      </c>
      <c r="P87" s="69" t="n">
        <f aca="false">OFFSET(TblProd[[#This Row],[Prestige]],-1,0)</f>
        <v>250</v>
      </c>
      <c r="Q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7" s="69" t="n">
        <f aca="false">MAX(3750,_xlfn.CEILING.MATH(TblProd[[#This Row],[Land]]*2.5+OFFSET(TblTech[[#This Row],[Sum of tech]],-1,0)*150))</f>
        <v>3750</v>
      </c>
      <c r="S87" s="132"/>
      <c r="T87" s="69" t="n">
        <f aca="false">ROUNDDOWN(TblProd[[#This Row],[Raw Plat/hr]]*(1+TblProd[[#This Row],[Bonus Plat/hr]]),0)</f>
        <v>43384</v>
      </c>
      <c r="U87" s="69" t="n">
        <f aca="false">ROUND(TblProd[[#This Row],[Raw Food/hr]]*(1+TblProd[[#This Row],[Bonus Food/hr]])-TblProd[[#This Row],[Food decay]]-TblProd[[#This Row],[Food eaten]],0)</f>
        <v>-3806</v>
      </c>
      <c r="V87" s="69" t="n">
        <f aca="false">ROUND(TblProd[[#This Row],[Raw Lumber/hr]]*(1+TblProd[[#This Row],[Bonus Lumber/hr]])-TblProd[[#This Row],[Lumber rot]],0)</f>
        <v>-2097</v>
      </c>
      <c r="W87" s="69" t="n">
        <f aca="false">ROUND(TblProd[[#This Row],[Raw Mana/hr]]*(1+TblProd[[#This Row],[Bonus Mana/hr]])-TblProd[[#This Row],[Mana drain]],0)</f>
        <v>-6131</v>
      </c>
      <c r="X87" s="69" t="n">
        <f aca="false">ROUNDDOWN(TblProd[[#This Row],[Raw Ore/hr]]*(1+TblProd[[#This Row],[Bonux Ore/hr]]),0)</f>
        <v>0</v>
      </c>
      <c r="Y87" s="69" t="n">
        <f aca="false">ROUNDDOWN(TblProd[[#This Row],[Raw Gems/hr]]*(1+TblProd[[#This Row],[Bonus Gems/hr]]),0)</f>
        <v>0</v>
      </c>
      <c r="Z87" s="148" t="n">
        <f aca="false">OFFSET(TblConstr[[#This Row],[Tot Doc]],1,0)*dock_boats_hr * (1 + tech_4_1*TblTech[[#This Row],[4-1]])</f>
        <v>1.2</v>
      </c>
      <c r="AA87" s="146"/>
      <c r="AB87" s="69" t="n">
        <f aca="false">TblPop[[#This Row],[Peasants]]*tax*TblPop[[#This Row],[Employment]] + (Construction!AZ88+Construction!BX88)*(alch_plat+(Magic!AM87&gt;0)*alchemist_flame_bonus)</f>
        <v>39440</v>
      </c>
      <c r="AC87" s="69" t="n">
        <f aca="false">TblConstr[[#This Row],[Tot Farm]]*farm_food + TblConstr[[#This Row],[Tot Doc]]*dock_food</f>
        <v>3280</v>
      </c>
      <c r="AD87" s="69" t="n">
        <f aca="false">TblConstr[[#This Row],[Tot Ly]]*ly_lumber + TblConstr[[#This Row],[Tot Hav]]*fh_lumber</f>
        <v>1250</v>
      </c>
      <c r="AE87" s="69" t="n">
        <f aca="false">OFFSET(TblConstr[[#This Row],[Tot Tow]],1,0)*(tower_mana + tech_4_5*TblTech[[#This Row],[4-5]]) + OFFSET(TblConstr[[#This Row],[Tot WG]],1,0)*wg_mana_prod</f>
        <v>725</v>
      </c>
      <c r="AF87" s="69" t="n">
        <f aca="false">OFFSET(TblConstr[[#This Row],[Tot OM]],1,0)*om_ore+IF(race="Dwarf",ROUNDDOWN(TblMili[[#This Row],[Unit 2]]*0.4,0),)</f>
        <v>0</v>
      </c>
      <c r="AG87" s="69" t="n">
        <f aca="false">OFFSET(TblConstr[[#This Row],[Tot DM]],1,0)*dm_gems</f>
        <v>0</v>
      </c>
      <c r="AH87" s="132"/>
      <c r="AI87" s="149" t="n">
        <f aca="false">MIN(race_platinum_bonus + IF(TblMagic[[#This Row],[Active Alch Frost]]&gt;0,alch_frost_bonus,IF(Magic!AD87&gt;0,midas_bonus)) + TblImps[[#This Row],[Science]] - TblProd[[#This Row],[Guard]]*(0.02 + tech_5_7*TblTech[[#This Row],[5-7]]) + tech_1_5*TblTech[[#This Row],[1-5]] + tech_4_4*TblTech[[#This Row],[4-4]], 0.5)</f>
        <v>0.1</v>
      </c>
      <c r="AJ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7" s="149" t="n">
        <f aca="false">race_lumber_bonus+ IF(TblMagic[[#This Row],[Active Gaia''s Blessing]]&gt;0,gaias_blessing_lumber)+ tech_1_3*TblTech[[#This Row],[1-3]] + tech_1_6*TblTech[[#This Row],[1-6]] + tech_3_3*TblTech[[#This Row],[3-3]]</f>
        <v>-0.1</v>
      </c>
      <c r="AL87" s="149" t="n">
        <f aca="false">race_mana_bonus+ 0 + TblImps[[#This Row],[Towers]] + tech_1_2*TblTech[[#This Row],[1-2]] + tech_3_4*TblTech[[#This Row],[3-4]]</f>
        <v>0</v>
      </c>
      <c r="AM87" s="149" t="n">
        <f aca="false">race_ore_bonus + IF(TblMagic[[#This Row],[Active Miner''s Sight]]&gt;0,miners_sight_bonus,IF(TblMagic[[#This Row],[Active Mining Strength]]&gt;0,mining_strength_bonus)) +  tech_1_6*TblTech[[#This Row],[1-6]]</f>
        <v>0</v>
      </c>
      <c r="AN87" s="149" t="n">
        <f aca="false">race_gem_bonus+ tech_3_2*TblTech[[#This Row],[3-2]] + tech_4_3*TblTech[[#This Row],[4-3]] + tech_6_2*TblTech[[#This Row],[6-2]]</f>
        <v>0.15</v>
      </c>
      <c r="AO87" s="132"/>
      <c r="AP87" s="69" t="n">
        <f aca="false">TblProd[[#This Row],[Food]]*food_decay * (1 + tech_2_1*TblTech[[#This Row],[2-1]] + tech_2_8*TblTech[[#This Row],[2-8]])</f>
        <v>4005.28</v>
      </c>
      <c r="AQ87" s="69" t="n">
        <f aca="false">(1+race_food_consumption)*TblPop[[#This Row],[Total]]*food_per_person*(1+tech_1_10*TblTech[[#This Row],[1-10]]+tech_7_5*TblTech[[#This Row],[7-5]])</f>
        <v>3162.25</v>
      </c>
      <c r="AR87" s="69" t="n">
        <f aca="false">TblProd[[#This Row],[Lumber]]*lumber_rot * (1 + tech_2_1*TblTech[[#This Row],[2-1]] + tech_2_8*TblTech[[#This Row],[2-8]] + tech_5_2*TblTech[[#This Row],[5-2]])</f>
        <v>3222.29</v>
      </c>
      <c r="AS87" s="69" t="n">
        <f aca="false">TblProd[[#This Row],[Mana]]*mana_drain * (1 + tech_2_1*TblTech[[#This Row],[2-1]] + tech_2_8*TblTech[[#This Row],[2-8]])</f>
        <v>6856.4</v>
      </c>
      <c r="AT87" s="146"/>
      <c r="AU87" s="69" t="n">
        <f aca="false">TblExplore[[#This Row],[Platinum (2)]]+TblConstr[[#This Row],[Total Plat Cost]]+TblMili[[#This Row],[Plat Cost]]+TblRezone[[#This Row],[Platinum cost]]+TblImps[[#This Row],[P1]]-TblProd[[#This Row],[Bank Plat]]</f>
        <v>-65340</v>
      </c>
      <c r="AV87" s="69" t="n">
        <f aca="false">TblConstr[[#This Row],[Total Lum Cost]]+TblImps[[#This Row],[L1]]-TblProd[[#This Row],[Bank Lumber]] + Military!$CL$25*TblMili[[#This Row],[Sec. rec. Cost]]</f>
        <v>-10800</v>
      </c>
      <c r="AW87" s="69" t="n">
        <f aca="false">TblMagic[[#This Row],[Mana cost]] + Military!$CL$26*TblMili[[#This Row],[Sec. rec. Cost]]</f>
        <v>0</v>
      </c>
      <c r="AX87" s="69" t="n">
        <f aca="false">Military!$CL$24*TblMili[[#This Row],[Sec. rec. Cost]]+TblImps[[#This Row],[O1]]-TblProd[[#This Row],[Bank Ore]]</f>
        <v>0</v>
      </c>
      <c r="AY87" s="69" t="n">
        <f aca="false">TblImps[[#This Row],[G1]]-TblProd[[#This Row],[Bank Gems]]</f>
        <v>0</v>
      </c>
      <c r="AZ87" s="132"/>
      <c r="BA87" s="33" t="n">
        <f aca="false">IF(TblProd[[#This Row],[Set Guard]]&lt;&gt;"",TblProd[[#This Row],[Set Guard]],OFFSET(TblProd[[#This Row],[Guard]],-1,0))</f>
        <v>0</v>
      </c>
      <c r="BB87" s="145"/>
      <c r="BC87" s="151" t="n">
        <f aca="false">TblProd[[#This Row],[Hour]]</f>
        <v>12</v>
      </c>
      <c r="BD87" s="152" t="n">
        <f aca="false">-TblProd[[#This Row],[Bank Lumber]] / 2 + -TblProd[[#This Row],[Bank Gems]] * 2 + -TblProd[[#This Row],[Bank Ore]] / 2</f>
        <v>0</v>
      </c>
      <c r="BE87" s="152"/>
      <c r="BF87" s="152"/>
      <c r="BG87" s="152"/>
      <c r="BH87" s="153" t="n">
        <f aca="false">TblProd[[#This Row],[Time]]</f>
        <v>45433.2083333333</v>
      </c>
      <c r="BI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J87" s="69" t="n">
        <f aca="false">TblProd[[#This Row],[Platinum]]</f>
        <v>2545854</v>
      </c>
      <c r="BK87" s="69" t="n">
        <f aca="false">TblProd[[#This Row],[Food]]</f>
        <v>400528</v>
      </c>
      <c r="BL87" s="69" t="n">
        <f aca="false">TblProd[[#This Row],[Lumber]]</f>
        <v>322229</v>
      </c>
      <c r="BM87" s="69" t="n">
        <f aca="false">TblProd[[#This Row],[Mana]]</f>
        <v>342820</v>
      </c>
      <c r="BN87" s="69" t="n">
        <f aca="false">TblProd[[#This Row],[Ore]]</f>
        <v>-357</v>
      </c>
    </row>
    <row r="88" customFormat="false" ht="12.75" hidden="false" customHeight="false" outlineLevel="0" collapsed="false">
      <c r="A88" s="128" t="n">
        <v>13</v>
      </c>
      <c r="B88" s="144" t="n">
        <f aca="false">TblImps[[#This Row],[Time]]</f>
        <v>45433.25</v>
      </c>
      <c r="C88" s="145"/>
      <c r="D88" s="146"/>
      <c r="E88" s="69" t="n">
        <f aca="false">TblConstr[[#This Row],[Land]]</f>
        <v>646</v>
      </c>
      <c r="F88" s="69" t="n">
        <f aca="false">TblPop[[#This Row],[Peasants]]</f>
        <v>8613</v>
      </c>
      <c r="G88" s="69"/>
      <c r="H88" s="69" t="e">
        <f aca="false">TblMili[[#This Row],[Networth (2)]]</f>
        <v>#VALUE!</v>
      </c>
      <c r="I88" s="69" t="n">
        <f aca="false">OFFSET(TblProd[[#This Row],[Platinum]],-1,0)+OFFSET(TblProd[[#This Row],[Plat/hr]],-1,0) - TblProd[[#This Row],[Expenses Platinum]] + IF(TblProd[[#This Row],[Plat Bonus]],TblPop[[#This Row],[Peasants]]*4) + SUM(TblConstr[[#This Row],[Dest Hom]:[Dest Doc]])*TblConstr[[#This Row],[CPA Platinum -DB]]*tech_3_3_2*TblTech[[#This Row],[3-3]]</f>
        <v>2654578</v>
      </c>
      <c r="J88" s="69" t="n">
        <f aca="false">OFFSET(TblProd[[#This Row],[Food]],-1,0)+OFFSET(TblProd[[#This Row],[Food/hr]],-1,0)+ROUNDUP((TblConstr[[#This Row],[Farms]]*80+TblConstr[[#This Row],[Docks]]*35)*(1+OFFSET(TblProd[[#This Row],[Bonus Food/hr]],-1,0)),0)</f>
        <v>396722</v>
      </c>
      <c r="K88" s="69" t="n">
        <f aca="false">OFFSET(TblProd[[#This Row],[Lumber]],-1,0)+OFFSET(TblProd[[#This Row],[Lumber/hr]],-1,0) - TblProd[[#This Row],[Expenses Lumber]] + SUM(TblConstr[[#This Row],[Dest Hom]:[Dest Doc]])*TblConstr[[#This Row],[CPA Lumber -DB]]*tech_3_3_2*TblTech[[#This Row],[3-3]]</f>
        <v>330932</v>
      </c>
      <c r="L88" s="69" t="n">
        <f aca="false">OFFSET(TblProd[[#This Row],[Mana]],-1,0)+OFFSET(TblProd[[#This Row],[Mana/hr]],-1,0)- TblProd[[#This Row],[Expenses Mana]]</f>
        <v>330229</v>
      </c>
      <c r="M88" s="69" t="n">
        <f aca="false">OFFSET(TblProd[[#This Row],[Ore]],-1,0)+OFFSET(TblProd[[#This Row],[Ore/hr]],-1,0) -TblProd[[#This Row],[Expenses Ore]]</f>
        <v>-357</v>
      </c>
      <c r="N88" s="69" t="n">
        <f aca="false">OFFSET(TblProd[[#This Row],[Gems]],-1,0)+OFFSET(TblProd[[#This Row],[Gems/hr]],-1,0) - TblProd[[#This Row],[Expenses Gems]]</f>
        <v>-1000</v>
      </c>
      <c r="O88" s="69" t="n">
        <f aca="false">OFFSET(TblProd[[#This Row],[Boats]],-1,0)+OFFSET(TblProd[[#This Row],[Boats/hr]],-1,0)</f>
        <v>42.65</v>
      </c>
      <c r="P88" s="69" t="n">
        <f aca="false">OFFSET(TblProd[[#This Row],[Prestige]],-1,0)</f>
        <v>250</v>
      </c>
      <c r="Q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8" s="69" t="n">
        <f aca="false">MAX(3750,_xlfn.CEILING.MATH(TblProd[[#This Row],[Land]]*2.5+OFFSET(TblTech[[#This Row],[Sum of tech]],-1,0)*150))</f>
        <v>3750</v>
      </c>
      <c r="S88" s="132"/>
      <c r="T88" s="69" t="n">
        <f aca="false">ROUNDDOWN(TblProd[[#This Row],[Raw Plat/hr]]*(1+TblProd[[#This Row],[Bonus Plat/hr]]),0)</f>
        <v>43125</v>
      </c>
      <c r="U88" s="69" t="n">
        <f aca="false">ROUND(TblProd[[#This Row],[Raw Food/hr]]*(1+TblProd[[#This Row],[Bonus Food/hr]])-TblProd[[#This Row],[Food decay]]-TblProd[[#This Row],[Food eaten]],0)</f>
        <v>-3767</v>
      </c>
      <c r="V88" s="69" t="n">
        <f aca="false">ROUND(TblProd[[#This Row],[Raw Lumber/hr]]*(1+TblProd[[#This Row],[Bonus Lumber/hr]])-TblProd[[#This Row],[Lumber rot]],0)</f>
        <v>-2184</v>
      </c>
      <c r="W88" s="69" t="n">
        <f aca="false">ROUND(TblProd[[#This Row],[Raw Mana/hr]]*(1+TblProd[[#This Row],[Bonus Mana/hr]])-TblProd[[#This Row],[Mana drain]],0)</f>
        <v>-5880</v>
      </c>
      <c r="X88" s="69" t="n">
        <f aca="false">ROUNDDOWN(TblProd[[#This Row],[Raw Ore/hr]]*(1+TblProd[[#This Row],[Bonux Ore/hr]]),0)</f>
        <v>0</v>
      </c>
      <c r="Y88" s="69" t="n">
        <f aca="false">ROUNDDOWN(TblProd[[#This Row],[Raw Gems/hr]]*(1+TblProd[[#This Row],[Bonus Gems/hr]]),0)</f>
        <v>0</v>
      </c>
      <c r="Z88" s="148" t="n">
        <f aca="false">OFFSET(TblConstr[[#This Row],[Tot Doc]],1,0)*dock_boats_hr * (1 + tech_4_1*TblTech[[#This Row],[4-1]])</f>
        <v>1.2</v>
      </c>
      <c r="AA88" s="146"/>
      <c r="AB88" s="69" t="n">
        <f aca="false">TblPop[[#This Row],[Peasants]]*tax*TblPop[[#This Row],[Employment]] + (Construction!AZ89+Construction!BX89)*(alch_plat+(Magic!AM88&gt;0)*alchemist_flame_bonus)</f>
        <v>39205.1</v>
      </c>
      <c r="AC88" s="69" t="n">
        <f aca="false">TblConstr[[#This Row],[Tot Farm]]*farm_food + TblConstr[[#This Row],[Tot Doc]]*dock_food</f>
        <v>3280</v>
      </c>
      <c r="AD88" s="69" t="n">
        <f aca="false">TblConstr[[#This Row],[Tot Ly]]*ly_lumber + TblConstr[[#This Row],[Tot Hav]]*fh_lumber</f>
        <v>1250</v>
      </c>
      <c r="AE88" s="69" t="n">
        <f aca="false">OFFSET(TblConstr[[#This Row],[Tot Tow]],1,0)*(tower_mana + tech_4_5*TblTech[[#This Row],[4-5]]) + OFFSET(TblConstr[[#This Row],[Tot WG]],1,0)*wg_mana_prod</f>
        <v>725</v>
      </c>
      <c r="AF88" s="69" t="n">
        <f aca="false">OFFSET(TblConstr[[#This Row],[Tot OM]],1,0)*om_ore+IF(race="Dwarf",ROUNDDOWN(TblMili[[#This Row],[Unit 2]]*0.4,0),)</f>
        <v>0</v>
      </c>
      <c r="AG88" s="69" t="n">
        <f aca="false">OFFSET(TblConstr[[#This Row],[Tot DM]],1,0)*dm_gems</f>
        <v>0</v>
      </c>
      <c r="AH88" s="132"/>
      <c r="AI88" s="149" t="n">
        <f aca="false">MIN(race_platinum_bonus + IF(TblMagic[[#This Row],[Active Alch Frost]]&gt;0,alch_frost_bonus,IF(Magic!AD88&gt;0,midas_bonus)) + TblImps[[#This Row],[Science]] - TblProd[[#This Row],[Guard]]*(0.02 + tech_5_7*TblTech[[#This Row],[5-7]]) + tech_1_5*TblTech[[#This Row],[1-5]] + tech_4_4*TblTech[[#This Row],[4-4]], 0.5)</f>
        <v>0.1</v>
      </c>
      <c r="AJ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8" s="149" t="n">
        <f aca="false">race_lumber_bonus+ IF(TblMagic[[#This Row],[Active Gaia''s Blessing]]&gt;0,gaias_blessing_lumber)+ tech_1_3*TblTech[[#This Row],[1-3]] + tech_1_6*TblTech[[#This Row],[1-6]] + tech_3_3*TblTech[[#This Row],[3-3]]</f>
        <v>-0.1</v>
      </c>
      <c r="AL88" s="149" t="n">
        <f aca="false">race_mana_bonus+ 0 + TblImps[[#This Row],[Towers]] + tech_1_2*TblTech[[#This Row],[1-2]] + tech_3_4*TblTech[[#This Row],[3-4]]</f>
        <v>0</v>
      </c>
      <c r="AM88" s="149" t="n">
        <f aca="false">race_ore_bonus + IF(TblMagic[[#This Row],[Active Miner''s Sight]]&gt;0,miners_sight_bonus,IF(TblMagic[[#This Row],[Active Mining Strength]]&gt;0,mining_strength_bonus)) +  tech_1_6*TblTech[[#This Row],[1-6]]</f>
        <v>0</v>
      </c>
      <c r="AN88" s="149" t="n">
        <f aca="false">race_gem_bonus+ tech_3_2*TblTech[[#This Row],[3-2]] + tech_4_3*TblTech[[#This Row],[4-3]] + tech_6_2*TblTech[[#This Row],[6-2]]</f>
        <v>0.15</v>
      </c>
      <c r="AO88" s="132"/>
      <c r="AP88" s="69" t="n">
        <f aca="false">TblProd[[#This Row],[Food]]*food_decay * (1 + tech_2_1*TblTech[[#This Row],[2-1]] + tech_2_8*TblTech[[#This Row],[2-8]])</f>
        <v>3967.22</v>
      </c>
      <c r="AQ88" s="69" t="n">
        <f aca="false">(1+race_food_consumption)*TblPop[[#This Row],[Total]]*food_per_person*(1+tech_1_10*TblTech[[#This Row],[1-10]]+tech_7_5*TblTech[[#This Row],[7-5]])</f>
        <v>3162.25</v>
      </c>
      <c r="AR88" s="69" t="n">
        <f aca="false">TblProd[[#This Row],[Lumber]]*lumber_rot * (1 + tech_2_1*TblTech[[#This Row],[2-1]] + tech_2_8*TblTech[[#This Row],[2-8]] + tech_5_2*TblTech[[#This Row],[5-2]])</f>
        <v>3309.32</v>
      </c>
      <c r="AS88" s="69" t="n">
        <f aca="false">TblProd[[#This Row],[Mana]]*mana_drain * (1 + tech_2_1*TblTech[[#This Row],[2-1]] + tech_2_8*TblTech[[#This Row],[2-8]])</f>
        <v>6604.58</v>
      </c>
      <c r="AT88" s="146"/>
      <c r="AU88" s="69" t="n">
        <f aca="false">TblExplore[[#This Row],[Platinum (2)]]+TblConstr[[#This Row],[Total Plat Cost]]+TblMili[[#This Row],[Plat Cost]]+TblRezone[[#This Row],[Platinum cost]]+TblImps[[#This Row],[P1]]-TblProd[[#This Row],[Bank Plat]]</f>
        <v>-65340</v>
      </c>
      <c r="AV88" s="69" t="n">
        <f aca="false">TblConstr[[#This Row],[Total Lum Cost]]+TblImps[[#This Row],[L1]]-TblProd[[#This Row],[Bank Lumber]] + Military!$CL$25*TblMili[[#This Row],[Sec. rec. Cost]]</f>
        <v>-10800</v>
      </c>
      <c r="AW88" s="69" t="n">
        <f aca="false">TblMagic[[#This Row],[Mana cost]] + Military!$CL$26*TblMili[[#This Row],[Sec. rec. Cost]]</f>
        <v>6460</v>
      </c>
      <c r="AX88" s="69" t="n">
        <f aca="false">Military!$CL$24*TblMili[[#This Row],[Sec. rec. Cost]]+TblImps[[#This Row],[O1]]-TblProd[[#This Row],[Bank Ore]]</f>
        <v>0</v>
      </c>
      <c r="AY88" s="69" t="n">
        <f aca="false">TblImps[[#This Row],[G1]]-TblProd[[#This Row],[Bank Gems]]</f>
        <v>0</v>
      </c>
      <c r="AZ88" s="132"/>
      <c r="BA88" s="33" t="n">
        <f aca="false">IF(TblProd[[#This Row],[Set Guard]]&lt;&gt;"",TblProd[[#This Row],[Set Guard]],OFFSET(TblProd[[#This Row],[Guard]],-1,0))</f>
        <v>0</v>
      </c>
      <c r="BB88" s="145"/>
      <c r="BC88" s="151" t="n">
        <f aca="false">TblProd[[#This Row],[Hour]]</f>
        <v>13</v>
      </c>
      <c r="BD88" s="152" t="n">
        <f aca="false">-TblProd[[#This Row],[Bank Lumber]] / 2 + -TblProd[[#This Row],[Bank Gems]] * 2 + -TblProd[[#This Row],[Bank Ore]] / 2</f>
        <v>0</v>
      </c>
      <c r="BE88" s="152"/>
      <c r="BF88" s="152"/>
      <c r="BG88" s="152"/>
      <c r="BH88" s="153" t="n">
        <f aca="false">TblProd[[#This Row],[Time]]</f>
        <v>45433.25</v>
      </c>
      <c r="BI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J88" s="69" t="n">
        <f aca="false">TblProd[[#This Row],[Platinum]]</f>
        <v>2654578</v>
      </c>
      <c r="BK88" s="69" t="n">
        <f aca="false">TblProd[[#This Row],[Food]]</f>
        <v>396722</v>
      </c>
      <c r="BL88" s="69" t="n">
        <f aca="false">TblProd[[#This Row],[Lumber]]</f>
        <v>330932</v>
      </c>
      <c r="BM88" s="69" t="n">
        <f aca="false">TblProd[[#This Row],[Mana]]</f>
        <v>330229</v>
      </c>
      <c r="BN88" s="69" t="n">
        <f aca="false">TblProd[[#This Row],[Ore]]</f>
        <v>-357</v>
      </c>
    </row>
    <row r="89" customFormat="false" ht="12.75" hidden="false" customHeight="false" outlineLevel="0" collapsed="false">
      <c r="A89" s="128" t="n">
        <v>14</v>
      </c>
      <c r="B89" s="144" t="n">
        <f aca="false">TblImps[[#This Row],[Time]]</f>
        <v>45433.2916666667</v>
      </c>
      <c r="C89" s="145"/>
      <c r="D89" s="146"/>
      <c r="E89" s="69" t="n">
        <f aca="false">TblConstr[[#This Row],[Land]]</f>
        <v>646</v>
      </c>
      <c r="F89" s="69" t="n">
        <f aca="false">TblPop[[#This Row],[Peasants]]</f>
        <v>8527</v>
      </c>
      <c r="G89" s="69"/>
      <c r="H89" s="69" t="e">
        <f aca="false">TblMili[[#This Row],[Networth (2)]]</f>
        <v>#VALUE!</v>
      </c>
      <c r="I89" s="69" t="n">
        <f aca="false">OFFSET(TblProd[[#This Row],[Platinum]],-1,0)+OFFSET(TblProd[[#This Row],[Plat/hr]],-1,0) - TblProd[[#This Row],[Expenses Platinum]] + IF(TblProd[[#This Row],[Plat Bonus]],TblPop[[#This Row],[Peasants]]*4) + SUM(TblConstr[[#This Row],[Dest Hom]:[Dest Doc]])*TblConstr[[#This Row],[CPA Platinum -DB]]*tech_3_3_2*TblTech[[#This Row],[3-3]]</f>
        <v>2763043</v>
      </c>
      <c r="J89" s="69" t="n">
        <f aca="false">OFFSET(TblProd[[#This Row],[Food]],-1,0)+OFFSET(TblProd[[#This Row],[Food/hr]],-1,0)+ROUNDUP((TblConstr[[#This Row],[Farms]]*80+TblConstr[[#This Row],[Docks]]*35)*(1+OFFSET(TblProd[[#This Row],[Bonus Food/hr]],-1,0)),0)</f>
        <v>392955</v>
      </c>
      <c r="K89" s="69" t="n">
        <f aca="false">OFFSET(TblProd[[#This Row],[Lumber]],-1,0)+OFFSET(TblProd[[#This Row],[Lumber/hr]],-1,0) - TblProd[[#This Row],[Expenses Lumber]] + SUM(TblConstr[[#This Row],[Dest Hom]:[Dest Doc]])*TblConstr[[#This Row],[CPA Lumber -DB]]*tech_3_3_2*TblTech[[#This Row],[3-3]]</f>
        <v>339548</v>
      </c>
      <c r="L89" s="69" t="n">
        <f aca="false">OFFSET(TblProd[[#This Row],[Mana]],-1,0)+OFFSET(TblProd[[#This Row],[Mana/hr]],-1,0)- TblProd[[#This Row],[Expenses Mana]]</f>
        <v>324349</v>
      </c>
      <c r="M89" s="69" t="n">
        <f aca="false">OFFSET(TblProd[[#This Row],[Ore]],-1,0)+OFFSET(TblProd[[#This Row],[Ore/hr]],-1,0) -TblProd[[#This Row],[Expenses Ore]]</f>
        <v>-357</v>
      </c>
      <c r="N89" s="69" t="n">
        <f aca="false">OFFSET(TblProd[[#This Row],[Gems]],-1,0)+OFFSET(TblProd[[#This Row],[Gems/hr]],-1,0) - TblProd[[#This Row],[Expenses Gems]]</f>
        <v>-1000</v>
      </c>
      <c r="O89" s="69" t="n">
        <f aca="false">OFFSET(TblProd[[#This Row],[Boats]],-1,0)+OFFSET(TblProd[[#This Row],[Boats/hr]],-1,0)</f>
        <v>43.85</v>
      </c>
      <c r="P89" s="69" t="n">
        <f aca="false">OFFSET(TblProd[[#This Row],[Prestige]],-1,0)</f>
        <v>250</v>
      </c>
      <c r="Q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89" s="69" t="n">
        <f aca="false">MAX(3750,_xlfn.CEILING.MATH(TblProd[[#This Row],[Land]]*2.5+OFFSET(TblTech[[#This Row],[Sum of tech]],-1,0)*150))</f>
        <v>3750</v>
      </c>
      <c r="S89" s="132"/>
      <c r="T89" s="69" t="n">
        <f aca="false">ROUNDDOWN(TblProd[[#This Row],[Raw Plat/hr]]*(1+TblProd[[#This Row],[Bonus Plat/hr]]),0)</f>
        <v>42870</v>
      </c>
      <c r="U89" s="69" t="n">
        <f aca="false">ROUND(TblProd[[#This Row],[Raw Food/hr]]*(1+TblProd[[#This Row],[Bonus Food/hr]])-TblProd[[#This Row],[Food decay]]-TblProd[[#This Row],[Food eaten]],0)</f>
        <v>-3730</v>
      </c>
      <c r="V89" s="69" t="n">
        <f aca="false">ROUND(TblProd[[#This Row],[Raw Lumber/hr]]*(1+TblProd[[#This Row],[Bonus Lumber/hr]])-TblProd[[#This Row],[Lumber rot]],0)</f>
        <v>-2270</v>
      </c>
      <c r="W89" s="69" t="n">
        <f aca="false">ROUND(TblProd[[#This Row],[Raw Mana/hr]]*(1+TblProd[[#This Row],[Bonus Mana/hr]])-TblProd[[#This Row],[Mana drain]],0)</f>
        <v>-5762</v>
      </c>
      <c r="X89" s="69" t="n">
        <f aca="false">ROUNDDOWN(TblProd[[#This Row],[Raw Ore/hr]]*(1+TblProd[[#This Row],[Bonux Ore/hr]]),0)</f>
        <v>0</v>
      </c>
      <c r="Y89" s="69" t="n">
        <f aca="false">ROUNDDOWN(TblProd[[#This Row],[Raw Gems/hr]]*(1+TblProd[[#This Row],[Bonus Gems/hr]]),0)</f>
        <v>0</v>
      </c>
      <c r="Z89" s="148" t="n">
        <f aca="false">OFFSET(TblConstr[[#This Row],[Tot Doc]],1,0)*dock_boats_hr * (1 + tech_4_1*TblTech[[#This Row],[4-1]])</f>
        <v>1.2</v>
      </c>
      <c r="AA89" s="146"/>
      <c r="AB89" s="69" t="n">
        <f aca="false">TblPop[[#This Row],[Peasants]]*tax*TblPop[[#This Row],[Employment]] + (Construction!AZ90+Construction!BX90)*(alch_plat+(Magic!AM89&gt;0)*alchemist_flame_bonus)</f>
        <v>38972.9</v>
      </c>
      <c r="AC89" s="69" t="n">
        <f aca="false">TblConstr[[#This Row],[Tot Farm]]*farm_food + TblConstr[[#This Row],[Tot Doc]]*dock_food</f>
        <v>3280</v>
      </c>
      <c r="AD89" s="69" t="n">
        <f aca="false">TblConstr[[#This Row],[Tot Ly]]*ly_lumber + TblConstr[[#This Row],[Tot Hav]]*fh_lumber</f>
        <v>1250</v>
      </c>
      <c r="AE89" s="69" t="n">
        <f aca="false">OFFSET(TblConstr[[#This Row],[Tot Tow]],1,0)*(tower_mana + tech_4_5*TblTech[[#This Row],[4-5]]) + OFFSET(TblConstr[[#This Row],[Tot WG]],1,0)*wg_mana_prod</f>
        <v>725</v>
      </c>
      <c r="AF89" s="69" t="n">
        <f aca="false">OFFSET(TblConstr[[#This Row],[Tot OM]],1,0)*om_ore+IF(race="Dwarf",ROUNDDOWN(TblMili[[#This Row],[Unit 2]]*0.4,0),)</f>
        <v>0</v>
      </c>
      <c r="AG89" s="69" t="n">
        <f aca="false">OFFSET(TblConstr[[#This Row],[Tot DM]],1,0)*dm_gems</f>
        <v>0</v>
      </c>
      <c r="AH89" s="132"/>
      <c r="AI89" s="149" t="n">
        <f aca="false">MIN(race_platinum_bonus + IF(TblMagic[[#This Row],[Active Alch Frost]]&gt;0,alch_frost_bonus,IF(Magic!AD89&gt;0,midas_bonus)) + TblImps[[#This Row],[Science]] - TblProd[[#This Row],[Guard]]*(0.02 + tech_5_7*TblTech[[#This Row],[5-7]]) + tech_1_5*TblTech[[#This Row],[1-5]] + tech_4_4*TblTech[[#This Row],[4-4]], 0.5)</f>
        <v>0.1</v>
      </c>
      <c r="AJ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89" s="149" t="n">
        <f aca="false">race_lumber_bonus+ IF(TblMagic[[#This Row],[Active Gaia''s Blessing]]&gt;0,gaias_blessing_lumber)+ tech_1_3*TblTech[[#This Row],[1-3]] + tech_1_6*TblTech[[#This Row],[1-6]] + tech_3_3*TblTech[[#This Row],[3-3]]</f>
        <v>-0.1</v>
      </c>
      <c r="AL89" s="149" t="n">
        <f aca="false">race_mana_bonus+ 0 + TblImps[[#This Row],[Towers]] + tech_1_2*TblTech[[#This Row],[1-2]] + tech_3_4*TblTech[[#This Row],[3-4]]</f>
        <v>0</v>
      </c>
      <c r="AM89" s="149" t="n">
        <f aca="false">race_ore_bonus + IF(TblMagic[[#This Row],[Active Miner''s Sight]]&gt;0,miners_sight_bonus,IF(TblMagic[[#This Row],[Active Mining Strength]]&gt;0,mining_strength_bonus)) +  tech_1_6*TblTech[[#This Row],[1-6]]</f>
        <v>0</v>
      </c>
      <c r="AN89" s="149" t="n">
        <f aca="false">race_gem_bonus+ tech_3_2*TblTech[[#This Row],[3-2]] + tech_4_3*TblTech[[#This Row],[4-3]] + tech_6_2*TblTech[[#This Row],[6-2]]</f>
        <v>0.15</v>
      </c>
      <c r="AO89" s="132"/>
      <c r="AP89" s="69" t="n">
        <f aca="false">TblProd[[#This Row],[Food]]*food_decay * (1 + tech_2_1*TblTech[[#This Row],[2-1]] + tech_2_8*TblTech[[#This Row],[2-8]])</f>
        <v>3929.55</v>
      </c>
      <c r="AQ89" s="69" t="n">
        <f aca="false">(1+race_food_consumption)*TblPop[[#This Row],[Total]]*food_per_person*(1+tech_1_10*TblTech[[#This Row],[1-10]]+tech_7_5*TblTech[[#This Row],[7-5]])</f>
        <v>3162.25</v>
      </c>
      <c r="AR89" s="69" t="n">
        <f aca="false">TblProd[[#This Row],[Lumber]]*lumber_rot * (1 + tech_2_1*TblTech[[#This Row],[2-1]] + tech_2_8*TblTech[[#This Row],[2-8]] + tech_5_2*TblTech[[#This Row],[5-2]])</f>
        <v>3395.48</v>
      </c>
      <c r="AS89" s="69" t="n">
        <f aca="false">TblProd[[#This Row],[Mana]]*mana_drain * (1 + tech_2_1*TblTech[[#This Row],[2-1]] + tech_2_8*TblTech[[#This Row],[2-8]])</f>
        <v>6486.98</v>
      </c>
      <c r="AT89" s="146"/>
      <c r="AU89" s="69" t="n">
        <f aca="false">TblExplore[[#This Row],[Platinum (2)]]+TblConstr[[#This Row],[Total Plat Cost]]+TblMili[[#This Row],[Plat Cost]]+TblRezone[[#This Row],[Platinum cost]]+TblImps[[#This Row],[P1]]-TblProd[[#This Row],[Bank Plat]]</f>
        <v>-65340</v>
      </c>
      <c r="AV89" s="69" t="n">
        <f aca="false">TblConstr[[#This Row],[Total Lum Cost]]+TblImps[[#This Row],[L1]]-TblProd[[#This Row],[Bank Lumber]] + Military!$CL$25*TblMili[[#This Row],[Sec. rec. Cost]]</f>
        <v>-10800</v>
      </c>
      <c r="AW89" s="69" t="n">
        <f aca="false">TblMagic[[#This Row],[Mana cost]] + Military!$CL$26*TblMili[[#This Row],[Sec. rec. Cost]]</f>
        <v>0</v>
      </c>
      <c r="AX89" s="69" t="n">
        <f aca="false">Military!$CL$24*TblMili[[#This Row],[Sec. rec. Cost]]+TblImps[[#This Row],[O1]]-TblProd[[#This Row],[Bank Ore]]</f>
        <v>0</v>
      </c>
      <c r="AY89" s="69" t="n">
        <f aca="false">TblImps[[#This Row],[G1]]-TblProd[[#This Row],[Bank Gems]]</f>
        <v>0</v>
      </c>
      <c r="AZ89" s="132"/>
      <c r="BA89" s="33" t="n">
        <f aca="false">IF(TblProd[[#This Row],[Set Guard]]&lt;&gt;"",TblProd[[#This Row],[Set Guard]],OFFSET(TblProd[[#This Row],[Guard]],-1,0))</f>
        <v>0</v>
      </c>
      <c r="BB89" s="145"/>
      <c r="BC89" s="151" t="n">
        <f aca="false">TblProd[[#This Row],[Hour]]</f>
        <v>14</v>
      </c>
      <c r="BD89" s="152" t="n">
        <f aca="false">-TblProd[[#This Row],[Bank Lumber]] / 2 + -TblProd[[#This Row],[Bank Gems]] * 2 + -TblProd[[#This Row],[Bank Ore]] / 2</f>
        <v>0</v>
      </c>
      <c r="BE89" s="152"/>
      <c r="BF89" s="152"/>
      <c r="BG89" s="152"/>
      <c r="BH89" s="153" t="n">
        <f aca="false">TblProd[[#This Row],[Time]]</f>
        <v>45433.2916666667</v>
      </c>
      <c r="BI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J89" s="69" t="n">
        <f aca="false">TblProd[[#This Row],[Platinum]]</f>
        <v>2763043</v>
      </c>
      <c r="BK89" s="69" t="n">
        <f aca="false">TblProd[[#This Row],[Food]]</f>
        <v>392955</v>
      </c>
      <c r="BL89" s="69" t="n">
        <f aca="false">TblProd[[#This Row],[Lumber]]</f>
        <v>339548</v>
      </c>
      <c r="BM89" s="69" t="n">
        <f aca="false">TblProd[[#This Row],[Mana]]</f>
        <v>324349</v>
      </c>
      <c r="BN89" s="69" t="n">
        <f aca="false">TblProd[[#This Row],[Ore]]</f>
        <v>-357</v>
      </c>
    </row>
    <row r="90" customFormat="false" ht="12.75" hidden="false" customHeight="false" outlineLevel="0" collapsed="false">
      <c r="A90" s="128" t="n">
        <v>15</v>
      </c>
      <c r="B90" s="144" t="n">
        <f aca="false">TblImps[[#This Row],[Time]]</f>
        <v>45433.3333333333</v>
      </c>
      <c r="C90" s="145"/>
      <c r="D90" s="146"/>
      <c r="E90" s="69" t="n">
        <f aca="false">TblConstr[[#This Row],[Land]]</f>
        <v>646</v>
      </c>
      <c r="F90" s="69" t="n">
        <f aca="false">TblPop[[#This Row],[Peasants]]</f>
        <v>8442</v>
      </c>
      <c r="G90" s="69"/>
      <c r="H90" s="69" t="e">
        <f aca="false">TblMili[[#This Row],[Networth (2)]]</f>
        <v>#VALUE!</v>
      </c>
      <c r="I90" s="69" t="n">
        <f aca="false">OFFSET(TblProd[[#This Row],[Platinum]],-1,0)+OFFSET(TblProd[[#This Row],[Plat/hr]],-1,0) - TblProd[[#This Row],[Expenses Platinum]] + IF(TblProd[[#This Row],[Plat Bonus]],TblPop[[#This Row],[Peasants]]*4) + SUM(TblConstr[[#This Row],[Dest Hom]:[Dest Doc]])*TblConstr[[#This Row],[CPA Platinum -DB]]*tech_3_3_2*TblTech[[#This Row],[3-3]]</f>
        <v>2871253</v>
      </c>
      <c r="J90" s="69" t="n">
        <f aca="false">OFFSET(TblProd[[#This Row],[Food]],-1,0)+OFFSET(TblProd[[#This Row],[Food/hr]],-1,0)+ROUNDUP((TblConstr[[#This Row],[Farms]]*80+TblConstr[[#This Row],[Docks]]*35)*(1+OFFSET(TblProd[[#This Row],[Bonus Food/hr]],-1,0)),0)</f>
        <v>389225</v>
      </c>
      <c r="K90" s="69" t="n">
        <f aca="false">OFFSET(TblProd[[#This Row],[Lumber]],-1,0)+OFFSET(TblProd[[#This Row],[Lumber/hr]],-1,0) - TblProd[[#This Row],[Expenses Lumber]] + SUM(TblConstr[[#This Row],[Dest Hom]:[Dest Doc]])*TblConstr[[#This Row],[CPA Lumber -DB]]*tech_3_3_2*TblTech[[#This Row],[3-3]]</f>
        <v>348078</v>
      </c>
      <c r="L90" s="69" t="n">
        <f aca="false">OFFSET(TblProd[[#This Row],[Mana]],-1,0)+OFFSET(TblProd[[#This Row],[Mana/hr]],-1,0)- TblProd[[#This Row],[Expenses Mana]]</f>
        <v>318587</v>
      </c>
      <c r="M90" s="69" t="n">
        <f aca="false">OFFSET(TblProd[[#This Row],[Ore]],-1,0)+OFFSET(TblProd[[#This Row],[Ore/hr]],-1,0) -TblProd[[#This Row],[Expenses Ore]]</f>
        <v>-357</v>
      </c>
      <c r="N90" s="69" t="n">
        <f aca="false">OFFSET(TblProd[[#This Row],[Gems]],-1,0)+OFFSET(TblProd[[#This Row],[Gems/hr]],-1,0) - TblProd[[#This Row],[Expenses Gems]]</f>
        <v>-1000</v>
      </c>
      <c r="O90" s="69" t="n">
        <f aca="false">OFFSET(TblProd[[#This Row],[Boats]],-1,0)+OFFSET(TblProd[[#This Row],[Boats/hr]],-1,0)</f>
        <v>45.05</v>
      </c>
      <c r="P90" s="69" t="n">
        <f aca="false">OFFSET(TblProd[[#This Row],[Prestige]],-1,0)</f>
        <v>250</v>
      </c>
      <c r="Q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0" s="69" t="n">
        <f aca="false">MAX(3750,_xlfn.CEILING.MATH(TblProd[[#This Row],[Land]]*2.5+OFFSET(TblTech[[#This Row],[Sum of tech]],-1,0)*150))</f>
        <v>3750</v>
      </c>
      <c r="S90" s="132"/>
      <c r="T90" s="69" t="n">
        <f aca="false">ROUNDDOWN(TblProd[[#This Row],[Raw Plat/hr]]*(1+TblProd[[#This Row],[Bonus Plat/hr]]),0)</f>
        <v>42617</v>
      </c>
      <c r="U90" s="69" t="n">
        <f aca="false">ROUND(TblProd[[#This Row],[Raw Food/hr]]*(1+TblProd[[#This Row],[Bonus Food/hr]])-TblProd[[#This Row],[Food decay]]-TblProd[[#This Row],[Food eaten]],0)</f>
        <v>-3693</v>
      </c>
      <c r="V90" s="69" t="n">
        <f aca="false">ROUND(TblProd[[#This Row],[Raw Lumber/hr]]*(1+TblProd[[#This Row],[Bonus Lumber/hr]])-TblProd[[#This Row],[Lumber rot]],0)</f>
        <v>-2356</v>
      </c>
      <c r="W90" s="69" t="n">
        <f aca="false">ROUND(TblProd[[#This Row],[Raw Mana/hr]]*(1+TblProd[[#This Row],[Bonus Mana/hr]])-TblProd[[#This Row],[Mana drain]],0)</f>
        <v>-5647</v>
      </c>
      <c r="X90" s="69" t="n">
        <f aca="false">ROUNDDOWN(TblProd[[#This Row],[Raw Ore/hr]]*(1+TblProd[[#This Row],[Bonux Ore/hr]]),0)</f>
        <v>0</v>
      </c>
      <c r="Y90" s="69" t="n">
        <f aca="false">ROUNDDOWN(TblProd[[#This Row],[Raw Gems/hr]]*(1+TblProd[[#This Row],[Bonus Gems/hr]]),0)</f>
        <v>0</v>
      </c>
      <c r="Z90" s="148" t="n">
        <f aca="false">OFFSET(TblConstr[[#This Row],[Tot Doc]],1,0)*dock_boats_hr * (1 + tech_4_1*TblTech[[#This Row],[4-1]])</f>
        <v>1.2</v>
      </c>
      <c r="AA90" s="146"/>
      <c r="AB90" s="69" t="n">
        <f aca="false">TblPop[[#This Row],[Peasants]]*tax*TblPop[[#This Row],[Employment]] + (Construction!AZ91+Construction!BX91)*(alch_plat+(Magic!AM90&gt;0)*alchemist_flame_bonus)</f>
        <v>38743.4</v>
      </c>
      <c r="AC90" s="69" t="n">
        <f aca="false">TblConstr[[#This Row],[Tot Farm]]*farm_food + TblConstr[[#This Row],[Tot Doc]]*dock_food</f>
        <v>3280</v>
      </c>
      <c r="AD90" s="69" t="n">
        <f aca="false">TblConstr[[#This Row],[Tot Ly]]*ly_lumber + TblConstr[[#This Row],[Tot Hav]]*fh_lumber</f>
        <v>1250</v>
      </c>
      <c r="AE90" s="69" t="n">
        <f aca="false">OFFSET(TblConstr[[#This Row],[Tot Tow]],1,0)*(tower_mana + tech_4_5*TblTech[[#This Row],[4-5]]) + OFFSET(TblConstr[[#This Row],[Tot WG]],1,0)*wg_mana_prod</f>
        <v>725</v>
      </c>
      <c r="AF90" s="69" t="n">
        <f aca="false">OFFSET(TblConstr[[#This Row],[Tot OM]],1,0)*om_ore+IF(race="Dwarf",ROUNDDOWN(TblMili[[#This Row],[Unit 2]]*0.4,0),)</f>
        <v>0</v>
      </c>
      <c r="AG90" s="69" t="n">
        <f aca="false">OFFSET(TblConstr[[#This Row],[Tot DM]],1,0)*dm_gems</f>
        <v>0</v>
      </c>
      <c r="AH90" s="132"/>
      <c r="AI90" s="149" t="n">
        <f aca="false">MIN(race_platinum_bonus + IF(TblMagic[[#This Row],[Active Alch Frost]]&gt;0,alch_frost_bonus,IF(Magic!AD90&gt;0,midas_bonus)) + TblImps[[#This Row],[Science]] - TblProd[[#This Row],[Guard]]*(0.02 + tech_5_7*TblTech[[#This Row],[5-7]]) + tech_1_5*TblTech[[#This Row],[1-5]] + tech_4_4*TblTech[[#This Row],[4-4]], 0.5)</f>
        <v>0.1</v>
      </c>
      <c r="AJ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0" s="149" t="n">
        <f aca="false">race_lumber_bonus+ IF(TblMagic[[#This Row],[Active Gaia''s Blessing]]&gt;0,gaias_blessing_lumber)+ tech_1_3*TblTech[[#This Row],[1-3]] + tech_1_6*TblTech[[#This Row],[1-6]] + tech_3_3*TblTech[[#This Row],[3-3]]</f>
        <v>-0.1</v>
      </c>
      <c r="AL90" s="149" t="n">
        <f aca="false">race_mana_bonus+ 0 + TblImps[[#This Row],[Towers]] + tech_1_2*TblTech[[#This Row],[1-2]] + tech_3_4*TblTech[[#This Row],[3-4]]</f>
        <v>0</v>
      </c>
      <c r="AM90" s="149" t="n">
        <f aca="false">race_ore_bonus + IF(TblMagic[[#This Row],[Active Miner''s Sight]]&gt;0,miners_sight_bonus,IF(TblMagic[[#This Row],[Active Mining Strength]]&gt;0,mining_strength_bonus)) +  tech_1_6*TblTech[[#This Row],[1-6]]</f>
        <v>0</v>
      </c>
      <c r="AN90" s="149" t="n">
        <f aca="false">race_gem_bonus+ tech_3_2*TblTech[[#This Row],[3-2]] + tech_4_3*TblTech[[#This Row],[4-3]] + tech_6_2*TblTech[[#This Row],[6-2]]</f>
        <v>0.15</v>
      </c>
      <c r="AO90" s="132"/>
      <c r="AP90" s="69" t="n">
        <f aca="false">TblProd[[#This Row],[Food]]*food_decay * (1 + tech_2_1*TblTech[[#This Row],[2-1]] + tech_2_8*TblTech[[#This Row],[2-8]])</f>
        <v>3892.25</v>
      </c>
      <c r="AQ90" s="69" t="n">
        <f aca="false">(1+race_food_consumption)*TblPop[[#This Row],[Total]]*food_per_person*(1+tech_1_10*TblTech[[#This Row],[1-10]]+tech_7_5*TblTech[[#This Row],[7-5]])</f>
        <v>3162.25</v>
      </c>
      <c r="AR90" s="69" t="n">
        <f aca="false">TblProd[[#This Row],[Lumber]]*lumber_rot * (1 + tech_2_1*TblTech[[#This Row],[2-1]] + tech_2_8*TblTech[[#This Row],[2-8]] + tech_5_2*TblTech[[#This Row],[5-2]])</f>
        <v>3480.78</v>
      </c>
      <c r="AS90" s="69" t="n">
        <f aca="false">TblProd[[#This Row],[Mana]]*mana_drain * (1 + tech_2_1*TblTech[[#This Row],[2-1]] + tech_2_8*TblTech[[#This Row],[2-8]])</f>
        <v>6371.74</v>
      </c>
      <c r="AT90" s="146"/>
      <c r="AU90" s="69" t="n">
        <f aca="false">TblExplore[[#This Row],[Platinum (2)]]+TblConstr[[#This Row],[Total Plat Cost]]+TblMili[[#This Row],[Plat Cost]]+TblRezone[[#This Row],[Platinum cost]]+TblImps[[#This Row],[P1]]-TblProd[[#This Row],[Bank Plat]]</f>
        <v>-65340</v>
      </c>
      <c r="AV90" s="69" t="n">
        <f aca="false">TblConstr[[#This Row],[Total Lum Cost]]+TblImps[[#This Row],[L1]]-TblProd[[#This Row],[Bank Lumber]] + Military!$CL$25*TblMili[[#This Row],[Sec. rec. Cost]]</f>
        <v>-10800</v>
      </c>
      <c r="AW90" s="69" t="n">
        <f aca="false">TblMagic[[#This Row],[Mana cost]] + Military!$CL$26*TblMili[[#This Row],[Sec. rec. Cost]]</f>
        <v>0</v>
      </c>
      <c r="AX90" s="69" t="n">
        <f aca="false">Military!$CL$24*TblMili[[#This Row],[Sec. rec. Cost]]+TblImps[[#This Row],[O1]]-TblProd[[#This Row],[Bank Ore]]</f>
        <v>0</v>
      </c>
      <c r="AY90" s="69" t="n">
        <f aca="false">TblImps[[#This Row],[G1]]-TblProd[[#This Row],[Bank Gems]]</f>
        <v>0</v>
      </c>
      <c r="AZ90" s="132"/>
      <c r="BA90" s="33" t="n">
        <f aca="false">IF(TblProd[[#This Row],[Set Guard]]&lt;&gt;"",TblProd[[#This Row],[Set Guard]],OFFSET(TblProd[[#This Row],[Guard]],-1,0))</f>
        <v>0</v>
      </c>
      <c r="BB90" s="145"/>
      <c r="BC90" s="151" t="n">
        <f aca="false">TblProd[[#This Row],[Hour]]</f>
        <v>15</v>
      </c>
      <c r="BD90" s="152" t="n">
        <f aca="false">-TblProd[[#This Row],[Bank Lumber]] / 2 + -TblProd[[#This Row],[Bank Gems]] * 2 + -TblProd[[#This Row],[Bank Ore]] / 2</f>
        <v>0</v>
      </c>
      <c r="BE90" s="152"/>
      <c r="BF90" s="152"/>
      <c r="BG90" s="152"/>
      <c r="BH90" s="153" t="n">
        <f aca="false">TblProd[[#This Row],[Time]]</f>
        <v>45433.3333333333</v>
      </c>
      <c r="BI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J90" s="69" t="n">
        <f aca="false">TblProd[[#This Row],[Platinum]]</f>
        <v>2871253</v>
      </c>
      <c r="BK90" s="69" t="n">
        <f aca="false">TblProd[[#This Row],[Food]]</f>
        <v>389225</v>
      </c>
      <c r="BL90" s="69" t="n">
        <f aca="false">TblProd[[#This Row],[Lumber]]</f>
        <v>348078</v>
      </c>
      <c r="BM90" s="69" t="n">
        <f aca="false">TblProd[[#This Row],[Mana]]</f>
        <v>318587</v>
      </c>
      <c r="BN90" s="69" t="n">
        <f aca="false">TblProd[[#This Row],[Ore]]</f>
        <v>-357</v>
      </c>
    </row>
    <row r="91" customFormat="false" ht="12.75" hidden="false" customHeight="false" outlineLevel="0" collapsed="false">
      <c r="A91" s="128" t="n">
        <v>16</v>
      </c>
      <c r="B91" s="144" t="n">
        <f aca="false">TblImps[[#This Row],[Time]]</f>
        <v>45433.375</v>
      </c>
      <c r="C91" s="145"/>
      <c r="D91" s="146"/>
      <c r="E91" s="69" t="n">
        <f aca="false">TblConstr[[#This Row],[Land]]</f>
        <v>646</v>
      </c>
      <c r="F91" s="69" t="n">
        <f aca="false">TblPop[[#This Row],[Peasants]]</f>
        <v>8358</v>
      </c>
      <c r="G91" s="69"/>
      <c r="H91" s="69" t="e">
        <f aca="false">TblMili[[#This Row],[Networth (2)]]</f>
        <v>#VALUE!</v>
      </c>
      <c r="I91" s="69" t="n">
        <f aca="false">OFFSET(TblProd[[#This Row],[Platinum]],-1,0)+OFFSET(TblProd[[#This Row],[Plat/hr]],-1,0) - TblProd[[#This Row],[Expenses Platinum]] + IF(TblProd[[#This Row],[Plat Bonus]],TblPop[[#This Row],[Peasants]]*4) + SUM(TblConstr[[#This Row],[Dest Hom]:[Dest Doc]])*TblConstr[[#This Row],[CPA Platinum -DB]]*tech_3_3_2*TblTech[[#This Row],[3-3]]</f>
        <v>2979210</v>
      </c>
      <c r="J91" s="69" t="n">
        <f aca="false">OFFSET(TblProd[[#This Row],[Food]],-1,0)+OFFSET(TblProd[[#This Row],[Food/hr]],-1,0)+ROUNDUP((TblConstr[[#This Row],[Farms]]*80+TblConstr[[#This Row],[Docks]]*35)*(1+OFFSET(TblProd[[#This Row],[Bonus Food/hr]],-1,0)),0)</f>
        <v>385532</v>
      </c>
      <c r="K91" s="69" t="n">
        <f aca="false">OFFSET(TblProd[[#This Row],[Lumber]],-1,0)+OFFSET(TblProd[[#This Row],[Lumber/hr]],-1,0) - TblProd[[#This Row],[Expenses Lumber]] + SUM(TblConstr[[#This Row],[Dest Hom]:[Dest Doc]])*TblConstr[[#This Row],[CPA Lumber -DB]]*tech_3_3_2*TblTech[[#This Row],[3-3]]</f>
        <v>356522</v>
      </c>
      <c r="L91" s="69" t="n">
        <f aca="false">OFFSET(TblProd[[#This Row],[Mana]],-1,0)+OFFSET(TblProd[[#This Row],[Mana/hr]],-1,0)- TblProd[[#This Row],[Expenses Mana]]</f>
        <v>312940</v>
      </c>
      <c r="M91" s="69" t="n">
        <f aca="false">OFFSET(TblProd[[#This Row],[Ore]],-1,0)+OFFSET(TblProd[[#This Row],[Ore/hr]],-1,0) -TblProd[[#This Row],[Expenses Ore]]</f>
        <v>-357</v>
      </c>
      <c r="N91" s="69" t="n">
        <f aca="false">OFFSET(TblProd[[#This Row],[Gems]],-1,0)+OFFSET(TblProd[[#This Row],[Gems/hr]],-1,0) - TblProd[[#This Row],[Expenses Gems]]</f>
        <v>-1000</v>
      </c>
      <c r="O91" s="69" t="n">
        <f aca="false">OFFSET(TblProd[[#This Row],[Boats]],-1,0)+OFFSET(TblProd[[#This Row],[Boats/hr]],-1,0)</f>
        <v>46.25</v>
      </c>
      <c r="P91" s="69" t="n">
        <f aca="false">OFFSET(TblProd[[#This Row],[Prestige]],-1,0)</f>
        <v>250</v>
      </c>
      <c r="Q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1" s="69" t="n">
        <f aca="false">MAX(3750,_xlfn.CEILING.MATH(TblProd[[#This Row],[Land]]*2.5+OFFSET(TblTech[[#This Row],[Sum of tech]],-1,0)*150))</f>
        <v>3750</v>
      </c>
      <c r="S91" s="132"/>
      <c r="T91" s="69" t="n">
        <f aca="false">ROUNDDOWN(TblProd[[#This Row],[Raw Plat/hr]]*(1+TblProd[[#This Row],[Bonus Plat/hr]]),0)</f>
        <v>42368</v>
      </c>
      <c r="U91" s="69" t="n">
        <f aca="false">ROUND(TblProd[[#This Row],[Raw Food/hr]]*(1+TblProd[[#This Row],[Bonus Food/hr]])-TblProd[[#This Row],[Food decay]]-TblProd[[#This Row],[Food eaten]],0)</f>
        <v>-3656</v>
      </c>
      <c r="V91" s="69" t="n">
        <f aca="false">ROUND(TblProd[[#This Row],[Raw Lumber/hr]]*(1+TblProd[[#This Row],[Bonus Lumber/hr]])-TblProd[[#This Row],[Lumber rot]],0)</f>
        <v>-2440</v>
      </c>
      <c r="W91" s="69" t="n">
        <f aca="false">ROUND(TblProd[[#This Row],[Raw Mana/hr]]*(1+TblProd[[#This Row],[Bonus Mana/hr]])-TblProd[[#This Row],[Mana drain]],0)</f>
        <v>-5534</v>
      </c>
      <c r="X91" s="69" t="n">
        <f aca="false">ROUNDDOWN(TblProd[[#This Row],[Raw Ore/hr]]*(1+TblProd[[#This Row],[Bonux Ore/hr]]),0)</f>
        <v>0</v>
      </c>
      <c r="Y91" s="69" t="n">
        <f aca="false">ROUNDDOWN(TblProd[[#This Row],[Raw Gems/hr]]*(1+TblProd[[#This Row],[Bonus Gems/hr]]),0)</f>
        <v>0</v>
      </c>
      <c r="Z91" s="148" t="n">
        <f aca="false">OFFSET(TblConstr[[#This Row],[Tot Doc]],1,0)*dock_boats_hr * (1 + tech_4_1*TblTech[[#This Row],[4-1]])</f>
        <v>1.2</v>
      </c>
      <c r="AA91" s="146"/>
      <c r="AB91" s="69" t="n">
        <f aca="false">TblPop[[#This Row],[Peasants]]*tax*TblPop[[#This Row],[Employment]] + (Construction!AZ92+Construction!BX92)*(alch_plat+(Magic!AM91&gt;0)*alchemist_flame_bonus)</f>
        <v>38516.6</v>
      </c>
      <c r="AC91" s="69" t="n">
        <f aca="false">TblConstr[[#This Row],[Tot Farm]]*farm_food + TblConstr[[#This Row],[Tot Doc]]*dock_food</f>
        <v>3280</v>
      </c>
      <c r="AD91" s="69" t="n">
        <f aca="false">TblConstr[[#This Row],[Tot Ly]]*ly_lumber + TblConstr[[#This Row],[Tot Hav]]*fh_lumber</f>
        <v>1250</v>
      </c>
      <c r="AE91" s="69" t="n">
        <f aca="false">OFFSET(TblConstr[[#This Row],[Tot Tow]],1,0)*(tower_mana + tech_4_5*TblTech[[#This Row],[4-5]]) + OFFSET(TblConstr[[#This Row],[Tot WG]],1,0)*wg_mana_prod</f>
        <v>725</v>
      </c>
      <c r="AF91" s="69" t="n">
        <f aca="false">OFFSET(TblConstr[[#This Row],[Tot OM]],1,0)*om_ore+IF(race="Dwarf",ROUNDDOWN(TblMili[[#This Row],[Unit 2]]*0.4,0),)</f>
        <v>0</v>
      </c>
      <c r="AG91" s="69" t="n">
        <f aca="false">OFFSET(TblConstr[[#This Row],[Tot DM]],1,0)*dm_gems</f>
        <v>0</v>
      </c>
      <c r="AH91" s="132"/>
      <c r="AI91" s="149" t="n">
        <f aca="false">MIN(race_platinum_bonus + IF(TblMagic[[#This Row],[Active Alch Frost]]&gt;0,alch_frost_bonus,IF(Magic!AD91&gt;0,midas_bonus)) + TblImps[[#This Row],[Science]] - TblProd[[#This Row],[Guard]]*(0.02 + tech_5_7*TblTech[[#This Row],[5-7]]) + tech_1_5*TblTech[[#This Row],[1-5]] + tech_4_4*TblTech[[#This Row],[4-4]], 0.5)</f>
        <v>0.1</v>
      </c>
      <c r="AJ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1" s="149" t="n">
        <f aca="false">race_lumber_bonus+ IF(TblMagic[[#This Row],[Active Gaia''s Blessing]]&gt;0,gaias_blessing_lumber)+ tech_1_3*TblTech[[#This Row],[1-3]] + tech_1_6*TblTech[[#This Row],[1-6]] + tech_3_3*TblTech[[#This Row],[3-3]]</f>
        <v>-0.1</v>
      </c>
      <c r="AL91" s="149" t="n">
        <f aca="false">race_mana_bonus+ 0 + TblImps[[#This Row],[Towers]] + tech_1_2*TblTech[[#This Row],[1-2]] + tech_3_4*TblTech[[#This Row],[3-4]]</f>
        <v>0</v>
      </c>
      <c r="AM91" s="149" t="n">
        <f aca="false">race_ore_bonus + IF(TblMagic[[#This Row],[Active Miner''s Sight]]&gt;0,miners_sight_bonus,IF(TblMagic[[#This Row],[Active Mining Strength]]&gt;0,mining_strength_bonus)) +  tech_1_6*TblTech[[#This Row],[1-6]]</f>
        <v>0</v>
      </c>
      <c r="AN91" s="149" t="n">
        <f aca="false">race_gem_bonus+ tech_3_2*TblTech[[#This Row],[3-2]] + tech_4_3*TblTech[[#This Row],[4-3]] + tech_6_2*TblTech[[#This Row],[6-2]]</f>
        <v>0.15</v>
      </c>
      <c r="AO91" s="132"/>
      <c r="AP91" s="69" t="n">
        <f aca="false">TblProd[[#This Row],[Food]]*food_decay * (1 + tech_2_1*TblTech[[#This Row],[2-1]] + tech_2_8*TblTech[[#This Row],[2-8]])</f>
        <v>3855.32</v>
      </c>
      <c r="AQ91" s="69" t="n">
        <f aca="false">(1+race_food_consumption)*TblPop[[#This Row],[Total]]*food_per_person*(1+tech_1_10*TblTech[[#This Row],[1-10]]+tech_7_5*TblTech[[#This Row],[7-5]])</f>
        <v>3162.25</v>
      </c>
      <c r="AR91" s="69" t="n">
        <f aca="false">TblProd[[#This Row],[Lumber]]*lumber_rot * (1 + tech_2_1*TblTech[[#This Row],[2-1]] + tech_2_8*TblTech[[#This Row],[2-8]] + tech_5_2*TblTech[[#This Row],[5-2]])</f>
        <v>3565.22</v>
      </c>
      <c r="AS91" s="69" t="n">
        <f aca="false">TblProd[[#This Row],[Mana]]*mana_drain * (1 + tech_2_1*TblTech[[#This Row],[2-1]] + tech_2_8*TblTech[[#This Row],[2-8]])</f>
        <v>6258.8</v>
      </c>
      <c r="AT91" s="146"/>
      <c r="AU91" s="69" t="n">
        <f aca="false">TblExplore[[#This Row],[Platinum (2)]]+TblConstr[[#This Row],[Total Plat Cost]]+TblMili[[#This Row],[Plat Cost]]+TblRezone[[#This Row],[Platinum cost]]+TblImps[[#This Row],[P1]]-TblProd[[#This Row],[Bank Plat]]</f>
        <v>-65340</v>
      </c>
      <c r="AV91" s="69" t="n">
        <f aca="false">TblConstr[[#This Row],[Total Lum Cost]]+TblImps[[#This Row],[L1]]-TblProd[[#This Row],[Bank Lumber]] + Military!$CL$25*TblMili[[#This Row],[Sec. rec. Cost]]</f>
        <v>-10800</v>
      </c>
      <c r="AW91" s="69" t="n">
        <f aca="false">TblMagic[[#This Row],[Mana cost]] + Military!$CL$26*TblMili[[#This Row],[Sec. rec. Cost]]</f>
        <v>0</v>
      </c>
      <c r="AX91" s="69" t="n">
        <f aca="false">Military!$CL$24*TblMili[[#This Row],[Sec. rec. Cost]]+TblImps[[#This Row],[O1]]-TblProd[[#This Row],[Bank Ore]]</f>
        <v>0</v>
      </c>
      <c r="AY91" s="69" t="n">
        <f aca="false">TblImps[[#This Row],[G1]]-TblProd[[#This Row],[Bank Gems]]</f>
        <v>0</v>
      </c>
      <c r="AZ91" s="132"/>
      <c r="BA91" s="33" t="n">
        <f aca="false">IF(TblProd[[#This Row],[Set Guard]]&lt;&gt;"",TblProd[[#This Row],[Set Guard]],OFFSET(TblProd[[#This Row],[Guard]],-1,0))</f>
        <v>0</v>
      </c>
      <c r="BB91" s="145"/>
      <c r="BC91" s="151" t="n">
        <f aca="false">TblProd[[#This Row],[Hour]]</f>
        <v>16</v>
      </c>
      <c r="BD91" s="152" t="n">
        <f aca="false">-TblProd[[#This Row],[Bank Lumber]] / 2 + -TblProd[[#This Row],[Bank Gems]] * 2 + -TblProd[[#This Row],[Bank Ore]] / 2</f>
        <v>0</v>
      </c>
      <c r="BE91" s="152"/>
      <c r="BF91" s="152"/>
      <c r="BG91" s="152"/>
      <c r="BH91" s="153" t="n">
        <f aca="false">TblProd[[#This Row],[Time]]</f>
        <v>45433.375</v>
      </c>
      <c r="BI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J91" s="69" t="n">
        <f aca="false">TblProd[[#This Row],[Platinum]]</f>
        <v>2979210</v>
      </c>
      <c r="BK91" s="69" t="n">
        <f aca="false">TblProd[[#This Row],[Food]]</f>
        <v>385532</v>
      </c>
      <c r="BL91" s="69" t="n">
        <f aca="false">TblProd[[#This Row],[Lumber]]</f>
        <v>356522</v>
      </c>
      <c r="BM91" s="69" t="n">
        <f aca="false">TblProd[[#This Row],[Mana]]</f>
        <v>312940</v>
      </c>
      <c r="BN91" s="69" t="n">
        <f aca="false">TblProd[[#This Row],[Ore]]</f>
        <v>-357</v>
      </c>
    </row>
    <row r="92" customFormat="false" ht="12.75" hidden="false" customHeight="false" outlineLevel="0" collapsed="false">
      <c r="A92" s="128" t="n">
        <v>17</v>
      </c>
      <c r="B92" s="144" t="n">
        <f aca="false">TblImps[[#This Row],[Time]]</f>
        <v>45433.4166666667</v>
      </c>
      <c r="C92" s="145"/>
      <c r="D92" s="146"/>
      <c r="E92" s="69" t="n">
        <f aca="false">TblConstr[[#This Row],[Land]]</f>
        <v>646</v>
      </c>
      <c r="F92" s="69" t="n">
        <f aca="false">TblPop[[#This Row],[Peasants]]</f>
        <v>8274</v>
      </c>
      <c r="G92" s="69"/>
      <c r="H92" s="69" t="e">
        <f aca="false">TblMili[[#This Row],[Networth (2)]]</f>
        <v>#VALUE!</v>
      </c>
      <c r="I92" s="69" t="n">
        <f aca="false">OFFSET(TblProd[[#This Row],[Platinum]],-1,0)+OFFSET(TblProd[[#This Row],[Plat/hr]],-1,0) - TblProd[[#This Row],[Expenses Platinum]] + IF(TblProd[[#This Row],[Plat Bonus]],TblPop[[#This Row],[Peasants]]*4) + SUM(TblConstr[[#This Row],[Dest Hom]:[Dest Doc]])*TblConstr[[#This Row],[CPA Platinum -DB]]*tech_3_3_2*TblTech[[#This Row],[3-3]]</f>
        <v>3086918</v>
      </c>
      <c r="J92" s="69" t="n">
        <f aca="false">OFFSET(TblProd[[#This Row],[Food]],-1,0)+OFFSET(TblProd[[#This Row],[Food/hr]],-1,0)+ROUNDUP((TblConstr[[#This Row],[Farms]]*80+TblConstr[[#This Row],[Docks]]*35)*(1+OFFSET(TblProd[[#This Row],[Bonus Food/hr]],-1,0)),0)</f>
        <v>381876</v>
      </c>
      <c r="K92" s="69" t="n">
        <f aca="false">OFFSET(TblProd[[#This Row],[Lumber]],-1,0)+OFFSET(TblProd[[#This Row],[Lumber/hr]],-1,0) - TblProd[[#This Row],[Expenses Lumber]] + SUM(TblConstr[[#This Row],[Dest Hom]:[Dest Doc]])*TblConstr[[#This Row],[CPA Lumber -DB]]*tech_3_3_2*TblTech[[#This Row],[3-3]]</f>
        <v>364882</v>
      </c>
      <c r="L92" s="69" t="n">
        <f aca="false">OFFSET(TblProd[[#This Row],[Mana]],-1,0)+OFFSET(TblProd[[#This Row],[Mana/hr]],-1,0)- TblProd[[#This Row],[Expenses Mana]]</f>
        <v>307406</v>
      </c>
      <c r="M92" s="69" t="n">
        <f aca="false">OFFSET(TblProd[[#This Row],[Ore]],-1,0)+OFFSET(TblProd[[#This Row],[Ore/hr]],-1,0) -TblProd[[#This Row],[Expenses Ore]]</f>
        <v>-357</v>
      </c>
      <c r="N92" s="69" t="n">
        <f aca="false">OFFSET(TblProd[[#This Row],[Gems]],-1,0)+OFFSET(TblProd[[#This Row],[Gems/hr]],-1,0) - TblProd[[#This Row],[Expenses Gems]]</f>
        <v>-1000</v>
      </c>
      <c r="O92" s="69" t="n">
        <f aca="false">OFFSET(TblProd[[#This Row],[Boats]],-1,0)+OFFSET(TblProd[[#This Row],[Boats/hr]],-1,0)</f>
        <v>47.45</v>
      </c>
      <c r="P92" s="69" t="n">
        <f aca="false">OFFSET(TblProd[[#This Row],[Prestige]],-1,0)</f>
        <v>250</v>
      </c>
      <c r="Q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2" s="69" t="n">
        <f aca="false">MAX(3750,_xlfn.CEILING.MATH(TblProd[[#This Row],[Land]]*2.5+OFFSET(TblTech[[#This Row],[Sum of tech]],-1,0)*150))</f>
        <v>3750</v>
      </c>
      <c r="S92" s="132"/>
      <c r="T92" s="69" t="n">
        <f aca="false">ROUNDDOWN(TblProd[[#This Row],[Raw Plat/hr]]*(1+TblProd[[#This Row],[Bonus Plat/hr]]),0)</f>
        <v>42118</v>
      </c>
      <c r="U92" s="69" t="n">
        <f aca="false">ROUND(TblProd[[#This Row],[Raw Food/hr]]*(1+TblProd[[#This Row],[Bonus Food/hr]])-TblProd[[#This Row],[Food decay]]-TblProd[[#This Row],[Food eaten]],0)</f>
        <v>-3619</v>
      </c>
      <c r="V92" s="69" t="n">
        <f aca="false">ROUND(TblProd[[#This Row],[Raw Lumber/hr]]*(1+TblProd[[#This Row],[Bonus Lumber/hr]])-TblProd[[#This Row],[Lumber rot]],0)</f>
        <v>-2524</v>
      </c>
      <c r="W92" s="69" t="n">
        <f aca="false">ROUND(TblProd[[#This Row],[Raw Mana/hr]]*(1+TblProd[[#This Row],[Bonus Mana/hr]])-TblProd[[#This Row],[Mana drain]],0)</f>
        <v>-5423</v>
      </c>
      <c r="X92" s="69" t="n">
        <f aca="false">ROUNDDOWN(TblProd[[#This Row],[Raw Ore/hr]]*(1+TblProd[[#This Row],[Bonux Ore/hr]]),0)</f>
        <v>0</v>
      </c>
      <c r="Y92" s="69" t="n">
        <f aca="false">ROUNDDOWN(TblProd[[#This Row],[Raw Gems/hr]]*(1+TblProd[[#This Row],[Bonus Gems/hr]]),0)</f>
        <v>0</v>
      </c>
      <c r="Z92" s="148" t="n">
        <f aca="false">OFFSET(TblConstr[[#This Row],[Tot Doc]],1,0)*dock_boats_hr * (1 + tech_4_1*TblTech[[#This Row],[4-1]])</f>
        <v>1.2</v>
      </c>
      <c r="AA92" s="146"/>
      <c r="AB92" s="69" t="n">
        <f aca="false">TblPop[[#This Row],[Peasants]]*tax*TblPop[[#This Row],[Employment]] + (Construction!AZ93+Construction!BX93)*(alch_plat+(Magic!AM92&gt;0)*alchemist_flame_bonus)</f>
        <v>38289.8</v>
      </c>
      <c r="AC92" s="69" t="n">
        <f aca="false">TblConstr[[#This Row],[Tot Farm]]*farm_food + TblConstr[[#This Row],[Tot Doc]]*dock_food</f>
        <v>3280</v>
      </c>
      <c r="AD92" s="69" t="n">
        <f aca="false">TblConstr[[#This Row],[Tot Ly]]*ly_lumber + TblConstr[[#This Row],[Tot Hav]]*fh_lumber</f>
        <v>1250</v>
      </c>
      <c r="AE92" s="69" t="n">
        <f aca="false">OFFSET(TblConstr[[#This Row],[Tot Tow]],1,0)*(tower_mana + tech_4_5*TblTech[[#This Row],[4-5]]) + OFFSET(TblConstr[[#This Row],[Tot WG]],1,0)*wg_mana_prod</f>
        <v>725</v>
      </c>
      <c r="AF92" s="69" t="n">
        <f aca="false">OFFSET(TblConstr[[#This Row],[Tot OM]],1,0)*om_ore+IF(race="Dwarf",ROUNDDOWN(TblMili[[#This Row],[Unit 2]]*0.4,0),)</f>
        <v>0</v>
      </c>
      <c r="AG92" s="69" t="n">
        <f aca="false">OFFSET(TblConstr[[#This Row],[Tot DM]],1,0)*dm_gems</f>
        <v>0</v>
      </c>
      <c r="AH92" s="132"/>
      <c r="AI92" s="149" t="n">
        <f aca="false">MIN(race_platinum_bonus + IF(TblMagic[[#This Row],[Active Alch Frost]]&gt;0,alch_frost_bonus,IF(Magic!AD92&gt;0,midas_bonus)) + TblImps[[#This Row],[Science]] - TblProd[[#This Row],[Guard]]*(0.02 + tech_5_7*TblTech[[#This Row],[5-7]]) + tech_1_5*TblTech[[#This Row],[1-5]] + tech_4_4*TblTech[[#This Row],[4-4]], 0.5)</f>
        <v>0.1</v>
      </c>
      <c r="AJ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2" s="149" t="n">
        <f aca="false">race_lumber_bonus+ IF(TblMagic[[#This Row],[Active Gaia''s Blessing]]&gt;0,gaias_blessing_lumber)+ tech_1_3*TblTech[[#This Row],[1-3]] + tech_1_6*TblTech[[#This Row],[1-6]] + tech_3_3*TblTech[[#This Row],[3-3]]</f>
        <v>-0.1</v>
      </c>
      <c r="AL92" s="149" t="n">
        <f aca="false">race_mana_bonus+ 0 + TblImps[[#This Row],[Towers]] + tech_1_2*TblTech[[#This Row],[1-2]] + tech_3_4*TblTech[[#This Row],[3-4]]</f>
        <v>0</v>
      </c>
      <c r="AM92" s="149" t="n">
        <f aca="false">race_ore_bonus + IF(TblMagic[[#This Row],[Active Miner''s Sight]]&gt;0,miners_sight_bonus,IF(TblMagic[[#This Row],[Active Mining Strength]]&gt;0,mining_strength_bonus)) +  tech_1_6*TblTech[[#This Row],[1-6]]</f>
        <v>0</v>
      </c>
      <c r="AN92" s="149" t="n">
        <f aca="false">race_gem_bonus+ tech_3_2*TblTech[[#This Row],[3-2]] + tech_4_3*TblTech[[#This Row],[4-3]] + tech_6_2*TblTech[[#This Row],[6-2]]</f>
        <v>0.15</v>
      </c>
      <c r="AO92" s="132"/>
      <c r="AP92" s="69" t="n">
        <f aca="false">TblProd[[#This Row],[Food]]*food_decay * (1 + tech_2_1*TblTech[[#This Row],[2-1]] + tech_2_8*TblTech[[#This Row],[2-8]])</f>
        <v>3818.76</v>
      </c>
      <c r="AQ92" s="69" t="n">
        <f aca="false">(1+race_food_consumption)*TblPop[[#This Row],[Total]]*food_per_person*(1+tech_1_10*TblTech[[#This Row],[1-10]]+tech_7_5*TblTech[[#This Row],[7-5]])</f>
        <v>3162.25</v>
      </c>
      <c r="AR92" s="69" t="n">
        <f aca="false">TblProd[[#This Row],[Lumber]]*lumber_rot * (1 + tech_2_1*TblTech[[#This Row],[2-1]] + tech_2_8*TblTech[[#This Row],[2-8]] + tech_5_2*TblTech[[#This Row],[5-2]])</f>
        <v>3648.82</v>
      </c>
      <c r="AS92" s="69" t="n">
        <f aca="false">TblProd[[#This Row],[Mana]]*mana_drain * (1 + tech_2_1*TblTech[[#This Row],[2-1]] + tech_2_8*TblTech[[#This Row],[2-8]])</f>
        <v>6148.12</v>
      </c>
      <c r="AT92" s="146"/>
      <c r="AU92" s="69" t="n">
        <f aca="false">TblExplore[[#This Row],[Platinum (2)]]+TblConstr[[#This Row],[Total Plat Cost]]+TblMili[[#This Row],[Plat Cost]]+TblRezone[[#This Row],[Platinum cost]]+TblImps[[#This Row],[P1]]-TblProd[[#This Row],[Bank Plat]]</f>
        <v>-65340</v>
      </c>
      <c r="AV92" s="69" t="n">
        <f aca="false">TblConstr[[#This Row],[Total Lum Cost]]+TblImps[[#This Row],[L1]]-TblProd[[#This Row],[Bank Lumber]] + Military!$CL$25*TblMili[[#This Row],[Sec. rec. Cost]]</f>
        <v>-10800</v>
      </c>
      <c r="AW92" s="69" t="n">
        <f aca="false">TblMagic[[#This Row],[Mana cost]] + Military!$CL$26*TblMili[[#This Row],[Sec. rec. Cost]]</f>
        <v>0</v>
      </c>
      <c r="AX92" s="69" t="n">
        <f aca="false">Military!$CL$24*TblMili[[#This Row],[Sec. rec. Cost]]+TblImps[[#This Row],[O1]]-TblProd[[#This Row],[Bank Ore]]</f>
        <v>0</v>
      </c>
      <c r="AY92" s="69" t="n">
        <f aca="false">TblImps[[#This Row],[G1]]-TblProd[[#This Row],[Bank Gems]]</f>
        <v>0</v>
      </c>
      <c r="AZ92" s="132"/>
      <c r="BA92" s="33" t="n">
        <f aca="false">IF(TblProd[[#This Row],[Set Guard]]&lt;&gt;"",TblProd[[#This Row],[Set Guard]],OFFSET(TblProd[[#This Row],[Guard]],-1,0))</f>
        <v>0</v>
      </c>
      <c r="BB92" s="145"/>
      <c r="BC92" s="151" t="n">
        <f aca="false">TblProd[[#This Row],[Hour]]</f>
        <v>17</v>
      </c>
      <c r="BD92" s="152" t="n">
        <f aca="false">-TblProd[[#This Row],[Bank Lumber]] / 2 + -TblProd[[#This Row],[Bank Gems]] * 2 + -TblProd[[#This Row],[Bank Ore]] / 2</f>
        <v>0</v>
      </c>
      <c r="BE92" s="152"/>
      <c r="BF92" s="152"/>
      <c r="BG92" s="152"/>
      <c r="BH92" s="153" t="n">
        <f aca="false">TblProd[[#This Row],[Time]]</f>
        <v>45433.4166666667</v>
      </c>
      <c r="BI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J92" s="69" t="n">
        <f aca="false">TblProd[[#This Row],[Platinum]]</f>
        <v>3086918</v>
      </c>
      <c r="BK92" s="69" t="n">
        <f aca="false">TblProd[[#This Row],[Food]]</f>
        <v>381876</v>
      </c>
      <c r="BL92" s="69" t="n">
        <f aca="false">TblProd[[#This Row],[Lumber]]</f>
        <v>364882</v>
      </c>
      <c r="BM92" s="69" t="n">
        <f aca="false">TblProd[[#This Row],[Mana]]</f>
        <v>307406</v>
      </c>
      <c r="BN92" s="69" t="n">
        <f aca="false">TblProd[[#This Row],[Ore]]</f>
        <v>-357</v>
      </c>
    </row>
    <row r="93" customFormat="false" ht="12.75" hidden="false" customHeight="false" outlineLevel="0" collapsed="false">
      <c r="A93" s="128" t="n">
        <v>18</v>
      </c>
      <c r="B93" s="144" t="n">
        <f aca="false">TblImps[[#This Row],[Time]]</f>
        <v>45433.4583333333</v>
      </c>
      <c r="C93" s="145"/>
      <c r="D93" s="146"/>
      <c r="E93" s="69" t="n">
        <f aca="false">TblConstr[[#This Row],[Land]]</f>
        <v>646</v>
      </c>
      <c r="F93" s="69" t="n">
        <f aca="false">TblPop[[#This Row],[Peasants]]</f>
        <v>8191</v>
      </c>
      <c r="G93" s="69"/>
      <c r="H93" s="69" t="e">
        <f aca="false">TblMili[[#This Row],[Networth (2)]]</f>
        <v>#VALUE!</v>
      </c>
      <c r="I93" s="69" t="n">
        <f aca="false">OFFSET(TblProd[[#This Row],[Platinum]],-1,0)+OFFSET(TblProd[[#This Row],[Plat/hr]],-1,0) - TblProd[[#This Row],[Expenses Platinum]] + IF(TblProd[[#This Row],[Plat Bonus]],TblPop[[#This Row],[Peasants]]*4) + SUM(TblConstr[[#This Row],[Dest Hom]:[Dest Doc]])*TblConstr[[#This Row],[CPA Platinum -DB]]*tech_3_3_2*TblTech[[#This Row],[3-3]]</f>
        <v>3194376</v>
      </c>
      <c r="J93" s="69" t="n">
        <f aca="false">OFFSET(TblProd[[#This Row],[Food]],-1,0)+OFFSET(TblProd[[#This Row],[Food/hr]],-1,0)+ROUNDUP((TblConstr[[#This Row],[Farms]]*80+TblConstr[[#This Row],[Docks]]*35)*(1+OFFSET(TblProd[[#This Row],[Bonus Food/hr]],-1,0)),0)</f>
        <v>378257</v>
      </c>
      <c r="K93" s="69" t="n">
        <f aca="false">OFFSET(TblProd[[#This Row],[Lumber]],-1,0)+OFFSET(TblProd[[#This Row],[Lumber/hr]],-1,0) - TblProd[[#This Row],[Expenses Lumber]] + SUM(TblConstr[[#This Row],[Dest Hom]:[Dest Doc]])*TblConstr[[#This Row],[CPA Lumber -DB]]*tech_3_3_2*TblTech[[#This Row],[3-3]]</f>
        <v>373158</v>
      </c>
      <c r="L93" s="69" t="n">
        <f aca="false">OFFSET(TblProd[[#This Row],[Mana]],-1,0)+OFFSET(TblProd[[#This Row],[Mana/hr]],-1,0)- TblProd[[#This Row],[Expenses Mana]]</f>
        <v>301983</v>
      </c>
      <c r="M93" s="69" t="n">
        <f aca="false">OFFSET(TblProd[[#This Row],[Ore]],-1,0)+OFFSET(TblProd[[#This Row],[Ore/hr]],-1,0) -TblProd[[#This Row],[Expenses Ore]]</f>
        <v>-357</v>
      </c>
      <c r="N93" s="69" t="n">
        <f aca="false">OFFSET(TblProd[[#This Row],[Gems]],-1,0)+OFFSET(TblProd[[#This Row],[Gems/hr]],-1,0) - TblProd[[#This Row],[Expenses Gems]]</f>
        <v>-1000</v>
      </c>
      <c r="O93" s="69" t="n">
        <f aca="false">OFFSET(TblProd[[#This Row],[Boats]],-1,0)+OFFSET(TblProd[[#This Row],[Boats/hr]],-1,0)</f>
        <v>48.65</v>
      </c>
      <c r="P93" s="69" t="n">
        <f aca="false">OFFSET(TblProd[[#This Row],[Prestige]],-1,0)</f>
        <v>250</v>
      </c>
      <c r="Q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3" s="69" t="n">
        <f aca="false">MAX(3750,_xlfn.CEILING.MATH(TblProd[[#This Row],[Land]]*2.5+OFFSET(TblTech[[#This Row],[Sum of tech]],-1,0)*150))</f>
        <v>3750</v>
      </c>
      <c r="S93" s="132"/>
      <c r="T93" s="69" t="n">
        <f aca="false">ROUNDDOWN(TblProd[[#This Row],[Raw Plat/hr]]*(1+TblProd[[#This Row],[Bonus Plat/hr]]),0)</f>
        <v>41872</v>
      </c>
      <c r="U93" s="69" t="n">
        <f aca="false">ROUND(TblProd[[#This Row],[Raw Food/hr]]*(1+TblProd[[#This Row],[Bonus Food/hr]])-TblProd[[#This Row],[Food decay]]-TblProd[[#This Row],[Food eaten]],0)</f>
        <v>-3583</v>
      </c>
      <c r="V93" s="69" t="n">
        <f aca="false">ROUND(TblProd[[#This Row],[Raw Lumber/hr]]*(1+TblProd[[#This Row],[Bonus Lumber/hr]])-TblProd[[#This Row],[Lumber rot]],0)</f>
        <v>-2607</v>
      </c>
      <c r="W93" s="69" t="n">
        <f aca="false">ROUND(TblProd[[#This Row],[Raw Mana/hr]]*(1+TblProd[[#This Row],[Bonus Mana/hr]])-TblProd[[#This Row],[Mana drain]],0)</f>
        <v>-5315</v>
      </c>
      <c r="X93" s="69" t="n">
        <f aca="false">ROUNDDOWN(TblProd[[#This Row],[Raw Ore/hr]]*(1+TblProd[[#This Row],[Bonux Ore/hr]]),0)</f>
        <v>0</v>
      </c>
      <c r="Y93" s="69" t="n">
        <f aca="false">ROUNDDOWN(TblProd[[#This Row],[Raw Gems/hr]]*(1+TblProd[[#This Row],[Bonus Gems/hr]]),0)</f>
        <v>0</v>
      </c>
      <c r="Z93" s="148" t="n">
        <f aca="false">OFFSET(TblConstr[[#This Row],[Tot Doc]],1,0)*dock_boats_hr * (1 + tech_4_1*TblTech[[#This Row],[4-1]])</f>
        <v>1.2</v>
      </c>
      <c r="AA93" s="146"/>
      <c r="AB93" s="69" t="n">
        <f aca="false">TblPop[[#This Row],[Peasants]]*tax*TblPop[[#This Row],[Employment]] + (Construction!AZ94+Construction!BX94)*(alch_plat+(Magic!AM93&gt;0)*alchemist_flame_bonus)</f>
        <v>38065.7</v>
      </c>
      <c r="AC93" s="69" t="n">
        <f aca="false">TblConstr[[#This Row],[Tot Farm]]*farm_food + TblConstr[[#This Row],[Tot Doc]]*dock_food</f>
        <v>3280</v>
      </c>
      <c r="AD93" s="69" t="n">
        <f aca="false">TblConstr[[#This Row],[Tot Ly]]*ly_lumber + TblConstr[[#This Row],[Tot Hav]]*fh_lumber</f>
        <v>1250</v>
      </c>
      <c r="AE93" s="69" t="n">
        <f aca="false">OFFSET(TblConstr[[#This Row],[Tot Tow]],1,0)*(tower_mana + tech_4_5*TblTech[[#This Row],[4-5]]) + OFFSET(TblConstr[[#This Row],[Tot WG]],1,0)*wg_mana_prod</f>
        <v>725</v>
      </c>
      <c r="AF93" s="69" t="n">
        <f aca="false">OFFSET(TblConstr[[#This Row],[Tot OM]],1,0)*om_ore+IF(race="Dwarf",ROUNDDOWN(TblMili[[#This Row],[Unit 2]]*0.4,0),)</f>
        <v>0</v>
      </c>
      <c r="AG93" s="69" t="n">
        <f aca="false">OFFSET(TblConstr[[#This Row],[Tot DM]],1,0)*dm_gems</f>
        <v>0</v>
      </c>
      <c r="AH93" s="132"/>
      <c r="AI93" s="149" t="n">
        <f aca="false">MIN(race_platinum_bonus + IF(TblMagic[[#This Row],[Active Alch Frost]]&gt;0,alch_frost_bonus,IF(Magic!AD93&gt;0,midas_bonus)) + TblImps[[#This Row],[Science]] - TblProd[[#This Row],[Guard]]*(0.02 + tech_5_7*TblTech[[#This Row],[5-7]]) + tech_1_5*TblTech[[#This Row],[1-5]] + tech_4_4*TblTech[[#This Row],[4-4]], 0.5)</f>
        <v>0.1</v>
      </c>
      <c r="AJ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3" s="149" t="n">
        <f aca="false">race_lumber_bonus+ IF(TblMagic[[#This Row],[Active Gaia''s Blessing]]&gt;0,gaias_blessing_lumber)+ tech_1_3*TblTech[[#This Row],[1-3]] + tech_1_6*TblTech[[#This Row],[1-6]] + tech_3_3*TblTech[[#This Row],[3-3]]</f>
        <v>-0.1</v>
      </c>
      <c r="AL93" s="149" t="n">
        <f aca="false">race_mana_bonus+ 0 + TblImps[[#This Row],[Towers]] + tech_1_2*TblTech[[#This Row],[1-2]] + tech_3_4*TblTech[[#This Row],[3-4]]</f>
        <v>0</v>
      </c>
      <c r="AM93" s="149" t="n">
        <f aca="false">race_ore_bonus + IF(TblMagic[[#This Row],[Active Miner''s Sight]]&gt;0,miners_sight_bonus,IF(TblMagic[[#This Row],[Active Mining Strength]]&gt;0,mining_strength_bonus)) +  tech_1_6*TblTech[[#This Row],[1-6]]</f>
        <v>0</v>
      </c>
      <c r="AN93" s="149" t="n">
        <f aca="false">race_gem_bonus+ tech_3_2*TblTech[[#This Row],[3-2]] + tech_4_3*TblTech[[#This Row],[4-3]] + tech_6_2*TblTech[[#This Row],[6-2]]</f>
        <v>0.15</v>
      </c>
      <c r="AO93" s="132"/>
      <c r="AP93" s="69" t="n">
        <f aca="false">TblProd[[#This Row],[Food]]*food_decay * (1 + tech_2_1*TblTech[[#This Row],[2-1]] + tech_2_8*TblTech[[#This Row],[2-8]])</f>
        <v>3782.57</v>
      </c>
      <c r="AQ93" s="69" t="n">
        <f aca="false">(1+race_food_consumption)*TblPop[[#This Row],[Total]]*food_per_person*(1+tech_1_10*TblTech[[#This Row],[1-10]]+tech_7_5*TblTech[[#This Row],[7-5]])</f>
        <v>3162.25</v>
      </c>
      <c r="AR93" s="69" t="n">
        <f aca="false">TblProd[[#This Row],[Lumber]]*lumber_rot * (1 + tech_2_1*TblTech[[#This Row],[2-1]] + tech_2_8*TblTech[[#This Row],[2-8]] + tech_5_2*TblTech[[#This Row],[5-2]])</f>
        <v>3731.58</v>
      </c>
      <c r="AS93" s="69" t="n">
        <f aca="false">TblProd[[#This Row],[Mana]]*mana_drain * (1 + tech_2_1*TblTech[[#This Row],[2-1]] + tech_2_8*TblTech[[#This Row],[2-8]])</f>
        <v>6039.66</v>
      </c>
      <c r="AT93" s="146"/>
      <c r="AU93" s="69" t="n">
        <f aca="false">TblExplore[[#This Row],[Platinum (2)]]+TblConstr[[#This Row],[Total Plat Cost]]+TblMili[[#This Row],[Plat Cost]]+TblRezone[[#This Row],[Platinum cost]]+TblImps[[#This Row],[P1]]-TblProd[[#This Row],[Bank Plat]]</f>
        <v>-65340</v>
      </c>
      <c r="AV93" s="69" t="n">
        <f aca="false">TblConstr[[#This Row],[Total Lum Cost]]+TblImps[[#This Row],[L1]]-TblProd[[#This Row],[Bank Lumber]] + Military!$CL$25*TblMili[[#This Row],[Sec. rec. Cost]]</f>
        <v>-10800</v>
      </c>
      <c r="AW93" s="69" t="n">
        <f aca="false">TblMagic[[#This Row],[Mana cost]] + Military!$CL$26*TblMili[[#This Row],[Sec. rec. Cost]]</f>
        <v>0</v>
      </c>
      <c r="AX93" s="69" t="n">
        <f aca="false">Military!$CL$24*TblMili[[#This Row],[Sec. rec. Cost]]+TblImps[[#This Row],[O1]]-TblProd[[#This Row],[Bank Ore]]</f>
        <v>0</v>
      </c>
      <c r="AY93" s="69" t="n">
        <f aca="false">TblImps[[#This Row],[G1]]-TblProd[[#This Row],[Bank Gems]]</f>
        <v>0</v>
      </c>
      <c r="AZ93" s="132"/>
      <c r="BA93" s="33" t="n">
        <f aca="false">IF(TblProd[[#This Row],[Set Guard]]&lt;&gt;"",TblProd[[#This Row],[Set Guard]],OFFSET(TblProd[[#This Row],[Guard]],-1,0))</f>
        <v>0</v>
      </c>
      <c r="BB93" s="145"/>
      <c r="BC93" s="151" t="n">
        <f aca="false">TblProd[[#This Row],[Hour]]</f>
        <v>18</v>
      </c>
      <c r="BD93" s="152" t="n">
        <f aca="false">-TblProd[[#This Row],[Bank Lumber]] / 2 + -TblProd[[#This Row],[Bank Gems]] * 2 + -TblProd[[#This Row],[Bank Ore]] / 2</f>
        <v>0</v>
      </c>
      <c r="BE93" s="152"/>
      <c r="BF93" s="152"/>
      <c r="BG93" s="152"/>
      <c r="BH93" s="153" t="n">
        <f aca="false">TblProd[[#This Row],[Time]]</f>
        <v>45433.4583333333</v>
      </c>
      <c r="BI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J93" s="69" t="n">
        <f aca="false">TblProd[[#This Row],[Platinum]]</f>
        <v>3194376</v>
      </c>
      <c r="BK93" s="69" t="n">
        <f aca="false">TblProd[[#This Row],[Food]]</f>
        <v>378257</v>
      </c>
      <c r="BL93" s="69" t="n">
        <f aca="false">TblProd[[#This Row],[Lumber]]</f>
        <v>373158</v>
      </c>
      <c r="BM93" s="69" t="n">
        <f aca="false">TblProd[[#This Row],[Mana]]</f>
        <v>301983</v>
      </c>
      <c r="BN93" s="69" t="n">
        <f aca="false">TblProd[[#This Row],[Ore]]</f>
        <v>-357</v>
      </c>
    </row>
    <row r="94" customFormat="false" ht="12.75" hidden="false" customHeight="false" outlineLevel="0" collapsed="false">
      <c r="A94" s="128" t="n">
        <v>19</v>
      </c>
      <c r="B94" s="144" t="n">
        <f aca="false">TblImps[[#This Row],[Time]]</f>
        <v>45433.5</v>
      </c>
      <c r="C94" s="145"/>
      <c r="D94" s="146"/>
      <c r="E94" s="69" t="n">
        <f aca="false">TblConstr[[#This Row],[Land]]</f>
        <v>646</v>
      </c>
      <c r="F94" s="69" t="n">
        <f aca="false">TblPop[[#This Row],[Peasants]]</f>
        <v>8109</v>
      </c>
      <c r="G94" s="69"/>
      <c r="H94" s="69" t="e">
        <f aca="false">TblMili[[#This Row],[Networth (2)]]</f>
        <v>#VALUE!</v>
      </c>
      <c r="I94" s="69" t="n">
        <f aca="false">OFFSET(TblProd[[#This Row],[Platinum]],-1,0)+OFFSET(TblProd[[#This Row],[Plat/hr]],-1,0) - TblProd[[#This Row],[Expenses Platinum]] + IF(TblProd[[#This Row],[Plat Bonus]],TblPop[[#This Row],[Peasants]]*4) + SUM(TblConstr[[#This Row],[Dest Hom]:[Dest Doc]])*TblConstr[[#This Row],[CPA Platinum -DB]]*tech_3_3_2*TblTech[[#This Row],[3-3]]</f>
        <v>3301588</v>
      </c>
      <c r="J94" s="69" t="n">
        <f aca="false">OFFSET(TblProd[[#This Row],[Food]],-1,0)+OFFSET(TblProd[[#This Row],[Food/hr]],-1,0)+ROUNDUP((TblConstr[[#This Row],[Farms]]*80+TblConstr[[#This Row],[Docks]]*35)*(1+OFFSET(TblProd[[#This Row],[Bonus Food/hr]],-1,0)),0)</f>
        <v>374674</v>
      </c>
      <c r="K94" s="69" t="n">
        <f aca="false">OFFSET(TblProd[[#This Row],[Lumber]],-1,0)+OFFSET(TblProd[[#This Row],[Lumber/hr]],-1,0) - TblProd[[#This Row],[Expenses Lumber]] + SUM(TblConstr[[#This Row],[Dest Hom]:[Dest Doc]])*TblConstr[[#This Row],[CPA Lumber -DB]]*tech_3_3_2*TblTech[[#This Row],[3-3]]</f>
        <v>381351</v>
      </c>
      <c r="L94" s="69" t="n">
        <f aca="false">OFFSET(TblProd[[#This Row],[Mana]],-1,0)+OFFSET(TblProd[[#This Row],[Mana/hr]],-1,0)- TblProd[[#This Row],[Expenses Mana]]</f>
        <v>296668</v>
      </c>
      <c r="M94" s="69" t="n">
        <f aca="false">OFFSET(TblProd[[#This Row],[Ore]],-1,0)+OFFSET(TblProd[[#This Row],[Ore/hr]],-1,0) -TblProd[[#This Row],[Expenses Ore]]</f>
        <v>-357</v>
      </c>
      <c r="N94" s="69" t="n">
        <f aca="false">OFFSET(TblProd[[#This Row],[Gems]],-1,0)+OFFSET(TblProd[[#This Row],[Gems/hr]],-1,0) - TblProd[[#This Row],[Expenses Gems]]</f>
        <v>-1000</v>
      </c>
      <c r="O94" s="69" t="n">
        <f aca="false">OFFSET(TblProd[[#This Row],[Boats]],-1,0)+OFFSET(TblProd[[#This Row],[Boats/hr]],-1,0)</f>
        <v>49.85</v>
      </c>
      <c r="P94" s="69" t="n">
        <f aca="false">OFFSET(TblProd[[#This Row],[Prestige]],-1,0)</f>
        <v>250</v>
      </c>
      <c r="Q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4" s="69" t="n">
        <f aca="false">MAX(3750,_xlfn.CEILING.MATH(TblProd[[#This Row],[Land]]*2.5+OFFSET(TblTech[[#This Row],[Sum of tech]],-1,0)*150))</f>
        <v>3750</v>
      </c>
      <c r="S94" s="132"/>
      <c r="T94" s="69" t="n">
        <f aca="false">ROUNDDOWN(TblProd[[#This Row],[Raw Plat/hr]]*(1+TblProd[[#This Row],[Bonus Plat/hr]]),0)</f>
        <v>41628</v>
      </c>
      <c r="U94" s="69" t="n">
        <f aca="false">ROUND(TblProd[[#This Row],[Raw Food/hr]]*(1+TblProd[[#This Row],[Bonus Food/hr]])-TblProd[[#This Row],[Food decay]]-TblProd[[#This Row],[Food eaten]],0)</f>
        <v>-3547</v>
      </c>
      <c r="V94" s="69" t="n">
        <f aca="false">ROUND(TblProd[[#This Row],[Raw Lumber/hr]]*(1+TblProd[[#This Row],[Bonus Lumber/hr]])-TblProd[[#This Row],[Lumber rot]],0)</f>
        <v>-2689</v>
      </c>
      <c r="W94" s="69" t="n">
        <f aca="false">ROUND(TblProd[[#This Row],[Raw Mana/hr]]*(1+TblProd[[#This Row],[Bonus Mana/hr]])-TblProd[[#This Row],[Mana drain]],0)</f>
        <v>-5208</v>
      </c>
      <c r="X94" s="69" t="n">
        <f aca="false">ROUNDDOWN(TblProd[[#This Row],[Raw Ore/hr]]*(1+TblProd[[#This Row],[Bonux Ore/hr]]),0)</f>
        <v>0</v>
      </c>
      <c r="Y94" s="69" t="n">
        <f aca="false">ROUNDDOWN(TblProd[[#This Row],[Raw Gems/hr]]*(1+TblProd[[#This Row],[Bonus Gems/hr]]),0)</f>
        <v>0</v>
      </c>
      <c r="Z94" s="148" t="n">
        <f aca="false">OFFSET(TblConstr[[#This Row],[Tot Doc]],1,0)*dock_boats_hr * (1 + tech_4_1*TblTech[[#This Row],[4-1]])</f>
        <v>1.2</v>
      </c>
      <c r="AA94" s="146"/>
      <c r="AB94" s="69" t="n">
        <f aca="false">TblPop[[#This Row],[Peasants]]*tax*TblPop[[#This Row],[Employment]] + (Construction!AZ95+Construction!BX95)*(alch_plat+(Magic!AM94&gt;0)*alchemist_flame_bonus)</f>
        <v>37844.3</v>
      </c>
      <c r="AC94" s="69" t="n">
        <f aca="false">TblConstr[[#This Row],[Tot Farm]]*farm_food + TblConstr[[#This Row],[Tot Doc]]*dock_food</f>
        <v>3280</v>
      </c>
      <c r="AD94" s="69" t="n">
        <f aca="false">TblConstr[[#This Row],[Tot Ly]]*ly_lumber + TblConstr[[#This Row],[Tot Hav]]*fh_lumber</f>
        <v>1250</v>
      </c>
      <c r="AE94" s="69" t="n">
        <f aca="false">OFFSET(TblConstr[[#This Row],[Tot Tow]],1,0)*(tower_mana + tech_4_5*TblTech[[#This Row],[4-5]]) + OFFSET(TblConstr[[#This Row],[Tot WG]],1,0)*wg_mana_prod</f>
        <v>725</v>
      </c>
      <c r="AF94" s="69" t="n">
        <f aca="false">OFFSET(TblConstr[[#This Row],[Tot OM]],1,0)*om_ore+IF(race="Dwarf",ROUNDDOWN(TblMili[[#This Row],[Unit 2]]*0.4,0),)</f>
        <v>0</v>
      </c>
      <c r="AG94" s="69" t="n">
        <f aca="false">OFFSET(TblConstr[[#This Row],[Tot DM]],1,0)*dm_gems</f>
        <v>0</v>
      </c>
      <c r="AH94" s="132"/>
      <c r="AI94" s="149" t="n">
        <f aca="false">MIN(race_platinum_bonus + IF(TblMagic[[#This Row],[Active Alch Frost]]&gt;0,alch_frost_bonus,IF(Magic!AD94&gt;0,midas_bonus)) + TblImps[[#This Row],[Science]] - TblProd[[#This Row],[Guard]]*(0.02 + tech_5_7*TblTech[[#This Row],[5-7]]) + tech_1_5*TblTech[[#This Row],[1-5]] + tech_4_4*TblTech[[#This Row],[4-4]], 0.5)</f>
        <v>0.1</v>
      </c>
      <c r="AJ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4" s="149" t="n">
        <f aca="false">race_lumber_bonus+ IF(TblMagic[[#This Row],[Active Gaia''s Blessing]]&gt;0,gaias_blessing_lumber)+ tech_1_3*TblTech[[#This Row],[1-3]] + tech_1_6*TblTech[[#This Row],[1-6]] + tech_3_3*TblTech[[#This Row],[3-3]]</f>
        <v>-0.1</v>
      </c>
      <c r="AL94" s="149" t="n">
        <f aca="false">race_mana_bonus+ 0 + TblImps[[#This Row],[Towers]] + tech_1_2*TblTech[[#This Row],[1-2]] + tech_3_4*TblTech[[#This Row],[3-4]]</f>
        <v>0</v>
      </c>
      <c r="AM94" s="149" t="n">
        <f aca="false">race_ore_bonus + IF(TblMagic[[#This Row],[Active Miner''s Sight]]&gt;0,miners_sight_bonus,IF(TblMagic[[#This Row],[Active Mining Strength]]&gt;0,mining_strength_bonus)) +  tech_1_6*TblTech[[#This Row],[1-6]]</f>
        <v>0</v>
      </c>
      <c r="AN94" s="149" t="n">
        <f aca="false">race_gem_bonus+ tech_3_2*TblTech[[#This Row],[3-2]] + tech_4_3*TblTech[[#This Row],[4-3]] + tech_6_2*TblTech[[#This Row],[6-2]]</f>
        <v>0.15</v>
      </c>
      <c r="AO94" s="132"/>
      <c r="AP94" s="69" t="n">
        <f aca="false">TblProd[[#This Row],[Food]]*food_decay * (1 + tech_2_1*TblTech[[#This Row],[2-1]] + tech_2_8*TblTech[[#This Row],[2-8]])</f>
        <v>3746.74</v>
      </c>
      <c r="AQ94" s="69" t="n">
        <f aca="false">(1+race_food_consumption)*TblPop[[#This Row],[Total]]*food_per_person*(1+tech_1_10*TblTech[[#This Row],[1-10]]+tech_7_5*TblTech[[#This Row],[7-5]])</f>
        <v>3162.25</v>
      </c>
      <c r="AR94" s="69" t="n">
        <f aca="false">TblProd[[#This Row],[Lumber]]*lumber_rot * (1 + tech_2_1*TblTech[[#This Row],[2-1]] + tech_2_8*TblTech[[#This Row],[2-8]] + tech_5_2*TblTech[[#This Row],[5-2]])</f>
        <v>3813.51</v>
      </c>
      <c r="AS94" s="69" t="n">
        <f aca="false">TblProd[[#This Row],[Mana]]*mana_drain * (1 + tech_2_1*TblTech[[#This Row],[2-1]] + tech_2_8*TblTech[[#This Row],[2-8]])</f>
        <v>5933.36</v>
      </c>
      <c r="AT94" s="146"/>
      <c r="AU94" s="69" t="n">
        <f aca="false">TblExplore[[#This Row],[Platinum (2)]]+TblConstr[[#This Row],[Total Plat Cost]]+TblMili[[#This Row],[Plat Cost]]+TblRezone[[#This Row],[Platinum cost]]+TblImps[[#This Row],[P1]]-TblProd[[#This Row],[Bank Plat]]</f>
        <v>-65340</v>
      </c>
      <c r="AV94" s="69" t="n">
        <f aca="false">TblConstr[[#This Row],[Total Lum Cost]]+TblImps[[#This Row],[L1]]-TblProd[[#This Row],[Bank Lumber]] + Military!$CL$25*TblMili[[#This Row],[Sec. rec. Cost]]</f>
        <v>-10800</v>
      </c>
      <c r="AW94" s="69" t="n">
        <f aca="false">TblMagic[[#This Row],[Mana cost]] + Military!$CL$26*TblMili[[#This Row],[Sec. rec. Cost]]</f>
        <v>0</v>
      </c>
      <c r="AX94" s="69" t="n">
        <f aca="false">Military!$CL$24*TblMili[[#This Row],[Sec. rec. Cost]]+TblImps[[#This Row],[O1]]-TblProd[[#This Row],[Bank Ore]]</f>
        <v>0</v>
      </c>
      <c r="AY94" s="69" t="n">
        <f aca="false">TblImps[[#This Row],[G1]]-TblProd[[#This Row],[Bank Gems]]</f>
        <v>0</v>
      </c>
      <c r="AZ94" s="132"/>
      <c r="BA94" s="33" t="n">
        <f aca="false">IF(TblProd[[#This Row],[Set Guard]]&lt;&gt;"",TblProd[[#This Row],[Set Guard]],OFFSET(TblProd[[#This Row],[Guard]],-1,0))</f>
        <v>0</v>
      </c>
      <c r="BB94" s="145"/>
      <c r="BC94" s="151" t="n">
        <f aca="false">TblProd[[#This Row],[Hour]]</f>
        <v>19</v>
      </c>
      <c r="BD94" s="152" t="n">
        <f aca="false">-TblProd[[#This Row],[Bank Lumber]] / 2 + -TblProd[[#This Row],[Bank Gems]] * 2 + -TblProd[[#This Row],[Bank Ore]] / 2</f>
        <v>0</v>
      </c>
      <c r="BE94" s="152"/>
      <c r="BF94" s="152"/>
      <c r="BG94" s="152"/>
      <c r="BH94" s="153" t="n">
        <f aca="false">TblProd[[#This Row],[Time]]</f>
        <v>45433.5</v>
      </c>
      <c r="BI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J94" s="69" t="n">
        <f aca="false">TblProd[[#This Row],[Platinum]]</f>
        <v>3301588</v>
      </c>
      <c r="BK94" s="69" t="n">
        <f aca="false">TblProd[[#This Row],[Food]]</f>
        <v>374674</v>
      </c>
      <c r="BL94" s="69" t="n">
        <f aca="false">TblProd[[#This Row],[Lumber]]</f>
        <v>381351</v>
      </c>
      <c r="BM94" s="69" t="n">
        <f aca="false">TblProd[[#This Row],[Mana]]</f>
        <v>296668</v>
      </c>
      <c r="BN94" s="69" t="n">
        <f aca="false">TblProd[[#This Row],[Ore]]</f>
        <v>-357</v>
      </c>
    </row>
    <row r="95" customFormat="false" ht="12.75" hidden="false" customHeight="false" outlineLevel="0" collapsed="false">
      <c r="A95" s="128" t="n">
        <v>20</v>
      </c>
      <c r="B95" s="144" t="n">
        <f aca="false">TblImps[[#This Row],[Time]]</f>
        <v>45433.5416666667</v>
      </c>
      <c r="C95" s="145"/>
      <c r="D95" s="146"/>
      <c r="E95" s="69" t="n">
        <f aca="false">TblConstr[[#This Row],[Land]]</f>
        <v>646</v>
      </c>
      <c r="F95" s="69" t="n">
        <f aca="false">TblPop[[#This Row],[Peasants]]</f>
        <v>8028</v>
      </c>
      <c r="G95" s="69"/>
      <c r="H95" s="69" t="e">
        <f aca="false">TblMili[[#This Row],[Networth (2)]]</f>
        <v>#VALUE!</v>
      </c>
      <c r="I95" s="69" t="n">
        <f aca="false">OFFSET(TblProd[[#This Row],[Platinum]],-1,0)+OFFSET(TblProd[[#This Row],[Plat/hr]],-1,0) - TblProd[[#This Row],[Expenses Platinum]] + IF(TblProd[[#This Row],[Plat Bonus]],TblPop[[#This Row],[Peasants]]*4) + SUM(TblConstr[[#This Row],[Dest Hom]:[Dest Doc]])*TblConstr[[#This Row],[CPA Platinum -DB]]*tech_3_3_2*TblTech[[#This Row],[3-3]]</f>
        <v>3408556</v>
      </c>
      <c r="J95" s="69" t="n">
        <f aca="false">OFFSET(TblProd[[#This Row],[Food]],-1,0)+OFFSET(TblProd[[#This Row],[Food/hr]],-1,0)+ROUNDUP((TblConstr[[#This Row],[Farms]]*80+TblConstr[[#This Row],[Docks]]*35)*(1+OFFSET(TblProd[[#This Row],[Bonus Food/hr]],-1,0)),0)</f>
        <v>371127</v>
      </c>
      <c r="K95" s="69" t="n">
        <f aca="false">OFFSET(TblProd[[#This Row],[Lumber]],-1,0)+OFFSET(TblProd[[#This Row],[Lumber/hr]],-1,0) - TblProd[[#This Row],[Expenses Lumber]] + SUM(TblConstr[[#This Row],[Dest Hom]:[Dest Doc]])*TblConstr[[#This Row],[CPA Lumber -DB]]*tech_3_3_2*TblTech[[#This Row],[3-3]]</f>
        <v>389462</v>
      </c>
      <c r="L95" s="69" t="n">
        <f aca="false">OFFSET(TblProd[[#This Row],[Mana]],-1,0)+OFFSET(TblProd[[#This Row],[Mana/hr]],-1,0)- TblProd[[#This Row],[Expenses Mana]]</f>
        <v>291460</v>
      </c>
      <c r="M95" s="69" t="n">
        <f aca="false">OFFSET(TblProd[[#This Row],[Ore]],-1,0)+OFFSET(TblProd[[#This Row],[Ore/hr]],-1,0) -TblProd[[#This Row],[Expenses Ore]]</f>
        <v>-357</v>
      </c>
      <c r="N95" s="69" t="n">
        <f aca="false">OFFSET(TblProd[[#This Row],[Gems]],-1,0)+OFFSET(TblProd[[#This Row],[Gems/hr]],-1,0) - TblProd[[#This Row],[Expenses Gems]]</f>
        <v>-1000</v>
      </c>
      <c r="O95" s="69" t="n">
        <f aca="false">OFFSET(TblProd[[#This Row],[Boats]],-1,0)+OFFSET(TblProd[[#This Row],[Boats/hr]],-1,0)</f>
        <v>51.05</v>
      </c>
      <c r="P95" s="69" t="n">
        <f aca="false">OFFSET(TblProd[[#This Row],[Prestige]],-1,0)</f>
        <v>250</v>
      </c>
      <c r="Q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5" s="69" t="n">
        <f aca="false">MAX(3750,_xlfn.CEILING.MATH(TblProd[[#This Row],[Land]]*2.5+OFFSET(TblTech[[#This Row],[Sum of tech]],-1,0)*150))</f>
        <v>3750</v>
      </c>
      <c r="S95" s="132"/>
      <c r="T95" s="69" t="n">
        <f aca="false">ROUNDDOWN(TblProd[[#This Row],[Raw Plat/hr]]*(1+TblProd[[#This Row],[Bonus Plat/hr]]),0)</f>
        <v>41388</v>
      </c>
      <c r="U95" s="69" t="n">
        <f aca="false">ROUND(TblProd[[#This Row],[Raw Food/hr]]*(1+TblProd[[#This Row],[Bonus Food/hr]])-TblProd[[#This Row],[Food decay]]-TblProd[[#This Row],[Food eaten]],0)</f>
        <v>-3512</v>
      </c>
      <c r="V95" s="69" t="n">
        <f aca="false">ROUND(TblProd[[#This Row],[Raw Lumber/hr]]*(1+TblProd[[#This Row],[Bonus Lumber/hr]])-TblProd[[#This Row],[Lumber rot]],0)</f>
        <v>-2770</v>
      </c>
      <c r="W95" s="69" t="n">
        <f aca="false">ROUND(TblProd[[#This Row],[Raw Mana/hr]]*(1+TblProd[[#This Row],[Bonus Mana/hr]])-TblProd[[#This Row],[Mana drain]],0)</f>
        <v>-5104</v>
      </c>
      <c r="X95" s="69" t="n">
        <f aca="false">ROUNDDOWN(TblProd[[#This Row],[Raw Ore/hr]]*(1+TblProd[[#This Row],[Bonux Ore/hr]]),0)</f>
        <v>0</v>
      </c>
      <c r="Y95" s="69" t="n">
        <f aca="false">ROUNDDOWN(TblProd[[#This Row],[Raw Gems/hr]]*(1+TblProd[[#This Row],[Bonus Gems/hr]]),0)</f>
        <v>0</v>
      </c>
      <c r="Z95" s="148" t="n">
        <f aca="false">OFFSET(TblConstr[[#This Row],[Tot Doc]],1,0)*dock_boats_hr * (1 + tech_4_1*TblTech[[#This Row],[4-1]])</f>
        <v>1.2</v>
      </c>
      <c r="AA95" s="146"/>
      <c r="AB95" s="69" t="n">
        <f aca="false">TblPop[[#This Row],[Peasants]]*tax*TblPop[[#This Row],[Employment]] + (Construction!AZ96+Construction!BX96)*(alch_plat+(Magic!AM95&gt;0)*alchemist_flame_bonus)</f>
        <v>37625.6</v>
      </c>
      <c r="AC95" s="69" t="n">
        <f aca="false">TblConstr[[#This Row],[Tot Farm]]*farm_food + TblConstr[[#This Row],[Tot Doc]]*dock_food</f>
        <v>3280</v>
      </c>
      <c r="AD95" s="69" t="n">
        <f aca="false">TblConstr[[#This Row],[Tot Ly]]*ly_lumber + TblConstr[[#This Row],[Tot Hav]]*fh_lumber</f>
        <v>1250</v>
      </c>
      <c r="AE95" s="69" t="n">
        <f aca="false">OFFSET(TblConstr[[#This Row],[Tot Tow]],1,0)*(tower_mana + tech_4_5*TblTech[[#This Row],[4-5]]) + OFFSET(TblConstr[[#This Row],[Tot WG]],1,0)*wg_mana_prod</f>
        <v>725</v>
      </c>
      <c r="AF95" s="69" t="n">
        <f aca="false">OFFSET(TblConstr[[#This Row],[Tot OM]],1,0)*om_ore+IF(race="Dwarf",ROUNDDOWN(TblMili[[#This Row],[Unit 2]]*0.4,0),)</f>
        <v>0</v>
      </c>
      <c r="AG95" s="69" t="n">
        <f aca="false">OFFSET(TblConstr[[#This Row],[Tot DM]],1,0)*dm_gems</f>
        <v>0</v>
      </c>
      <c r="AH95" s="132"/>
      <c r="AI95" s="149" t="n">
        <f aca="false">MIN(race_platinum_bonus + IF(TblMagic[[#This Row],[Active Alch Frost]]&gt;0,alch_frost_bonus,IF(Magic!AD95&gt;0,midas_bonus)) + TblImps[[#This Row],[Science]] - TblProd[[#This Row],[Guard]]*(0.02 + tech_5_7*TblTech[[#This Row],[5-7]]) + tech_1_5*TblTech[[#This Row],[1-5]] + tech_4_4*TblTech[[#This Row],[4-4]], 0.5)</f>
        <v>0.1</v>
      </c>
      <c r="AJ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5" s="149" t="n">
        <f aca="false">race_lumber_bonus+ IF(TblMagic[[#This Row],[Active Gaia''s Blessing]]&gt;0,gaias_blessing_lumber)+ tech_1_3*TblTech[[#This Row],[1-3]] + tech_1_6*TblTech[[#This Row],[1-6]] + tech_3_3*TblTech[[#This Row],[3-3]]</f>
        <v>-0.1</v>
      </c>
      <c r="AL95" s="149" t="n">
        <f aca="false">race_mana_bonus+ 0 + TblImps[[#This Row],[Towers]] + tech_1_2*TblTech[[#This Row],[1-2]] + tech_3_4*TblTech[[#This Row],[3-4]]</f>
        <v>0</v>
      </c>
      <c r="AM95" s="149" t="n">
        <f aca="false">race_ore_bonus + IF(TblMagic[[#This Row],[Active Miner''s Sight]]&gt;0,miners_sight_bonus,IF(TblMagic[[#This Row],[Active Mining Strength]]&gt;0,mining_strength_bonus)) +  tech_1_6*TblTech[[#This Row],[1-6]]</f>
        <v>0</v>
      </c>
      <c r="AN95" s="149" t="n">
        <f aca="false">race_gem_bonus+ tech_3_2*TblTech[[#This Row],[3-2]] + tech_4_3*TblTech[[#This Row],[4-3]] + tech_6_2*TblTech[[#This Row],[6-2]]</f>
        <v>0.15</v>
      </c>
      <c r="AO95" s="132"/>
      <c r="AP95" s="69" t="n">
        <f aca="false">TblProd[[#This Row],[Food]]*food_decay * (1 + tech_2_1*TblTech[[#This Row],[2-1]] + tech_2_8*TblTech[[#This Row],[2-8]])</f>
        <v>3711.27</v>
      </c>
      <c r="AQ95" s="69" t="n">
        <f aca="false">(1+race_food_consumption)*TblPop[[#This Row],[Total]]*food_per_person*(1+tech_1_10*TblTech[[#This Row],[1-10]]+tech_7_5*TblTech[[#This Row],[7-5]])</f>
        <v>3162.25</v>
      </c>
      <c r="AR95" s="69" t="n">
        <f aca="false">TblProd[[#This Row],[Lumber]]*lumber_rot * (1 + tech_2_1*TblTech[[#This Row],[2-1]] + tech_2_8*TblTech[[#This Row],[2-8]] + tech_5_2*TblTech[[#This Row],[5-2]])</f>
        <v>3894.62</v>
      </c>
      <c r="AS95" s="69" t="n">
        <f aca="false">TblProd[[#This Row],[Mana]]*mana_drain * (1 + tech_2_1*TblTech[[#This Row],[2-1]] + tech_2_8*TblTech[[#This Row],[2-8]])</f>
        <v>5829.2</v>
      </c>
      <c r="AT95" s="146"/>
      <c r="AU95" s="69" t="n">
        <f aca="false">TblExplore[[#This Row],[Platinum (2)]]+TblConstr[[#This Row],[Total Plat Cost]]+TblMili[[#This Row],[Plat Cost]]+TblRezone[[#This Row],[Platinum cost]]+TblImps[[#This Row],[P1]]-TblProd[[#This Row],[Bank Plat]]</f>
        <v>-65340</v>
      </c>
      <c r="AV95" s="69" t="n">
        <f aca="false">TblConstr[[#This Row],[Total Lum Cost]]+TblImps[[#This Row],[L1]]-TblProd[[#This Row],[Bank Lumber]] + Military!$CL$25*TblMili[[#This Row],[Sec. rec. Cost]]</f>
        <v>-10800</v>
      </c>
      <c r="AW95" s="69" t="n">
        <f aca="false">TblMagic[[#This Row],[Mana cost]] + Military!$CL$26*TblMili[[#This Row],[Sec. rec. Cost]]</f>
        <v>0</v>
      </c>
      <c r="AX95" s="69" t="n">
        <f aca="false">Military!$CL$24*TblMili[[#This Row],[Sec. rec. Cost]]+TblImps[[#This Row],[O1]]-TblProd[[#This Row],[Bank Ore]]</f>
        <v>0</v>
      </c>
      <c r="AY95" s="69" t="n">
        <f aca="false">TblImps[[#This Row],[G1]]-TblProd[[#This Row],[Bank Gems]]</f>
        <v>0</v>
      </c>
      <c r="AZ95" s="132"/>
      <c r="BA95" s="33" t="n">
        <f aca="false">IF(TblProd[[#This Row],[Set Guard]]&lt;&gt;"",TblProd[[#This Row],[Set Guard]],OFFSET(TblProd[[#This Row],[Guard]],-1,0))</f>
        <v>0</v>
      </c>
      <c r="BB95" s="145"/>
      <c r="BC95" s="151" t="n">
        <f aca="false">TblProd[[#This Row],[Hour]]</f>
        <v>20</v>
      </c>
      <c r="BD95" s="152" t="n">
        <f aca="false">-TblProd[[#This Row],[Bank Lumber]] / 2 + -TblProd[[#This Row],[Bank Gems]] * 2 + -TblProd[[#This Row],[Bank Ore]] / 2</f>
        <v>0</v>
      </c>
      <c r="BE95" s="152"/>
      <c r="BF95" s="152"/>
      <c r="BG95" s="152"/>
      <c r="BH95" s="153" t="n">
        <f aca="false">TblProd[[#This Row],[Time]]</f>
        <v>45433.5416666667</v>
      </c>
      <c r="BI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J95" s="69" t="n">
        <f aca="false">TblProd[[#This Row],[Platinum]]</f>
        <v>3408556</v>
      </c>
      <c r="BK95" s="69" t="n">
        <f aca="false">TblProd[[#This Row],[Food]]</f>
        <v>371127</v>
      </c>
      <c r="BL95" s="69" t="n">
        <f aca="false">TblProd[[#This Row],[Lumber]]</f>
        <v>389462</v>
      </c>
      <c r="BM95" s="69" t="n">
        <f aca="false">TblProd[[#This Row],[Mana]]</f>
        <v>291460</v>
      </c>
      <c r="BN95" s="69" t="n">
        <f aca="false">TblProd[[#This Row],[Ore]]</f>
        <v>-357</v>
      </c>
    </row>
    <row r="96" customFormat="false" ht="12.75" hidden="false" customHeight="false" outlineLevel="0" collapsed="false">
      <c r="A96" s="128" t="n">
        <v>21</v>
      </c>
      <c r="B96" s="144" t="n">
        <f aca="false">TblImps[[#This Row],[Time]]</f>
        <v>45433.5833333333</v>
      </c>
      <c r="C96" s="145"/>
      <c r="D96" s="146"/>
      <c r="E96" s="69" t="n">
        <f aca="false">TblConstr[[#This Row],[Land]]</f>
        <v>646</v>
      </c>
      <c r="F96" s="69" t="n">
        <f aca="false">TblPop[[#This Row],[Peasants]]</f>
        <v>7948</v>
      </c>
      <c r="G96" s="69"/>
      <c r="H96" s="69" t="e">
        <f aca="false">TblMili[[#This Row],[Networth (2)]]</f>
        <v>#VALUE!</v>
      </c>
      <c r="I96" s="69" t="n">
        <f aca="false">OFFSET(TblProd[[#This Row],[Platinum]],-1,0)+OFFSET(TblProd[[#This Row],[Plat/hr]],-1,0) - TblProd[[#This Row],[Expenses Platinum]] + IF(TblProd[[#This Row],[Plat Bonus]],TblPop[[#This Row],[Peasants]]*4) + SUM(TblConstr[[#This Row],[Dest Hom]:[Dest Doc]])*TblConstr[[#This Row],[CPA Platinum -DB]]*tech_3_3_2*TblTech[[#This Row],[3-3]]</f>
        <v>3515284</v>
      </c>
      <c r="J96" s="69" t="n">
        <f aca="false">OFFSET(TblProd[[#This Row],[Food]],-1,0)+OFFSET(TblProd[[#This Row],[Food/hr]],-1,0)+ROUNDUP((TblConstr[[#This Row],[Farms]]*80+TblConstr[[#This Row],[Docks]]*35)*(1+OFFSET(TblProd[[#This Row],[Bonus Food/hr]],-1,0)),0)</f>
        <v>367615</v>
      </c>
      <c r="K96" s="69" t="n">
        <f aca="false">OFFSET(TblProd[[#This Row],[Lumber]],-1,0)+OFFSET(TblProd[[#This Row],[Lumber/hr]],-1,0) - TblProd[[#This Row],[Expenses Lumber]] + SUM(TblConstr[[#This Row],[Dest Hom]:[Dest Doc]])*TblConstr[[#This Row],[CPA Lumber -DB]]*tech_3_3_2*TblTech[[#This Row],[3-3]]</f>
        <v>397492</v>
      </c>
      <c r="L96" s="69" t="n">
        <f aca="false">OFFSET(TblProd[[#This Row],[Mana]],-1,0)+OFFSET(TblProd[[#This Row],[Mana/hr]],-1,0)- TblProd[[#This Row],[Expenses Mana]]</f>
        <v>286356</v>
      </c>
      <c r="M96" s="69" t="n">
        <f aca="false">OFFSET(TblProd[[#This Row],[Ore]],-1,0)+OFFSET(TblProd[[#This Row],[Ore/hr]],-1,0) -TblProd[[#This Row],[Expenses Ore]]</f>
        <v>-357</v>
      </c>
      <c r="N96" s="69" t="n">
        <f aca="false">OFFSET(TblProd[[#This Row],[Gems]],-1,0)+OFFSET(TblProd[[#This Row],[Gems/hr]],-1,0) - TblProd[[#This Row],[Expenses Gems]]</f>
        <v>-1000</v>
      </c>
      <c r="O96" s="69" t="n">
        <f aca="false">OFFSET(TblProd[[#This Row],[Boats]],-1,0)+OFFSET(TblProd[[#This Row],[Boats/hr]],-1,0)</f>
        <v>52.25</v>
      </c>
      <c r="P96" s="69" t="n">
        <f aca="false">OFFSET(TblProd[[#This Row],[Prestige]],-1,0)</f>
        <v>250</v>
      </c>
      <c r="Q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6" s="69" t="n">
        <f aca="false">MAX(3750,_xlfn.CEILING.MATH(TblProd[[#This Row],[Land]]*2.5+OFFSET(TblTech[[#This Row],[Sum of tech]],-1,0)*150))</f>
        <v>3750</v>
      </c>
      <c r="S96" s="132"/>
      <c r="T96" s="69" t="n">
        <f aca="false">ROUNDDOWN(TblProd[[#This Row],[Raw Plat/hr]]*(1+TblProd[[#This Row],[Bonus Plat/hr]]),0)</f>
        <v>41150</v>
      </c>
      <c r="U96" s="69" t="n">
        <f aca="false">ROUND(TblProd[[#This Row],[Raw Food/hr]]*(1+TblProd[[#This Row],[Bonus Food/hr]])-TblProd[[#This Row],[Food decay]]-TblProd[[#This Row],[Food eaten]],0)</f>
        <v>-3476</v>
      </c>
      <c r="V96" s="69" t="n">
        <f aca="false">ROUND(TblProd[[#This Row],[Raw Lumber/hr]]*(1+TblProd[[#This Row],[Bonus Lumber/hr]])-TblProd[[#This Row],[Lumber rot]],0)</f>
        <v>-2850</v>
      </c>
      <c r="W96" s="69" t="n">
        <f aca="false">ROUND(TblProd[[#This Row],[Raw Mana/hr]]*(1+TblProd[[#This Row],[Bonus Mana/hr]])-TblProd[[#This Row],[Mana drain]],0)</f>
        <v>-5002</v>
      </c>
      <c r="X96" s="69" t="n">
        <f aca="false">ROUNDDOWN(TblProd[[#This Row],[Raw Ore/hr]]*(1+TblProd[[#This Row],[Bonux Ore/hr]]),0)</f>
        <v>0</v>
      </c>
      <c r="Y96" s="69" t="n">
        <f aca="false">ROUNDDOWN(TblProd[[#This Row],[Raw Gems/hr]]*(1+TblProd[[#This Row],[Bonus Gems/hr]]),0)</f>
        <v>0</v>
      </c>
      <c r="Z96" s="148" t="n">
        <f aca="false">OFFSET(TblConstr[[#This Row],[Tot Doc]],1,0)*dock_boats_hr * (1 + tech_4_1*TblTech[[#This Row],[4-1]])</f>
        <v>1.2</v>
      </c>
      <c r="AA96" s="146"/>
      <c r="AB96" s="69" t="n">
        <f aca="false">TblPop[[#This Row],[Peasants]]*tax*TblPop[[#This Row],[Employment]] + (Construction!AZ97+Construction!BX97)*(alch_plat+(Magic!AM96&gt;0)*alchemist_flame_bonus)</f>
        <v>37409.6</v>
      </c>
      <c r="AC96" s="69" t="n">
        <f aca="false">TblConstr[[#This Row],[Tot Farm]]*farm_food + TblConstr[[#This Row],[Tot Doc]]*dock_food</f>
        <v>3280</v>
      </c>
      <c r="AD96" s="69" t="n">
        <f aca="false">TblConstr[[#This Row],[Tot Ly]]*ly_lumber + TblConstr[[#This Row],[Tot Hav]]*fh_lumber</f>
        <v>1250</v>
      </c>
      <c r="AE96" s="69" t="n">
        <f aca="false">OFFSET(TblConstr[[#This Row],[Tot Tow]],1,0)*(tower_mana + tech_4_5*TblTech[[#This Row],[4-5]]) + OFFSET(TblConstr[[#This Row],[Tot WG]],1,0)*wg_mana_prod</f>
        <v>725</v>
      </c>
      <c r="AF96" s="69" t="n">
        <f aca="false">OFFSET(TblConstr[[#This Row],[Tot OM]],1,0)*om_ore+IF(race="Dwarf",ROUNDDOWN(TblMili[[#This Row],[Unit 2]]*0.4,0),)</f>
        <v>0</v>
      </c>
      <c r="AG96" s="69" t="n">
        <f aca="false">OFFSET(TblConstr[[#This Row],[Tot DM]],1,0)*dm_gems</f>
        <v>0</v>
      </c>
      <c r="AH96" s="132"/>
      <c r="AI96" s="149" t="n">
        <f aca="false">MIN(race_platinum_bonus + IF(TblMagic[[#This Row],[Active Alch Frost]]&gt;0,alch_frost_bonus,IF(Magic!AD96&gt;0,midas_bonus)) + TblImps[[#This Row],[Science]] - TblProd[[#This Row],[Guard]]*(0.02 + tech_5_7*TblTech[[#This Row],[5-7]]) + tech_1_5*TblTech[[#This Row],[1-5]] + tech_4_4*TblTech[[#This Row],[4-4]], 0.5)</f>
        <v>0.1</v>
      </c>
      <c r="AJ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6" s="149" t="n">
        <f aca="false">race_lumber_bonus+ IF(TblMagic[[#This Row],[Active Gaia''s Blessing]]&gt;0,gaias_blessing_lumber)+ tech_1_3*TblTech[[#This Row],[1-3]] + tech_1_6*TblTech[[#This Row],[1-6]] + tech_3_3*TblTech[[#This Row],[3-3]]</f>
        <v>-0.1</v>
      </c>
      <c r="AL96" s="149" t="n">
        <f aca="false">race_mana_bonus+ 0 + TblImps[[#This Row],[Towers]] + tech_1_2*TblTech[[#This Row],[1-2]] + tech_3_4*TblTech[[#This Row],[3-4]]</f>
        <v>0</v>
      </c>
      <c r="AM96" s="149" t="n">
        <f aca="false">race_ore_bonus + IF(TblMagic[[#This Row],[Active Miner''s Sight]]&gt;0,miners_sight_bonus,IF(TblMagic[[#This Row],[Active Mining Strength]]&gt;0,mining_strength_bonus)) +  tech_1_6*TblTech[[#This Row],[1-6]]</f>
        <v>0</v>
      </c>
      <c r="AN96" s="149" t="n">
        <f aca="false">race_gem_bonus+ tech_3_2*TblTech[[#This Row],[3-2]] + tech_4_3*TblTech[[#This Row],[4-3]] + tech_6_2*TblTech[[#This Row],[6-2]]</f>
        <v>0.15</v>
      </c>
      <c r="AO96" s="132"/>
      <c r="AP96" s="69" t="n">
        <f aca="false">TblProd[[#This Row],[Food]]*food_decay * (1 + tech_2_1*TblTech[[#This Row],[2-1]] + tech_2_8*TblTech[[#This Row],[2-8]])</f>
        <v>3676.15</v>
      </c>
      <c r="AQ96" s="69" t="n">
        <f aca="false">(1+race_food_consumption)*TblPop[[#This Row],[Total]]*food_per_person*(1+tech_1_10*TblTech[[#This Row],[1-10]]+tech_7_5*TblTech[[#This Row],[7-5]])</f>
        <v>3162.25</v>
      </c>
      <c r="AR96" s="69" t="n">
        <f aca="false">TblProd[[#This Row],[Lumber]]*lumber_rot * (1 + tech_2_1*TblTech[[#This Row],[2-1]] + tech_2_8*TblTech[[#This Row],[2-8]] + tech_5_2*TblTech[[#This Row],[5-2]])</f>
        <v>3974.92</v>
      </c>
      <c r="AS96" s="69" t="n">
        <f aca="false">TblProd[[#This Row],[Mana]]*mana_drain * (1 + tech_2_1*TblTech[[#This Row],[2-1]] + tech_2_8*TblTech[[#This Row],[2-8]])</f>
        <v>5727.12</v>
      </c>
      <c r="AT96" s="146"/>
      <c r="AU96" s="69" t="n">
        <f aca="false">TblExplore[[#This Row],[Platinum (2)]]+TblConstr[[#This Row],[Total Plat Cost]]+TblMili[[#This Row],[Plat Cost]]+TblRezone[[#This Row],[Platinum cost]]+TblImps[[#This Row],[P1]]-TblProd[[#This Row],[Bank Plat]]</f>
        <v>-65340</v>
      </c>
      <c r="AV96" s="69" t="n">
        <f aca="false">TblConstr[[#This Row],[Total Lum Cost]]+TblImps[[#This Row],[L1]]-TblProd[[#This Row],[Bank Lumber]] + Military!$CL$25*TblMili[[#This Row],[Sec. rec. Cost]]</f>
        <v>-10800</v>
      </c>
      <c r="AW96" s="69" t="n">
        <f aca="false">TblMagic[[#This Row],[Mana cost]] + Military!$CL$26*TblMili[[#This Row],[Sec. rec. Cost]]</f>
        <v>0</v>
      </c>
      <c r="AX96" s="69" t="n">
        <f aca="false">Military!$CL$24*TblMili[[#This Row],[Sec. rec. Cost]]+TblImps[[#This Row],[O1]]-TblProd[[#This Row],[Bank Ore]]</f>
        <v>0</v>
      </c>
      <c r="AY96" s="69" t="n">
        <f aca="false">TblImps[[#This Row],[G1]]-TblProd[[#This Row],[Bank Gems]]</f>
        <v>0</v>
      </c>
      <c r="AZ96" s="132"/>
      <c r="BA96" s="33" t="n">
        <f aca="false">IF(TblProd[[#This Row],[Set Guard]]&lt;&gt;"",TblProd[[#This Row],[Set Guard]],OFFSET(TblProd[[#This Row],[Guard]],-1,0))</f>
        <v>0</v>
      </c>
      <c r="BB96" s="145"/>
      <c r="BC96" s="151" t="n">
        <f aca="false">TblProd[[#This Row],[Hour]]</f>
        <v>21</v>
      </c>
      <c r="BD96" s="152" t="n">
        <f aca="false">-TblProd[[#This Row],[Bank Lumber]] / 2 + -TblProd[[#This Row],[Bank Gems]] * 2 + -TblProd[[#This Row],[Bank Ore]] / 2</f>
        <v>0</v>
      </c>
      <c r="BE96" s="152"/>
      <c r="BF96" s="152"/>
      <c r="BG96" s="152"/>
      <c r="BH96" s="153" t="n">
        <f aca="false">TblProd[[#This Row],[Time]]</f>
        <v>45433.5833333333</v>
      </c>
      <c r="BI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J96" s="69" t="n">
        <f aca="false">TblProd[[#This Row],[Platinum]]</f>
        <v>3515284</v>
      </c>
      <c r="BK96" s="69" t="n">
        <f aca="false">TblProd[[#This Row],[Food]]</f>
        <v>367615</v>
      </c>
      <c r="BL96" s="69" t="n">
        <f aca="false">TblProd[[#This Row],[Lumber]]</f>
        <v>397492</v>
      </c>
      <c r="BM96" s="69" t="n">
        <f aca="false">TblProd[[#This Row],[Mana]]</f>
        <v>286356</v>
      </c>
      <c r="BN96" s="69" t="n">
        <f aca="false">TblProd[[#This Row],[Ore]]</f>
        <v>-357</v>
      </c>
    </row>
    <row r="97" customFormat="false" ht="12.75" hidden="false" customHeight="false" outlineLevel="0" collapsed="false">
      <c r="A97" s="128" t="n">
        <v>22</v>
      </c>
      <c r="B97" s="144" t="n">
        <f aca="false">TblImps[[#This Row],[Time]]</f>
        <v>45433.625</v>
      </c>
      <c r="C97" s="145"/>
      <c r="D97" s="146"/>
      <c r="E97" s="69" t="n">
        <f aca="false">TblConstr[[#This Row],[Land]]</f>
        <v>646</v>
      </c>
      <c r="F97" s="69" t="n">
        <f aca="false">TblPop[[#This Row],[Peasants]]</f>
        <v>7869</v>
      </c>
      <c r="G97" s="69"/>
      <c r="H97" s="69" t="e">
        <f aca="false">TblMili[[#This Row],[Networth (2)]]</f>
        <v>#VALUE!</v>
      </c>
      <c r="I97" s="69" t="n">
        <f aca="false">OFFSET(TblProd[[#This Row],[Platinum]],-1,0)+OFFSET(TblProd[[#This Row],[Plat/hr]],-1,0) - TblProd[[#This Row],[Expenses Platinum]] + IF(TblProd[[#This Row],[Plat Bonus]],TblPop[[#This Row],[Peasants]]*4) + SUM(TblConstr[[#This Row],[Dest Hom]:[Dest Doc]])*TblConstr[[#This Row],[CPA Platinum -DB]]*tech_3_3_2*TblTech[[#This Row],[3-3]]</f>
        <v>3621774</v>
      </c>
      <c r="J97" s="69" t="n">
        <f aca="false">OFFSET(TblProd[[#This Row],[Food]],-1,0)+OFFSET(TblProd[[#This Row],[Food/hr]],-1,0)+ROUNDUP((TblConstr[[#This Row],[Farms]]*80+TblConstr[[#This Row],[Docks]]*35)*(1+OFFSET(TblProd[[#This Row],[Bonus Food/hr]],-1,0)),0)</f>
        <v>364139</v>
      </c>
      <c r="K97" s="69" t="n">
        <f aca="false">OFFSET(TblProd[[#This Row],[Lumber]],-1,0)+OFFSET(TblProd[[#This Row],[Lumber/hr]],-1,0) - TblProd[[#This Row],[Expenses Lumber]] + SUM(TblConstr[[#This Row],[Dest Hom]:[Dest Doc]])*TblConstr[[#This Row],[CPA Lumber -DB]]*tech_3_3_2*TblTech[[#This Row],[3-3]]</f>
        <v>405442</v>
      </c>
      <c r="L97" s="69" t="n">
        <f aca="false">OFFSET(TblProd[[#This Row],[Mana]],-1,0)+OFFSET(TblProd[[#This Row],[Mana/hr]],-1,0)- TblProd[[#This Row],[Expenses Mana]]</f>
        <v>281354</v>
      </c>
      <c r="M97" s="69" t="n">
        <f aca="false">OFFSET(TblProd[[#This Row],[Ore]],-1,0)+OFFSET(TblProd[[#This Row],[Ore/hr]],-1,0) -TblProd[[#This Row],[Expenses Ore]]</f>
        <v>-357</v>
      </c>
      <c r="N97" s="69" t="n">
        <f aca="false">OFFSET(TblProd[[#This Row],[Gems]],-1,0)+OFFSET(TblProd[[#This Row],[Gems/hr]],-1,0) - TblProd[[#This Row],[Expenses Gems]]</f>
        <v>-1000</v>
      </c>
      <c r="O97" s="69" t="n">
        <f aca="false">OFFSET(TblProd[[#This Row],[Boats]],-1,0)+OFFSET(TblProd[[#This Row],[Boats/hr]],-1,0)</f>
        <v>53.45</v>
      </c>
      <c r="P97" s="69" t="n">
        <f aca="false">OFFSET(TblProd[[#This Row],[Prestige]],-1,0)</f>
        <v>250</v>
      </c>
      <c r="Q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7" s="69" t="n">
        <f aca="false">MAX(3750,_xlfn.CEILING.MATH(TblProd[[#This Row],[Land]]*2.5+OFFSET(TblTech[[#This Row],[Sum of tech]],-1,0)*150))</f>
        <v>3750</v>
      </c>
      <c r="S97" s="132"/>
      <c r="T97" s="69" t="n">
        <f aca="false">ROUNDDOWN(TblProd[[#This Row],[Raw Plat/hr]]*(1+TblProd[[#This Row],[Bonus Plat/hr]]),0)</f>
        <v>40915</v>
      </c>
      <c r="U97" s="69" t="n">
        <f aca="false">ROUND(TblProd[[#This Row],[Raw Food/hr]]*(1+TblProd[[#This Row],[Bonus Food/hr]])-TblProd[[#This Row],[Food decay]]-TblProd[[#This Row],[Food eaten]],0)</f>
        <v>-3442</v>
      </c>
      <c r="V97" s="69" t="n">
        <f aca="false">ROUND(TblProd[[#This Row],[Raw Lumber/hr]]*(1+TblProd[[#This Row],[Bonus Lumber/hr]])-TblProd[[#This Row],[Lumber rot]],0)</f>
        <v>-2929</v>
      </c>
      <c r="W97" s="69" t="n">
        <f aca="false">ROUND(TblProd[[#This Row],[Raw Mana/hr]]*(1+TblProd[[#This Row],[Bonus Mana/hr]])-TblProd[[#This Row],[Mana drain]],0)</f>
        <v>-4902</v>
      </c>
      <c r="X97" s="69" t="n">
        <f aca="false">ROUNDDOWN(TblProd[[#This Row],[Raw Ore/hr]]*(1+TblProd[[#This Row],[Bonux Ore/hr]]),0)</f>
        <v>0</v>
      </c>
      <c r="Y97" s="69" t="n">
        <f aca="false">ROUNDDOWN(TblProd[[#This Row],[Raw Gems/hr]]*(1+TblProd[[#This Row],[Bonus Gems/hr]]),0)</f>
        <v>0</v>
      </c>
      <c r="Z97" s="148" t="n">
        <f aca="false">OFFSET(TblConstr[[#This Row],[Tot Doc]],1,0)*dock_boats_hr * (1 + tech_4_1*TblTech[[#This Row],[4-1]])</f>
        <v>1.2</v>
      </c>
      <c r="AA97" s="146"/>
      <c r="AB97" s="69" t="n">
        <f aca="false">TblPop[[#This Row],[Peasants]]*tax*TblPop[[#This Row],[Employment]] + (Construction!AZ98+Construction!BX98)*(alch_plat+(Magic!AM97&gt;0)*alchemist_flame_bonus)</f>
        <v>37196.3</v>
      </c>
      <c r="AC97" s="69" t="n">
        <f aca="false">TblConstr[[#This Row],[Tot Farm]]*farm_food + TblConstr[[#This Row],[Tot Doc]]*dock_food</f>
        <v>3280</v>
      </c>
      <c r="AD97" s="69" t="n">
        <f aca="false">TblConstr[[#This Row],[Tot Ly]]*ly_lumber + TblConstr[[#This Row],[Tot Hav]]*fh_lumber</f>
        <v>1250</v>
      </c>
      <c r="AE97" s="69" t="n">
        <f aca="false">OFFSET(TblConstr[[#This Row],[Tot Tow]],1,0)*(tower_mana + tech_4_5*TblTech[[#This Row],[4-5]]) + OFFSET(TblConstr[[#This Row],[Tot WG]],1,0)*wg_mana_prod</f>
        <v>725</v>
      </c>
      <c r="AF97" s="69" t="n">
        <f aca="false">OFFSET(TblConstr[[#This Row],[Tot OM]],1,0)*om_ore+IF(race="Dwarf",ROUNDDOWN(TblMili[[#This Row],[Unit 2]]*0.4,0),)</f>
        <v>0</v>
      </c>
      <c r="AG97" s="69" t="n">
        <f aca="false">OFFSET(TblConstr[[#This Row],[Tot DM]],1,0)*dm_gems</f>
        <v>0</v>
      </c>
      <c r="AH97" s="132"/>
      <c r="AI97" s="149" t="n">
        <f aca="false">MIN(race_platinum_bonus + IF(TblMagic[[#This Row],[Active Alch Frost]]&gt;0,alch_frost_bonus,IF(Magic!AD97&gt;0,midas_bonus)) + TblImps[[#This Row],[Science]] - TblProd[[#This Row],[Guard]]*(0.02 + tech_5_7*TblTech[[#This Row],[5-7]]) + tech_1_5*TblTech[[#This Row],[1-5]] + tech_4_4*TblTech[[#This Row],[4-4]], 0.5)</f>
        <v>0.1</v>
      </c>
      <c r="AJ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7" s="149" t="n">
        <f aca="false">race_lumber_bonus+ IF(TblMagic[[#This Row],[Active Gaia''s Blessing]]&gt;0,gaias_blessing_lumber)+ tech_1_3*TblTech[[#This Row],[1-3]] + tech_1_6*TblTech[[#This Row],[1-6]] + tech_3_3*TblTech[[#This Row],[3-3]]</f>
        <v>-0.1</v>
      </c>
      <c r="AL97" s="149" t="n">
        <f aca="false">race_mana_bonus+ 0 + TblImps[[#This Row],[Towers]] + tech_1_2*TblTech[[#This Row],[1-2]] + tech_3_4*TblTech[[#This Row],[3-4]]</f>
        <v>0</v>
      </c>
      <c r="AM97" s="149" t="n">
        <f aca="false">race_ore_bonus + IF(TblMagic[[#This Row],[Active Miner''s Sight]]&gt;0,miners_sight_bonus,IF(TblMagic[[#This Row],[Active Mining Strength]]&gt;0,mining_strength_bonus)) +  tech_1_6*TblTech[[#This Row],[1-6]]</f>
        <v>0</v>
      </c>
      <c r="AN97" s="149" t="n">
        <f aca="false">race_gem_bonus+ tech_3_2*TblTech[[#This Row],[3-2]] + tech_4_3*TblTech[[#This Row],[4-3]] + tech_6_2*TblTech[[#This Row],[6-2]]</f>
        <v>0.15</v>
      </c>
      <c r="AO97" s="132"/>
      <c r="AP97" s="69" t="n">
        <f aca="false">TblProd[[#This Row],[Food]]*food_decay * (1 + tech_2_1*TblTech[[#This Row],[2-1]] + tech_2_8*TblTech[[#This Row],[2-8]])</f>
        <v>3641.39</v>
      </c>
      <c r="AQ97" s="69" t="n">
        <f aca="false">(1+race_food_consumption)*TblPop[[#This Row],[Total]]*food_per_person*(1+tech_1_10*TblTech[[#This Row],[1-10]]+tech_7_5*TblTech[[#This Row],[7-5]])</f>
        <v>3162.25</v>
      </c>
      <c r="AR97" s="69" t="n">
        <f aca="false">TblProd[[#This Row],[Lumber]]*lumber_rot * (1 + tech_2_1*TblTech[[#This Row],[2-1]] + tech_2_8*TblTech[[#This Row],[2-8]] + tech_5_2*TblTech[[#This Row],[5-2]])</f>
        <v>4054.42</v>
      </c>
      <c r="AS97" s="69" t="n">
        <f aca="false">TblProd[[#This Row],[Mana]]*mana_drain * (1 + tech_2_1*TblTech[[#This Row],[2-1]] + tech_2_8*TblTech[[#This Row],[2-8]])</f>
        <v>5627.08</v>
      </c>
      <c r="AT97" s="146"/>
      <c r="AU97" s="69" t="n">
        <f aca="false">TblExplore[[#This Row],[Platinum (2)]]+TblConstr[[#This Row],[Total Plat Cost]]+TblMili[[#This Row],[Plat Cost]]+TblRezone[[#This Row],[Platinum cost]]+TblImps[[#This Row],[P1]]-TblProd[[#This Row],[Bank Plat]]</f>
        <v>-65340</v>
      </c>
      <c r="AV97" s="69" t="n">
        <f aca="false">TblConstr[[#This Row],[Total Lum Cost]]+TblImps[[#This Row],[L1]]-TblProd[[#This Row],[Bank Lumber]] + Military!$CL$25*TblMili[[#This Row],[Sec. rec. Cost]]</f>
        <v>-10800</v>
      </c>
      <c r="AW97" s="69" t="n">
        <f aca="false">TblMagic[[#This Row],[Mana cost]] + Military!$CL$26*TblMili[[#This Row],[Sec. rec. Cost]]</f>
        <v>0</v>
      </c>
      <c r="AX97" s="69" t="n">
        <f aca="false">Military!$CL$24*TblMili[[#This Row],[Sec. rec. Cost]]+TblImps[[#This Row],[O1]]-TblProd[[#This Row],[Bank Ore]]</f>
        <v>0</v>
      </c>
      <c r="AY97" s="69" t="n">
        <f aca="false">TblImps[[#This Row],[G1]]-TblProd[[#This Row],[Bank Gems]]</f>
        <v>0</v>
      </c>
      <c r="AZ97" s="132"/>
      <c r="BA97" s="33" t="n">
        <f aca="false">IF(TblProd[[#This Row],[Set Guard]]&lt;&gt;"",TblProd[[#This Row],[Set Guard]],OFFSET(TblProd[[#This Row],[Guard]],-1,0))</f>
        <v>0</v>
      </c>
      <c r="BB97" s="145"/>
      <c r="BC97" s="151" t="n">
        <f aca="false">TblProd[[#This Row],[Hour]]</f>
        <v>22</v>
      </c>
      <c r="BD97" s="152" t="n">
        <f aca="false">-TblProd[[#This Row],[Bank Lumber]] / 2 + -TblProd[[#This Row],[Bank Gems]] * 2 + -TblProd[[#This Row],[Bank Ore]] / 2</f>
        <v>0</v>
      </c>
      <c r="BE97" s="152"/>
      <c r="BF97" s="152"/>
      <c r="BG97" s="152"/>
      <c r="BH97" s="153" t="n">
        <f aca="false">TblProd[[#This Row],[Time]]</f>
        <v>45433.625</v>
      </c>
      <c r="BI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J97" s="69" t="n">
        <f aca="false">TblProd[[#This Row],[Platinum]]</f>
        <v>3621774</v>
      </c>
      <c r="BK97" s="69" t="n">
        <f aca="false">TblProd[[#This Row],[Food]]</f>
        <v>364139</v>
      </c>
      <c r="BL97" s="69" t="n">
        <f aca="false">TblProd[[#This Row],[Lumber]]</f>
        <v>405442</v>
      </c>
      <c r="BM97" s="69" t="n">
        <f aca="false">TblProd[[#This Row],[Mana]]</f>
        <v>281354</v>
      </c>
      <c r="BN97" s="69" t="n">
        <f aca="false">TblProd[[#This Row],[Ore]]</f>
        <v>-357</v>
      </c>
    </row>
    <row r="98" customFormat="false" ht="12.75" hidden="false" customHeight="false" outlineLevel="0" collapsed="false">
      <c r="A98" s="128" t="n">
        <v>23</v>
      </c>
      <c r="B98" s="144" t="n">
        <f aca="false">TblImps[[#This Row],[Time]]</f>
        <v>45433.6666666667</v>
      </c>
      <c r="C98" s="145"/>
      <c r="D98" s="146"/>
      <c r="E98" s="69" t="n">
        <f aca="false">TblConstr[[#This Row],[Land]]</f>
        <v>646</v>
      </c>
      <c r="F98" s="69" t="n">
        <f aca="false">TblPop[[#This Row],[Peasants]]</f>
        <v>7790</v>
      </c>
      <c r="G98" s="69"/>
      <c r="H98" s="69" t="e">
        <f aca="false">TblMili[[#This Row],[Networth (2)]]</f>
        <v>#VALUE!</v>
      </c>
      <c r="I98" s="69" t="n">
        <f aca="false">OFFSET(TblProd[[#This Row],[Platinum]],-1,0)+OFFSET(TblProd[[#This Row],[Plat/hr]],-1,0) - TblProd[[#This Row],[Expenses Platinum]] + IF(TblProd[[#This Row],[Plat Bonus]],TblPop[[#This Row],[Peasants]]*4) + SUM(TblConstr[[#This Row],[Dest Hom]:[Dest Doc]])*TblConstr[[#This Row],[CPA Platinum -DB]]*tech_3_3_2*TblTech[[#This Row],[3-3]]</f>
        <v>3728029</v>
      </c>
      <c r="J98" s="69" t="n">
        <f aca="false">OFFSET(TblProd[[#This Row],[Food]],-1,0)+OFFSET(TblProd[[#This Row],[Food/hr]],-1,0)+ROUNDUP((TblConstr[[#This Row],[Farms]]*80+TblConstr[[#This Row],[Docks]]*35)*(1+OFFSET(TblProd[[#This Row],[Bonus Food/hr]],-1,0)),0)</f>
        <v>360697</v>
      </c>
      <c r="K98" s="69" t="n">
        <f aca="false">OFFSET(TblProd[[#This Row],[Lumber]],-1,0)+OFFSET(TblProd[[#This Row],[Lumber/hr]],-1,0) - TblProd[[#This Row],[Expenses Lumber]] + SUM(TblConstr[[#This Row],[Dest Hom]:[Dest Doc]])*TblConstr[[#This Row],[CPA Lumber -DB]]*tech_3_3_2*TblTech[[#This Row],[3-3]]</f>
        <v>413313</v>
      </c>
      <c r="L98" s="69" t="n">
        <f aca="false">OFFSET(TblProd[[#This Row],[Mana]],-1,0)+OFFSET(TblProd[[#This Row],[Mana/hr]],-1,0)- TblProd[[#This Row],[Expenses Mana]]</f>
        <v>276452</v>
      </c>
      <c r="M98" s="69" t="n">
        <f aca="false">OFFSET(TblProd[[#This Row],[Ore]],-1,0)+OFFSET(TblProd[[#This Row],[Ore/hr]],-1,0) -TblProd[[#This Row],[Expenses Ore]]</f>
        <v>-357</v>
      </c>
      <c r="N98" s="69" t="n">
        <f aca="false">OFFSET(TblProd[[#This Row],[Gems]],-1,0)+OFFSET(TblProd[[#This Row],[Gems/hr]],-1,0) - TblProd[[#This Row],[Expenses Gems]]</f>
        <v>-1000</v>
      </c>
      <c r="O98" s="69" t="n">
        <f aca="false">OFFSET(TblProd[[#This Row],[Boats]],-1,0)+OFFSET(TblProd[[#This Row],[Boats/hr]],-1,0)</f>
        <v>54.65</v>
      </c>
      <c r="P98" s="69" t="n">
        <f aca="false">OFFSET(TblProd[[#This Row],[Prestige]],-1,0)</f>
        <v>250</v>
      </c>
      <c r="Q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8" s="69" t="n">
        <f aca="false">MAX(3750,_xlfn.CEILING.MATH(TblProd[[#This Row],[Land]]*2.5+OFFSET(TblTech[[#This Row],[Sum of tech]],-1,0)*150))</f>
        <v>3750</v>
      </c>
      <c r="S98" s="132"/>
      <c r="T98" s="69" t="n">
        <f aca="false">ROUNDDOWN(TblProd[[#This Row],[Raw Plat/hr]]*(1+TblProd[[#This Row],[Bonus Plat/hr]]),0)</f>
        <v>40681</v>
      </c>
      <c r="U98" s="69" t="n">
        <f aca="false">ROUND(TblProd[[#This Row],[Raw Food/hr]]*(1+TblProd[[#This Row],[Bonus Food/hr]])-TblProd[[#This Row],[Food decay]]-TblProd[[#This Row],[Food eaten]],0)</f>
        <v>-3407</v>
      </c>
      <c r="V98" s="69" t="n">
        <f aca="false">ROUND(TblProd[[#This Row],[Raw Lumber/hr]]*(1+TblProd[[#This Row],[Bonus Lumber/hr]])-TblProd[[#This Row],[Lumber rot]],0)</f>
        <v>-3008</v>
      </c>
      <c r="W98" s="69" t="n">
        <f aca="false">ROUND(TblProd[[#This Row],[Raw Mana/hr]]*(1+TblProd[[#This Row],[Bonus Mana/hr]])-TblProd[[#This Row],[Mana drain]],0)</f>
        <v>-4804</v>
      </c>
      <c r="X98" s="69" t="n">
        <f aca="false">ROUNDDOWN(TblProd[[#This Row],[Raw Ore/hr]]*(1+TblProd[[#This Row],[Bonux Ore/hr]]),0)</f>
        <v>0</v>
      </c>
      <c r="Y98" s="69" t="n">
        <f aca="false">ROUNDDOWN(TblProd[[#This Row],[Raw Gems/hr]]*(1+TblProd[[#This Row],[Bonus Gems/hr]]),0)</f>
        <v>0</v>
      </c>
      <c r="Z98" s="148" t="n">
        <f aca="false">OFFSET(TblConstr[[#This Row],[Tot Doc]],1,0)*dock_boats_hr * (1 + tech_4_1*TblTech[[#This Row],[4-1]])</f>
        <v>1.2</v>
      </c>
      <c r="AA98" s="146"/>
      <c r="AB98" s="69" t="n">
        <f aca="false">TblPop[[#This Row],[Peasants]]*tax*TblPop[[#This Row],[Employment]] + (Construction!AZ99+Construction!BX99)*(alch_plat+(Magic!AM98&gt;0)*alchemist_flame_bonus)</f>
        <v>36983</v>
      </c>
      <c r="AC98" s="69" t="n">
        <f aca="false">TblConstr[[#This Row],[Tot Farm]]*farm_food + TblConstr[[#This Row],[Tot Doc]]*dock_food</f>
        <v>3280</v>
      </c>
      <c r="AD98" s="69" t="n">
        <f aca="false">TblConstr[[#This Row],[Tot Ly]]*ly_lumber + TblConstr[[#This Row],[Tot Hav]]*fh_lumber</f>
        <v>1250</v>
      </c>
      <c r="AE98" s="69" t="n">
        <f aca="false">OFFSET(TblConstr[[#This Row],[Tot Tow]],1,0)*(tower_mana + tech_4_5*TblTech[[#This Row],[4-5]]) + OFFSET(TblConstr[[#This Row],[Tot WG]],1,0)*wg_mana_prod</f>
        <v>725</v>
      </c>
      <c r="AF98" s="69" t="n">
        <f aca="false">OFFSET(TblConstr[[#This Row],[Tot OM]],1,0)*om_ore+IF(race="Dwarf",ROUNDDOWN(TblMili[[#This Row],[Unit 2]]*0.4,0),)</f>
        <v>0</v>
      </c>
      <c r="AG98" s="69" t="n">
        <f aca="false">OFFSET(TblConstr[[#This Row],[Tot DM]],1,0)*dm_gems</f>
        <v>0</v>
      </c>
      <c r="AH98" s="132"/>
      <c r="AI98" s="149" t="n">
        <f aca="false">MIN(race_platinum_bonus + IF(TblMagic[[#This Row],[Active Alch Frost]]&gt;0,alch_frost_bonus,IF(Magic!AD98&gt;0,midas_bonus)) + TblImps[[#This Row],[Science]] - TblProd[[#This Row],[Guard]]*(0.02 + tech_5_7*TblTech[[#This Row],[5-7]]) + tech_1_5*TblTech[[#This Row],[1-5]] + tech_4_4*TblTech[[#This Row],[4-4]], 0.5)</f>
        <v>0.1</v>
      </c>
      <c r="AJ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8" s="149" t="n">
        <f aca="false">race_lumber_bonus+ IF(TblMagic[[#This Row],[Active Gaia''s Blessing]]&gt;0,gaias_blessing_lumber)+ tech_1_3*TblTech[[#This Row],[1-3]] + tech_1_6*TblTech[[#This Row],[1-6]] + tech_3_3*TblTech[[#This Row],[3-3]]</f>
        <v>-0.1</v>
      </c>
      <c r="AL98" s="149" t="n">
        <f aca="false">race_mana_bonus+ 0 + TblImps[[#This Row],[Towers]] + tech_1_2*TblTech[[#This Row],[1-2]] + tech_3_4*TblTech[[#This Row],[3-4]]</f>
        <v>0</v>
      </c>
      <c r="AM98" s="149" t="n">
        <f aca="false">race_ore_bonus + IF(TblMagic[[#This Row],[Active Miner''s Sight]]&gt;0,miners_sight_bonus,IF(TblMagic[[#This Row],[Active Mining Strength]]&gt;0,mining_strength_bonus)) +  tech_1_6*TblTech[[#This Row],[1-6]]</f>
        <v>0</v>
      </c>
      <c r="AN98" s="149" t="n">
        <f aca="false">race_gem_bonus+ tech_3_2*TblTech[[#This Row],[3-2]] + tech_4_3*TblTech[[#This Row],[4-3]] + tech_6_2*TblTech[[#This Row],[6-2]]</f>
        <v>0.15</v>
      </c>
      <c r="AO98" s="132"/>
      <c r="AP98" s="69" t="n">
        <f aca="false">TblProd[[#This Row],[Food]]*food_decay * (1 + tech_2_1*TblTech[[#This Row],[2-1]] + tech_2_8*TblTech[[#This Row],[2-8]])</f>
        <v>3606.97</v>
      </c>
      <c r="AQ98" s="69" t="n">
        <f aca="false">(1+race_food_consumption)*TblPop[[#This Row],[Total]]*food_per_person*(1+tech_1_10*TblTech[[#This Row],[1-10]]+tech_7_5*TblTech[[#This Row],[7-5]])</f>
        <v>3162.25</v>
      </c>
      <c r="AR98" s="69" t="n">
        <f aca="false">TblProd[[#This Row],[Lumber]]*lumber_rot * (1 + tech_2_1*TblTech[[#This Row],[2-1]] + tech_2_8*TblTech[[#This Row],[2-8]] + tech_5_2*TblTech[[#This Row],[5-2]])</f>
        <v>4133.13</v>
      </c>
      <c r="AS98" s="69" t="n">
        <f aca="false">TblProd[[#This Row],[Mana]]*mana_drain * (1 + tech_2_1*TblTech[[#This Row],[2-1]] + tech_2_8*TblTech[[#This Row],[2-8]])</f>
        <v>5529.04</v>
      </c>
      <c r="AT98" s="146"/>
      <c r="AU98" s="69" t="n">
        <f aca="false">TblExplore[[#This Row],[Platinum (2)]]+TblConstr[[#This Row],[Total Plat Cost]]+TblMili[[#This Row],[Plat Cost]]+TblRezone[[#This Row],[Platinum cost]]+TblImps[[#This Row],[P1]]-TblProd[[#This Row],[Bank Plat]]</f>
        <v>-65340</v>
      </c>
      <c r="AV98" s="69" t="n">
        <f aca="false">TblConstr[[#This Row],[Total Lum Cost]]+TblImps[[#This Row],[L1]]-TblProd[[#This Row],[Bank Lumber]] + Military!$CL$25*TblMili[[#This Row],[Sec. rec. Cost]]</f>
        <v>-10800</v>
      </c>
      <c r="AW98" s="69" t="n">
        <f aca="false">TblMagic[[#This Row],[Mana cost]] + Military!$CL$26*TblMili[[#This Row],[Sec. rec. Cost]]</f>
        <v>0</v>
      </c>
      <c r="AX98" s="69" t="n">
        <f aca="false">Military!$CL$24*TblMili[[#This Row],[Sec. rec. Cost]]+TblImps[[#This Row],[O1]]-TblProd[[#This Row],[Bank Ore]]</f>
        <v>0</v>
      </c>
      <c r="AY98" s="69" t="n">
        <f aca="false">TblImps[[#This Row],[G1]]-TblProd[[#This Row],[Bank Gems]]</f>
        <v>0</v>
      </c>
      <c r="AZ98" s="132"/>
      <c r="BA98" s="33" t="n">
        <f aca="false">IF(TblProd[[#This Row],[Set Guard]]&lt;&gt;"",TblProd[[#This Row],[Set Guard]],OFFSET(TblProd[[#This Row],[Guard]],-1,0))</f>
        <v>0</v>
      </c>
      <c r="BB98" s="145"/>
      <c r="BC98" s="151" t="n">
        <f aca="false">TblProd[[#This Row],[Hour]]</f>
        <v>23</v>
      </c>
      <c r="BD98" s="152" t="n">
        <f aca="false">-TblProd[[#This Row],[Bank Lumber]] / 2 + -TblProd[[#This Row],[Bank Gems]] * 2 + -TblProd[[#This Row],[Bank Ore]] / 2</f>
        <v>0</v>
      </c>
      <c r="BE98" s="152"/>
      <c r="BF98" s="152"/>
      <c r="BG98" s="152"/>
      <c r="BH98" s="153" t="n">
        <f aca="false">TblProd[[#This Row],[Time]]</f>
        <v>45433.6666666667</v>
      </c>
      <c r="BI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J98" s="69" t="n">
        <f aca="false">TblProd[[#This Row],[Platinum]]</f>
        <v>3728029</v>
      </c>
      <c r="BK98" s="69" t="n">
        <f aca="false">TblProd[[#This Row],[Food]]</f>
        <v>360697</v>
      </c>
      <c r="BL98" s="69" t="n">
        <f aca="false">TblProd[[#This Row],[Lumber]]</f>
        <v>413313</v>
      </c>
      <c r="BM98" s="69" t="n">
        <f aca="false">TblProd[[#This Row],[Mana]]</f>
        <v>276452</v>
      </c>
      <c r="BN98" s="69" t="n">
        <f aca="false">TblProd[[#This Row],[Ore]]</f>
        <v>-357</v>
      </c>
    </row>
    <row r="99" customFormat="false" ht="12.75" hidden="false" customHeight="false" outlineLevel="0" collapsed="false">
      <c r="A99" s="128" t="n">
        <v>24</v>
      </c>
      <c r="B99" s="144" t="n">
        <f aca="false">TblImps[[#This Row],[Time]]</f>
        <v>45433.7083333333</v>
      </c>
      <c r="C99" s="145"/>
      <c r="D99" s="146"/>
      <c r="E99" s="69" t="n">
        <f aca="false">TblConstr[[#This Row],[Land]]</f>
        <v>646</v>
      </c>
      <c r="F99" s="69" t="n">
        <f aca="false">TblPop[[#This Row],[Peasants]]</f>
        <v>7712</v>
      </c>
      <c r="G99" s="69"/>
      <c r="H99" s="69" t="e">
        <f aca="false">TblMili[[#This Row],[Networth (2)]]</f>
        <v>#VALUE!</v>
      </c>
      <c r="I99" s="69" t="n">
        <f aca="false">OFFSET(TblProd[[#This Row],[Platinum]],-1,0)+OFFSET(TblProd[[#This Row],[Plat/hr]],-1,0) - TblProd[[#This Row],[Expenses Platinum]] + IF(TblProd[[#This Row],[Plat Bonus]],TblPop[[#This Row],[Peasants]]*4) + SUM(TblConstr[[#This Row],[Dest Hom]:[Dest Doc]])*TblConstr[[#This Row],[CPA Platinum -DB]]*tech_3_3_2*TblTech[[#This Row],[3-3]]</f>
        <v>3834050</v>
      </c>
      <c r="J99" s="69" t="n">
        <f aca="false">OFFSET(TblProd[[#This Row],[Food]],-1,0)+OFFSET(TblProd[[#This Row],[Food/hr]],-1,0)+ROUNDUP((TblConstr[[#This Row],[Farms]]*80+TblConstr[[#This Row],[Docks]]*35)*(1+OFFSET(TblProd[[#This Row],[Bonus Food/hr]],-1,0)),0)</f>
        <v>357290</v>
      </c>
      <c r="K99" s="69" t="n">
        <f aca="false">OFFSET(TblProd[[#This Row],[Lumber]],-1,0)+OFFSET(TblProd[[#This Row],[Lumber/hr]],-1,0) - TblProd[[#This Row],[Expenses Lumber]] + SUM(TblConstr[[#This Row],[Dest Hom]:[Dest Doc]])*TblConstr[[#This Row],[CPA Lumber -DB]]*tech_3_3_2*TblTech[[#This Row],[3-3]]</f>
        <v>421105</v>
      </c>
      <c r="L99" s="69" t="n">
        <f aca="false">OFFSET(TblProd[[#This Row],[Mana]],-1,0)+OFFSET(TblProd[[#This Row],[Mana/hr]],-1,0)- TblProd[[#This Row],[Expenses Mana]]</f>
        <v>271648</v>
      </c>
      <c r="M99" s="69" t="n">
        <f aca="false">OFFSET(TblProd[[#This Row],[Ore]],-1,0)+OFFSET(TblProd[[#This Row],[Ore/hr]],-1,0) -TblProd[[#This Row],[Expenses Ore]]</f>
        <v>-357</v>
      </c>
      <c r="N99" s="69" t="n">
        <f aca="false">OFFSET(TblProd[[#This Row],[Gems]],-1,0)+OFFSET(TblProd[[#This Row],[Gems/hr]],-1,0) - TblProd[[#This Row],[Expenses Gems]]</f>
        <v>-1000</v>
      </c>
      <c r="O99" s="69" t="n">
        <f aca="false">OFFSET(TblProd[[#This Row],[Boats]],-1,0)+OFFSET(TblProd[[#This Row],[Boats/hr]],-1,0)</f>
        <v>55.85</v>
      </c>
      <c r="P99" s="69" t="n">
        <f aca="false">OFFSET(TblProd[[#This Row],[Prestige]],-1,0)</f>
        <v>250</v>
      </c>
      <c r="Q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99" s="69" t="n">
        <f aca="false">MAX(3750,_xlfn.CEILING.MATH(TblProd[[#This Row],[Land]]*2.5+OFFSET(TblTech[[#This Row],[Sum of tech]],-1,0)*150))</f>
        <v>3750</v>
      </c>
      <c r="S99" s="132"/>
      <c r="T99" s="69" t="n">
        <f aca="false">ROUNDDOWN(TblProd[[#This Row],[Raw Plat/hr]]*(1+TblProd[[#This Row],[Bonus Plat/hr]]),0)</f>
        <v>40449</v>
      </c>
      <c r="U99" s="69" t="n">
        <f aca="false">ROUND(TblProd[[#This Row],[Raw Food/hr]]*(1+TblProd[[#This Row],[Bonus Food/hr]])-TblProd[[#This Row],[Food decay]]-TblProd[[#This Row],[Food eaten]],0)</f>
        <v>-3373</v>
      </c>
      <c r="V99" s="69" t="n">
        <f aca="false">ROUND(TblProd[[#This Row],[Raw Lumber/hr]]*(1+TblProd[[#This Row],[Bonus Lumber/hr]])-TblProd[[#This Row],[Lumber rot]],0)</f>
        <v>-3086</v>
      </c>
      <c r="W99" s="69" t="n">
        <f aca="false">ROUND(TblProd[[#This Row],[Raw Mana/hr]]*(1+TblProd[[#This Row],[Bonus Mana/hr]])-TblProd[[#This Row],[Mana drain]],0)</f>
        <v>-4708</v>
      </c>
      <c r="X99" s="69" t="n">
        <f aca="false">ROUNDDOWN(TblProd[[#This Row],[Raw Ore/hr]]*(1+TblProd[[#This Row],[Bonux Ore/hr]]),0)</f>
        <v>0</v>
      </c>
      <c r="Y99" s="69" t="n">
        <f aca="false">ROUNDDOWN(TblProd[[#This Row],[Raw Gems/hr]]*(1+TblProd[[#This Row],[Bonus Gems/hr]]),0)</f>
        <v>0</v>
      </c>
      <c r="Z99" s="148" t="n">
        <f aca="false">OFFSET(TblConstr[[#This Row],[Tot Doc]],1,0)*dock_boats_hr * (1 + tech_4_1*TblTech[[#This Row],[4-1]])</f>
        <v>1.2</v>
      </c>
      <c r="AA99" s="146"/>
      <c r="AB99" s="69" t="n">
        <f aca="false">TblPop[[#This Row],[Peasants]]*tax*TblPop[[#This Row],[Employment]] + (Construction!AZ100+Construction!BX100)*(alch_plat+(Magic!AM99&gt;0)*alchemist_flame_bonus)</f>
        <v>36772.4</v>
      </c>
      <c r="AC99" s="69" t="n">
        <f aca="false">TblConstr[[#This Row],[Tot Farm]]*farm_food + TblConstr[[#This Row],[Tot Doc]]*dock_food</f>
        <v>3280</v>
      </c>
      <c r="AD99" s="69" t="n">
        <f aca="false">TblConstr[[#This Row],[Tot Ly]]*ly_lumber + TblConstr[[#This Row],[Tot Hav]]*fh_lumber</f>
        <v>1250</v>
      </c>
      <c r="AE99" s="69" t="n">
        <f aca="false">OFFSET(TblConstr[[#This Row],[Tot Tow]],1,0)*(tower_mana + tech_4_5*TblTech[[#This Row],[4-5]]) + OFFSET(TblConstr[[#This Row],[Tot WG]],1,0)*wg_mana_prod</f>
        <v>725</v>
      </c>
      <c r="AF99" s="69" t="n">
        <f aca="false">OFFSET(TblConstr[[#This Row],[Tot OM]],1,0)*om_ore+IF(race="Dwarf",ROUNDDOWN(TblMili[[#This Row],[Unit 2]]*0.4,0),)</f>
        <v>0</v>
      </c>
      <c r="AG99" s="69" t="n">
        <f aca="false">OFFSET(TblConstr[[#This Row],[Tot DM]],1,0)*dm_gems</f>
        <v>0</v>
      </c>
      <c r="AH99" s="132"/>
      <c r="AI99" s="149" t="n">
        <f aca="false">MIN(race_platinum_bonus + IF(TblMagic[[#This Row],[Active Alch Frost]]&gt;0,alch_frost_bonus,IF(Magic!AD99&gt;0,midas_bonus)) + TblImps[[#This Row],[Science]] - TblProd[[#This Row],[Guard]]*(0.02 + tech_5_7*TblTech[[#This Row],[5-7]]) + tech_1_5*TblTech[[#This Row],[1-5]] + tech_4_4*TblTech[[#This Row],[4-4]], 0.5)</f>
        <v>0.1</v>
      </c>
      <c r="AJ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99" s="149" t="n">
        <f aca="false">race_lumber_bonus+ IF(TblMagic[[#This Row],[Active Gaia''s Blessing]]&gt;0,gaias_blessing_lumber)+ tech_1_3*TblTech[[#This Row],[1-3]] + tech_1_6*TblTech[[#This Row],[1-6]] + tech_3_3*TblTech[[#This Row],[3-3]]</f>
        <v>-0.1</v>
      </c>
      <c r="AL99" s="149" t="n">
        <f aca="false">race_mana_bonus+ 0 + TblImps[[#This Row],[Towers]] + tech_1_2*TblTech[[#This Row],[1-2]] + tech_3_4*TblTech[[#This Row],[3-4]]</f>
        <v>0</v>
      </c>
      <c r="AM99" s="149" t="n">
        <f aca="false">race_ore_bonus + IF(TblMagic[[#This Row],[Active Miner''s Sight]]&gt;0,miners_sight_bonus,IF(TblMagic[[#This Row],[Active Mining Strength]]&gt;0,mining_strength_bonus)) +  tech_1_6*TblTech[[#This Row],[1-6]]</f>
        <v>0</v>
      </c>
      <c r="AN99" s="149" t="n">
        <f aca="false">race_gem_bonus+ tech_3_2*TblTech[[#This Row],[3-2]] + tech_4_3*TblTech[[#This Row],[4-3]] + tech_6_2*TblTech[[#This Row],[6-2]]</f>
        <v>0.15</v>
      </c>
      <c r="AO99" s="132"/>
      <c r="AP99" s="69" t="n">
        <f aca="false">TblProd[[#This Row],[Food]]*food_decay * (1 + tech_2_1*TblTech[[#This Row],[2-1]] + tech_2_8*TblTech[[#This Row],[2-8]])</f>
        <v>3572.9</v>
      </c>
      <c r="AQ99" s="69" t="n">
        <f aca="false">(1+race_food_consumption)*TblPop[[#This Row],[Total]]*food_per_person*(1+tech_1_10*TblTech[[#This Row],[1-10]]+tech_7_5*TblTech[[#This Row],[7-5]])</f>
        <v>3162.25</v>
      </c>
      <c r="AR99" s="69" t="n">
        <f aca="false">TblProd[[#This Row],[Lumber]]*lumber_rot * (1 + tech_2_1*TblTech[[#This Row],[2-1]] + tech_2_8*TblTech[[#This Row],[2-8]] + tech_5_2*TblTech[[#This Row],[5-2]])</f>
        <v>4211.05</v>
      </c>
      <c r="AS99" s="69" t="n">
        <f aca="false">TblProd[[#This Row],[Mana]]*mana_drain * (1 + tech_2_1*TblTech[[#This Row],[2-1]] + tech_2_8*TblTech[[#This Row],[2-8]])</f>
        <v>5432.96</v>
      </c>
      <c r="AT99" s="146"/>
      <c r="AU99" s="69" t="n">
        <f aca="false">TblExplore[[#This Row],[Platinum (2)]]+TblConstr[[#This Row],[Total Plat Cost]]+TblMili[[#This Row],[Plat Cost]]+TblRezone[[#This Row],[Platinum cost]]+TblImps[[#This Row],[P1]]-TblProd[[#This Row],[Bank Plat]]</f>
        <v>-65340</v>
      </c>
      <c r="AV99" s="69" t="n">
        <f aca="false">TblConstr[[#This Row],[Total Lum Cost]]+TblImps[[#This Row],[L1]]-TblProd[[#This Row],[Bank Lumber]] + Military!$CL$25*TblMili[[#This Row],[Sec. rec. Cost]]</f>
        <v>-10800</v>
      </c>
      <c r="AW99" s="69" t="n">
        <f aca="false">TblMagic[[#This Row],[Mana cost]] + Military!$CL$26*TblMili[[#This Row],[Sec. rec. Cost]]</f>
        <v>0</v>
      </c>
      <c r="AX99" s="69" t="n">
        <f aca="false">Military!$CL$24*TblMili[[#This Row],[Sec. rec. Cost]]+TblImps[[#This Row],[O1]]-TblProd[[#This Row],[Bank Ore]]</f>
        <v>0</v>
      </c>
      <c r="AY99" s="69" t="n">
        <f aca="false">TblImps[[#This Row],[G1]]-TblProd[[#This Row],[Bank Gems]]</f>
        <v>0</v>
      </c>
      <c r="AZ99" s="132"/>
      <c r="BA99" s="33" t="n">
        <f aca="false">IF(TblProd[[#This Row],[Set Guard]]&lt;&gt;"",TblProd[[#This Row],[Set Guard]],OFFSET(TblProd[[#This Row],[Guard]],-1,0))</f>
        <v>0</v>
      </c>
      <c r="BB99" s="145"/>
      <c r="BC99" s="151" t="n">
        <f aca="false">TblProd[[#This Row],[Hour]]</f>
        <v>24</v>
      </c>
      <c r="BD99" s="152" t="n">
        <f aca="false">-TblProd[[#This Row],[Bank Lumber]] / 2 + -TblProd[[#This Row],[Bank Gems]] * 2 + -TblProd[[#This Row],[Bank Ore]] / 2</f>
        <v>0</v>
      </c>
      <c r="BE99" s="152"/>
      <c r="BF99" s="152"/>
      <c r="BG99" s="152"/>
      <c r="BH99" s="153" t="n">
        <f aca="false">TblProd[[#This Row],[Time]]</f>
        <v>45433.7083333333</v>
      </c>
      <c r="BI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J99" s="69" t="n">
        <f aca="false">TblProd[[#This Row],[Platinum]]</f>
        <v>3834050</v>
      </c>
      <c r="BK99" s="69" t="n">
        <f aca="false">TblProd[[#This Row],[Food]]</f>
        <v>357290</v>
      </c>
      <c r="BL99" s="69" t="n">
        <f aca="false">TblProd[[#This Row],[Lumber]]</f>
        <v>421105</v>
      </c>
      <c r="BM99" s="69" t="n">
        <f aca="false">TblProd[[#This Row],[Mana]]</f>
        <v>271648</v>
      </c>
      <c r="BN99" s="69" t="n">
        <f aca="false">TblProd[[#This Row],[Ore]]</f>
        <v>-357</v>
      </c>
    </row>
    <row r="100" customFormat="false" ht="12.75" hidden="false" customHeight="false" outlineLevel="0" collapsed="false">
      <c r="A100" s="128" t="n">
        <v>25</v>
      </c>
      <c r="B100" s="144" t="n">
        <f aca="false">TblImps[[#This Row],[Time]]</f>
        <v>45433.75</v>
      </c>
      <c r="C100" s="145"/>
      <c r="D100" s="146"/>
      <c r="E100" s="69" t="n">
        <f aca="false">TblConstr[[#This Row],[Land]]</f>
        <v>646</v>
      </c>
      <c r="F100" s="69" t="n">
        <f aca="false">TblPop[[#This Row],[Peasants]]</f>
        <v>7635</v>
      </c>
      <c r="G100" s="69"/>
      <c r="H100" s="69" t="e">
        <f aca="false">TblMili[[#This Row],[Networth (2)]]</f>
        <v>#VALUE!</v>
      </c>
      <c r="I100" s="69" t="n">
        <f aca="false">OFFSET(TblProd[[#This Row],[Platinum]],-1,0)+OFFSET(TblProd[[#This Row],[Plat/hr]],-1,0) - TblProd[[#This Row],[Expenses Platinum]] + IF(TblProd[[#This Row],[Plat Bonus]],TblPop[[#This Row],[Peasants]]*4) + SUM(TblConstr[[#This Row],[Dest Hom]:[Dest Doc]])*TblConstr[[#This Row],[CPA Platinum -DB]]*tech_3_3_2*TblTech[[#This Row],[3-3]]</f>
        <v>3939839</v>
      </c>
      <c r="J100" s="69" t="n">
        <f aca="false">OFFSET(TblProd[[#This Row],[Food]],-1,0)+OFFSET(TblProd[[#This Row],[Food/hr]],-1,0)+ROUNDUP((TblConstr[[#This Row],[Farms]]*80+TblConstr[[#This Row],[Docks]]*35)*(1+OFFSET(TblProd[[#This Row],[Bonus Food/hr]],-1,0)),0)</f>
        <v>353917</v>
      </c>
      <c r="K100" s="69" t="n">
        <f aca="false">OFFSET(TblProd[[#This Row],[Lumber]],-1,0)+OFFSET(TblProd[[#This Row],[Lumber/hr]],-1,0) - TblProd[[#This Row],[Expenses Lumber]] + SUM(TblConstr[[#This Row],[Dest Hom]:[Dest Doc]])*TblConstr[[#This Row],[CPA Lumber -DB]]*tech_3_3_2*TblTech[[#This Row],[3-3]]</f>
        <v>428819</v>
      </c>
      <c r="L100" s="69" t="n">
        <f aca="false">OFFSET(TblProd[[#This Row],[Mana]],-1,0)+OFFSET(TblProd[[#This Row],[Mana/hr]],-1,0)- TblProd[[#This Row],[Expenses Mana]]</f>
        <v>260480</v>
      </c>
      <c r="M100" s="69" t="n">
        <f aca="false">OFFSET(TblProd[[#This Row],[Ore]],-1,0)+OFFSET(TblProd[[#This Row],[Ore/hr]],-1,0) -TblProd[[#This Row],[Expenses Ore]]</f>
        <v>-357</v>
      </c>
      <c r="N100" s="69" t="n">
        <f aca="false">OFFSET(TblProd[[#This Row],[Gems]],-1,0)+OFFSET(TblProd[[#This Row],[Gems/hr]],-1,0) - TblProd[[#This Row],[Expenses Gems]]</f>
        <v>-1000</v>
      </c>
      <c r="O100" s="69" t="n">
        <f aca="false">OFFSET(TblProd[[#This Row],[Boats]],-1,0)+OFFSET(TblProd[[#This Row],[Boats/hr]],-1,0)</f>
        <v>57.0500000000001</v>
      </c>
      <c r="P100" s="69" t="n">
        <f aca="false">OFFSET(TblProd[[#This Row],[Prestige]],-1,0)</f>
        <v>250</v>
      </c>
      <c r="Q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0" s="69" t="n">
        <f aca="false">MAX(3750,_xlfn.CEILING.MATH(TblProd[[#This Row],[Land]]*2.5+OFFSET(TblTech[[#This Row],[Sum of tech]],-1,0)*150))</f>
        <v>3750</v>
      </c>
      <c r="S100" s="132"/>
      <c r="T100" s="69" t="n">
        <f aca="false">ROUNDDOWN(TblProd[[#This Row],[Raw Plat/hr]]*(1+TblProd[[#This Row],[Bonus Plat/hr]]),0)</f>
        <v>40220</v>
      </c>
      <c r="U100" s="69" t="n">
        <f aca="false">ROUND(TblProd[[#This Row],[Raw Food/hr]]*(1+TblProd[[#This Row],[Bonus Food/hr]])-TblProd[[#This Row],[Food decay]]-TblProd[[#This Row],[Food eaten]],0)</f>
        <v>-3339</v>
      </c>
      <c r="V100" s="69" t="n">
        <f aca="false">ROUND(TblProd[[#This Row],[Raw Lumber/hr]]*(1+TblProd[[#This Row],[Bonus Lumber/hr]])-TblProd[[#This Row],[Lumber rot]],0)</f>
        <v>-3163</v>
      </c>
      <c r="W100" s="69" t="n">
        <f aca="false">ROUND(TblProd[[#This Row],[Raw Mana/hr]]*(1+TblProd[[#This Row],[Bonus Mana/hr]])-TblProd[[#This Row],[Mana drain]],0)</f>
        <v>-4485</v>
      </c>
      <c r="X100" s="69" t="n">
        <f aca="false">ROUNDDOWN(TblProd[[#This Row],[Raw Ore/hr]]*(1+TblProd[[#This Row],[Bonux Ore/hr]]),0)</f>
        <v>0</v>
      </c>
      <c r="Y100" s="69" t="n">
        <f aca="false">ROUNDDOWN(TblProd[[#This Row],[Raw Gems/hr]]*(1+TblProd[[#This Row],[Bonus Gems/hr]]),0)</f>
        <v>0</v>
      </c>
      <c r="Z100" s="148" t="n">
        <f aca="false">OFFSET(TblConstr[[#This Row],[Tot Doc]],1,0)*dock_boats_hr * (1 + tech_4_1*TblTech[[#This Row],[4-1]])</f>
        <v>1.2</v>
      </c>
      <c r="AA100" s="146"/>
      <c r="AB100" s="69" t="n">
        <f aca="false">TblPop[[#This Row],[Peasants]]*tax*TblPop[[#This Row],[Employment]] + (Construction!AZ101+Construction!BX101)*(alch_plat+(Magic!AM100&gt;0)*alchemist_flame_bonus)</f>
        <v>36564.5</v>
      </c>
      <c r="AC100" s="69" t="n">
        <f aca="false">TblConstr[[#This Row],[Tot Farm]]*farm_food + TblConstr[[#This Row],[Tot Doc]]*dock_food</f>
        <v>3280</v>
      </c>
      <c r="AD100" s="69" t="n">
        <f aca="false">TblConstr[[#This Row],[Tot Ly]]*ly_lumber + TblConstr[[#This Row],[Tot Hav]]*fh_lumber</f>
        <v>1250</v>
      </c>
      <c r="AE100" s="69" t="n">
        <f aca="false">OFFSET(TblConstr[[#This Row],[Tot Tow]],1,0)*(tower_mana + tech_4_5*TblTech[[#This Row],[4-5]]) + OFFSET(TblConstr[[#This Row],[Tot WG]],1,0)*wg_mana_prod</f>
        <v>725</v>
      </c>
      <c r="AF100" s="69" t="n">
        <f aca="false">OFFSET(TblConstr[[#This Row],[Tot OM]],1,0)*om_ore+IF(race="Dwarf",ROUNDDOWN(TblMili[[#This Row],[Unit 2]]*0.4,0),)</f>
        <v>0</v>
      </c>
      <c r="AG100" s="69" t="n">
        <f aca="false">OFFSET(TblConstr[[#This Row],[Tot DM]],1,0)*dm_gems</f>
        <v>0</v>
      </c>
      <c r="AH100" s="132"/>
      <c r="AI100" s="149" t="n">
        <f aca="false">MIN(race_platinum_bonus + IF(TblMagic[[#This Row],[Active Alch Frost]]&gt;0,alch_frost_bonus,IF(Magic!AD100&gt;0,midas_bonus)) + TblImps[[#This Row],[Science]] - TblProd[[#This Row],[Guard]]*(0.02 + tech_5_7*TblTech[[#This Row],[5-7]]) + tech_1_5*TblTech[[#This Row],[1-5]] + tech_4_4*TblTech[[#This Row],[4-4]], 0.5)</f>
        <v>0.1</v>
      </c>
      <c r="AJ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0" s="149" t="n">
        <f aca="false">race_lumber_bonus+ IF(TblMagic[[#This Row],[Active Gaia''s Blessing]]&gt;0,gaias_blessing_lumber)+ tech_1_3*TblTech[[#This Row],[1-3]] + tech_1_6*TblTech[[#This Row],[1-6]] + tech_3_3*TblTech[[#This Row],[3-3]]</f>
        <v>-0.1</v>
      </c>
      <c r="AL100" s="149" t="n">
        <f aca="false">race_mana_bonus+ 0 + TblImps[[#This Row],[Towers]] + tech_1_2*TblTech[[#This Row],[1-2]] + tech_3_4*TblTech[[#This Row],[3-4]]</f>
        <v>0</v>
      </c>
      <c r="AM100" s="149" t="n">
        <f aca="false">race_ore_bonus + IF(TblMagic[[#This Row],[Active Miner''s Sight]]&gt;0,miners_sight_bonus,IF(TblMagic[[#This Row],[Active Mining Strength]]&gt;0,mining_strength_bonus)) +  tech_1_6*TblTech[[#This Row],[1-6]]</f>
        <v>0</v>
      </c>
      <c r="AN100" s="149" t="n">
        <f aca="false">race_gem_bonus+ tech_3_2*TblTech[[#This Row],[3-2]] + tech_4_3*TblTech[[#This Row],[4-3]] + tech_6_2*TblTech[[#This Row],[6-2]]</f>
        <v>0.15</v>
      </c>
      <c r="AO100" s="132"/>
      <c r="AP100" s="69" t="n">
        <f aca="false">TblProd[[#This Row],[Food]]*food_decay * (1 + tech_2_1*TblTech[[#This Row],[2-1]] + tech_2_8*TblTech[[#This Row],[2-8]])</f>
        <v>3539.17</v>
      </c>
      <c r="AQ100" s="69" t="n">
        <f aca="false">(1+race_food_consumption)*TblPop[[#This Row],[Total]]*food_per_person*(1+tech_1_10*TblTech[[#This Row],[1-10]]+tech_7_5*TblTech[[#This Row],[7-5]])</f>
        <v>3162.25</v>
      </c>
      <c r="AR100" s="69" t="n">
        <f aca="false">TblProd[[#This Row],[Lumber]]*lumber_rot * (1 + tech_2_1*TblTech[[#This Row],[2-1]] + tech_2_8*TblTech[[#This Row],[2-8]] + tech_5_2*TblTech[[#This Row],[5-2]])</f>
        <v>4288.19</v>
      </c>
      <c r="AS100" s="69" t="n">
        <f aca="false">TblProd[[#This Row],[Mana]]*mana_drain * (1 + tech_2_1*TblTech[[#This Row],[2-1]] + tech_2_8*TblTech[[#This Row],[2-8]])</f>
        <v>5209.6</v>
      </c>
      <c r="AT100" s="146"/>
      <c r="AU100" s="69" t="n">
        <f aca="false">TblExplore[[#This Row],[Platinum (2)]]+TblConstr[[#This Row],[Total Plat Cost]]+TblMili[[#This Row],[Plat Cost]]+TblRezone[[#This Row],[Platinum cost]]+TblImps[[#This Row],[P1]]-TblProd[[#This Row],[Bank Plat]]</f>
        <v>-65340</v>
      </c>
      <c r="AV100" s="69" t="n">
        <f aca="false">TblConstr[[#This Row],[Total Lum Cost]]+TblImps[[#This Row],[L1]]-TblProd[[#This Row],[Bank Lumber]] + Military!$CL$25*TblMili[[#This Row],[Sec. rec. Cost]]</f>
        <v>-10800</v>
      </c>
      <c r="AW100" s="69" t="n">
        <f aca="false">TblMagic[[#This Row],[Mana cost]] + Military!$CL$26*TblMili[[#This Row],[Sec. rec. Cost]]</f>
        <v>6460</v>
      </c>
      <c r="AX100" s="69" t="n">
        <f aca="false">Military!$CL$24*TblMili[[#This Row],[Sec. rec. Cost]]+TblImps[[#This Row],[O1]]-TblProd[[#This Row],[Bank Ore]]</f>
        <v>0</v>
      </c>
      <c r="AY100" s="69" t="n">
        <f aca="false">TblImps[[#This Row],[G1]]-TblProd[[#This Row],[Bank Gems]]</f>
        <v>0</v>
      </c>
      <c r="AZ100" s="132"/>
      <c r="BA100" s="33" t="n">
        <f aca="false">IF(TblProd[[#This Row],[Set Guard]]&lt;&gt;"",TblProd[[#This Row],[Set Guard]],OFFSET(TblProd[[#This Row],[Guard]],-1,0))</f>
        <v>0</v>
      </c>
      <c r="BB100" s="145"/>
      <c r="BC100" s="151" t="n">
        <f aca="false">TblProd[[#This Row],[Hour]]</f>
        <v>25</v>
      </c>
      <c r="BD100" s="152" t="n">
        <f aca="false">-TblProd[[#This Row],[Bank Lumber]] / 2 + -TblProd[[#This Row],[Bank Gems]] * 2 + -TblProd[[#This Row],[Bank Ore]] / 2</f>
        <v>0</v>
      </c>
      <c r="BE100" s="152"/>
      <c r="BF100" s="152"/>
      <c r="BG100" s="152"/>
      <c r="BH100" s="153" t="n">
        <f aca="false">TblProd[[#This Row],[Time]]</f>
        <v>45433.75</v>
      </c>
      <c r="BI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J100" s="69" t="n">
        <f aca="false">TblProd[[#This Row],[Platinum]]</f>
        <v>3939839</v>
      </c>
      <c r="BK100" s="69" t="n">
        <f aca="false">TblProd[[#This Row],[Food]]</f>
        <v>353917</v>
      </c>
      <c r="BL100" s="69" t="n">
        <f aca="false">TblProd[[#This Row],[Lumber]]</f>
        <v>428819</v>
      </c>
      <c r="BM100" s="69" t="n">
        <f aca="false">TblProd[[#This Row],[Mana]]</f>
        <v>260480</v>
      </c>
      <c r="BN100" s="69" t="n">
        <f aca="false">TblProd[[#This Row],[Ore]]</f>
        <v>-357</v>
      </c>
    </row>
    <row r="101" customFormat="false" ht="12.75" hidden="false" customHeight="false" outlineLevel="0" collapsed="false">
      <c r="A101" s="128" t="n">
        <v>26</v>
      </c>
      <c r="B101" s="144" t="n">
        <f aca="false">TblImps[[#This Row],[Time]]</f>
        <v>45433.7916666667</v>
      </c>
      <c r="C101" s="145"/>
      <c r="D101" s="146"/>
      <c r="E101" s="69" t="n">
        <f aca="false">TblConstr[[#This Row],[Land]]</f>
        <v>646</v>
      </c>
      <c r="F101" s="69" t="n">
        <f aca="false">TblPop[[#This Row],[Peasants]]</f>
        <v>7559</v>
      </c>
      <c r="G101" s="69"/>
      <c r="H101" s="69" t="e">
        <f aca="false">TblMili[[#This Row],[Networth (2)]]</f>
        <v>#VALUE!</v>
      </c>
      <c r="I101" s="69" t="n">
        <f aca="false">OFFSET(TblProd[[#This Row],[Platinum]],-1,0)+OFFSET(TblProd[[#This Row],[Plat/hr]],-1,0) - TblProd[[#This Row],[Expenses Platinum]] + IF(TblProd[[#This Row],[Plat Bonus]],TblPop[[#This Row],[Peasants]]*4) + SUM(TblConstr[[#This Row],[Dest Hom]:[Dest Doc]])*TblConstr[[#This Row],[CPA Platinum -DB]]*tech_3_3_2*TblTech[[#This Row],[3-3]]</f>
        <v>4045399</v>
      </c>
      <c r="J101" s="69" t="n">
        <f aca="false">OFFSET(TblProd[[#This Row],[Food]],-1,0)+OFFSET(TblProd[[#This Row],[Food/hr]],-1,0)+ROUNDUP((TblConstr[[#This Row],[Farms]]*80+TblConstr[[#This Row],[Docks]]*35)*(1+OFFSET(TblProd[[#This Row],[Bonus Food/hr]],-1,0)),0)</f>
        <v>350578</v>
      </c>
      <c r="K101" s="69" t="n">
        <f aca="false">OFFSET(TblProd[[#This Row],[Lumber]],-1,0)+OFFSET(TblProd[[#This Row],[Lumber/hr]],-1,0) - TblProd[[#This Row],[Expenses Lumber]] + SUM(TblConstr[[#This Row],[Dest Hom]:[Dest Doc]])*TblConstr[[#This Row],[CPA Lumber -DB]]*tech_3_3_2*TblTech[[#This Row],[3-3]]</f>
        <v>436456</v>
      </c>
      <c r="L101" s="69" t="n">
        <f aca="false">OFFSET(TblProd[[#This Row],[Mana]],-1,0)+OFFSET(TblProd[[#This Row],[Mana/hr]],-1,0)- TblProd[[#This Row],[Expenses Mana]]</f>
        <v>255995</v>
      </c>
      <c r="M101" s="69" t="n">
        <f aca="false">OFFSET(TblProd[[#This Row],[Ore]],-1,0)+OFFSET(TblProd[[#This Row],[Ore/hr]],-1,0) -TblProd[[#This Row],[Expenses Ore]]</f>
        <v>-357</v>
      </c>
      <c r="N101" s="69" t="n">
        <f aca="false">OFFSET(TblProd[[#This Row],[Gems]],-1,0)+OFFSET(TblProd[[#This Row],[Gems/hr]],-1,0) - TblProd[[#This Row],[Expenses Gems]]</f>
        <v>-1000</v>
      </c>
      <c r="O101" s="69" t="n">
        <f aca="false">OFFSET(TblProd[[#This Row],[Boats]],-1,0)+OFFSET(TblProd[[#This Row],[Boats/hr]],-1,0)</f>
        <v>58.2500000000001</v>
      </c>
      <c r="P101" s="69" t="n">
        <f aca="false">OFFSET(TblProd[[#This Row],[Prestige]],-1,0)</f>
        <v>250</v>
      </c>
      <c r="Q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1" s="69" t="n">
        <f aca="false">MAX(3750,_xlfn.CEILING.MATH(TblProd[[#This Row],[Land]]*2.5+OFFSET(TblTech[[#This Row],[Sum of tech]],-1,0)*150))</f>
        <v>3750</v>
      </c>
      <c r="S101" s="132"/>
      <c r="T101" s="69" t="n">
        <f aca="false">ROUNDDOWN(TblProd[[#This Row],[Raw Plat/hr]]*(1+TblProd[[#This Row],[Bonus Plat/hr]]),0)</f>
        <v>39995</v>
      </c>
      <c r="U101" s="69" t="n">
        <f aca="false">ROUND(TblProd[[#This Row],[Raw Food/hr]]*(1+TblProd[[#This Row],[Bonus Food/hr]])-TblProd[[#This Row],[Food decay]]-TblProd[[#This Row],[Food eaten]],0)</f>
        <v>-3306</v>
      </c>
      <c r="V101" s="69" t="n">
        <f aca="false">ROUND(TblProd[[#This Row],[Raw Lumber/hr]]*(1+TblProd[[#This Row],[Bonus Lumber/hr]])-TblProd[[#This Row],[Lumber rot]],0)</f>
        <v>-3240</v>
      </c>
      <c r="W101" s="69" t="n">
        <f aca="false">ROUND(TblProd[[#This Row],[Raw Mana/hr]]*(1+TblProd[[#This Row],[Bonus Mana/hr]])-TblProd[[#This Row],[Mana drain]],0)</f>
        <v>-4395</v>
      </c>
      <c r="X101" s="69" t="n">
        <f aca="false">ROUNDDOWN(TblProd[[#This Row],[Raw Ore/hr]]*(1+TblProd[[#This Row],[Bonux Ore/hr]]),0)</f>
        <v>0</v>
      </c>
      <c r="Y101" s="69" t="n">
        <f aca="false">ROUNDDOWN(TblProd[[#This Row],[Raw Gems/hr]]*(1+TblProd[[#This Row],[Bonus Gems/hr]]),0)</f>
        <v>0</v>
      </c>
      <c r="Z101" s="148" t="n">
        <f aca="false">OFFSET(TblConstr[[#This Row],[Tot Doc]],1,0)*dock_boats_hr * (1 + tech_4_1*TblTech[[#This Row],[4-1]])</f>
        <v>1.2</v>
      </c>
      <c r="AA101" s="146"/>
      <c r="AB101" s="69" t="n">
        <f aca="false">TblPop[[#This Row],[Peasants]]*tax*TblPop[[#This Row],[Employment]] + (Construction!AZ102+Construction!BX102)*(alch_plat+(Magic!AM101&gt;0)*alchemist_flame_bonus)</f>
        <v>36359.3</v>
      </c>
      <c r="AC101" s="69" t="n">
        <f aca="false">TblConstr[[#This Row],[Tot Farm]]*farm_food + TblConstr[[#This Row],[Tot Doc]]*dock_food</f>
        <v>3280</v>
      </c>
      <c r="AD101" s="69" t="n">
        <f aca="false">TblConstr[[#This Row],[Tot Ly]]*ly_lumber + TblConstr[[#This Row],[Tot Hav]]*fh_lumber</f>
        <v>1250</v>
      </c>
      <c r="AE101" s="69" t="n">
        <f aca="false">OFFSET(TblConstr[[#This Row],[Tot Tow]],1,0)*(tower_mana + tech_4_5*TblTech[[#This Row],[4-5]]) + OFFSET(TblConstr[[#This Row],[Tot WG]],1,0)*wg_mana_prod</f>
        <v>725</v>
      </c>
      <c r="AF101" s="69" t="n">
        <f aca="false">OFFSET(TblConstr[[#This Row],[Tot OM]],1,0)*om_ore+IF(race="Dwarf",ROUNDDOWN(TblMili[[#This Row],[Unit 2]]*0.4,0),)</f>
        <v>0</v>
      </c>
      <c r="AG101" s="69" t="n">
        <f aca="false">OFFSET(TblConstr[[#This Row],[Tot DM]],1,0)*dm_gems</f>
        <v>0</v>
      </c>
      <c r="AH101" s="132"/>
      <c r="AI101" s="149" t="n">
        <f aca="false">MIN(race_platinum_bonus + IF(TblMagic[[#This Row],[Active Alch Frost]]&gt;0,alch_frost_bonus,IF(Magic!AD101&gt;0,midas_bonus)) + TblImps[[#This Row],[Science]] - TblProd[[#This Row],[Guard]]*(0.02 + tech_5_7*TblTech[[#This Row],[5-7]]) + tech_1_5*TblTech[[#This Row],[1-5]] + tech_4_4*TblTech[[#This Row],[4-4]], 0.5)</f>
        <v>0.1</v>
      </c>
      <c r="AJ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1" s="149" t="n">
        <f aca="false">race_lumber_bonus+ IF(TblMagic[[#This Row],[Active Gaia''s Blessing]]&gt;0,gaias_blessing_lumber)+ tech_1_3*TblTech[[#This Row],[1-3]] + tech_1_6*TblTech[[#This Row],[1-6]] + tech_3_3*TblTech[[#This Row],[3-3]]</f>
        <v>-0.1</v>
      </c>
      <c r="AL101" s="149" t="n">
        <f aca="false">race_mana_bonus+ 0 + TblImps[[#This Row],[Towers]] + tech_1_2*TblTech[[#This Row],[1-2]] + tech_3_4*TblTech[[#This Row],[3-4]]</f>
        <v>0</v>
      </c>
      <c r="AM101" s="149" t="n">
        <f aca="false">race_ore_bonus + IF(TblMagic[[#This Row],[Active Miner''s Sight]]&gt;0,miners_sight_bonus,IF(TblMagic[[#This Row],[Active Mining Strength]]&gt;0,mining_strength_bonus)) +  tech_1_6*TblTech[[#This Row],[1-6]]</f>
        <v>0</v>
      </c>
      <c r="AN101" s="149" t="n">
        <f aca="false">race_gem_bonus+ tech_3_2*TblTech[[#This Row],[3-2]] + tech_4_3*TblTech[[#This Row],[4-3]] + tech_6_2*TblTech[[#This Row],[6-2]]</f>
        <v>0.15</v>
      </c>
      <c r="AO101" s="132"/>
      <c r="AP101" s="69" t="n">
        <f aca="false">TblProd[[#This Row],[Food]]*food_decay * (1 + tech_2_1*TblTech[[#This Row],[2-1]] + tech_2_8*TblTech[[#This Row],[2-8]])</f>
        <v>3505.78</v>
      </c>
      <c r="AQ101" s="69" t="n">
        <f aca="false">(1+race_food_consumption)*TblPop[[#This Row],[Total]]*food_per_person*(1+tech_1_10*TblTech[[#This Row],[1-10]]+tech_7_5*TblTech[[#This Row],[7-5]])</f>
        <v>3162.25</v>
      </c>
      <c r="AR101" s="69" t="n">
        <f aca="false">TblProd[[#This Row],[Lumber]]*lumber_rot * (1 + tech_2_1*TblTech[[#This Row],[2-1]] + tech_2_8*TblTech[[#This Row],[2-8]] + tech_5_2*TblTech[[#This Row],[5-2]])</f>
        <v>4364.56</v>
      </c>
      <c r="AS101" s="69" t="n">
        <f aca="false">TblProd[[#This Row],[Mana]]*mana_drain * (1 + tech_2_1*TblTech[[#This Row],[2-1]] + tech_2_8*TblTech[[#This Row],[2-8]])</f>
        <v>5119.9</v>
      </c>
      <c r="AT101" s="146"/>
      <c r="AU101" s="69" t="n">
        <f aca="false">TblExplore[[#This Row],[Platinum (2)]]+TblConstr[[#This Row],[Total Plat Cost]]+TblMili[[#This Row],[Plat Cost]]+TblRezone[[#This Row],[Platinum cost]]+TblImps[[#This Row],[P1]]-TblProd[[#This Row],[Bank Plat]]</f>
        <v>-65340</v>
      </c>
      <c r="AV101" s="69" t="n">
        <f aca="false">TblConstr[[#This Row],[Total Lum Cost]]+TblImps[[#This Row],[L1]]-TblProd[[#This Row],[Bank Lumber]] + Military!$CL$25*TblMili[[#This Row],[Sec. rec. Cost]]</f>
        <v>-10800</v>
      </c>
      <c r="AW101" s="69" t="n">
        <f aca="false">TblMagic[[#This Row],[Mana cost]] + Military!$CL$26*TblMili[[#This Row],[Sec. rec. Cost]]</f>
        <v>0</v>
      </c>
      <c r="AX101" s="69" t="n">
        <f aca="false">Military!$CL$24*TblMili[[#This Row],[Sec. rec. Cost]]+TblImps[[#This Row],[O1]]-TblProd[[#This Row],[Bank Ore]]</f>
        <v>0</v>
      </c>
      <c r="AY101" s="69" t="n">
        <f aca="false">TblImps[[#This Row],[G1]]-TblProd[[#This Row],[Bank Gems]]</f>
        <v>0</v>
      </c>
      <c r="AZ101" s="132"/>
      <c r="BA101" s="33" t="n">
        <f aca="false">IF(TblProd[[#This Row],[Set Guard]]&lt;&gt;"",TblProd[[#This Row],[Set Guard]],OFFSET(TblProd[[#This Row],[Guard]],-1,0))</f>
        <v>0</v>
      </c>
      <c r="BB101" s="145"/>
      <c r="BC101" s="151" t="n">
        <f aca="false">TblProd[[#This Row],[Hour]]</f>
        <v>26</v>
      </c>
      <c r="BD101" s="152" t="n">
        <f aca="false">-TblProd[[#This Row],[Bank Lumber]] / 2 + -TblProd[[#This Row],[Bank Gems]] * 2 + -TblProd[[#This Row],[Bank Ore]] / 2</f>
        <v>0</v>
      </c>
      <c r="BE101" s="152"/>
      <c r="BF101" s="152"/>
      <c r="BG101" s="152"/>
      <c r="BH101" s="153" t="n">
        <f aca="false">TblProd[[#This Row],[Time]]</f>
        <v>45433.7916666667</v>
      </c>
      <c r="BI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J101" s="69" t="n">
        <f aca="false">TblProd[[#This Row],[Platinum]]</f>
        <v>4045399</v>
      </c>
      <c r="BK101" s="69" t="n">
        <f aca="false">TblProd[[#This Row],[Food]]</f>
        <v>350578</v>
      </c>
      <c r="BL101" s="69" t="n">
        <f aca="false">TblProd[[#This Row],[Lumber]]</f>
        <v>436456</v>
      </c>
      <c r="BM101" s="69" t="n">
        <f aca="false">TblProd[[#This Row],[Mana]]</f>
        <v>255995</v>
      </c>
      <c r="BN101" s="69" t="n">
        <f aca="false">TblProd[[#This Row],[Ore]]</f>
        <v>-357</v>
      </c>
    </row>
    <row r="102" customFormat="false" ht="12.75" hidden="false" customHeight="false" outlineLevel="0" collapsed="false">
      <c r="A102" s="128" t="n">
        <v>27</v>
      </c>
      <c r="B102" s="144" t="n">
        <f aca="false">TblImps[[#This Row],[Time]]</f>
        <v>45433.8333333333</v>
      </c>
      <c r="C102" s="145"/>
      <c r="D102" s="146"/>
      <c r="E102" s="69" t="n">
        <f aca="false">TblConstr[[#This Row],[Land]]</f>
        <v>646</v>
      </c>
      <c r="F102" s="69" t="n">
        <f aca="false">TblPop[[#This Row],[Peasants]]</f>
        <v>7483</v>
      </c>
      <c r="G102" s="69"/>
      <c r="H102" s="69" t="e">
        <f aca="false">TblMili[[#This Row],[Networth (2)]]</f>
        <v>#VALUE!</v>
      </c>
      <c r="I102" s="69" t="n">
        <f aca="false">OFFSET(TblProd[[#This Row],[Platinum]],-1,0)+OFFSET(TblProd[[#This Row],[Plat/hr]],-1,0) - TblProd[[#This Row],[Expenses Platinum]] + IF(TblProd[[#This Row],[Plat Bonus]],TblPop[[#This Row],[Peasants]]*4) + SUM(TblConstr[[#This Row],[Dest Hom]:[Dest Doc]])*TblConstr[[#This Row],[CPA Platinum -DB]]*tech_3_3_2*TblTech[[#This Row],[3-3]]</f>
        <v>4150734</v>
      </c>
      <c r="J102" s="69" t="n">
        <f aca="false">OFFSET(TblProd[[#This Row],[Food]],-1,0)+OFFSET(TblProd[[#This Row],[Food/hr]],-1,0)+ROUNDUP((TblConstr[[#This Row],[Farms]]*80+TblConstr[[#This Row],[Docks]]*35)*(1+OFFSET(TblProd[[#This Row],[Bonus Food/hr]],-1,0)),0)</f>
        <v>347272</v>
      </c>
      <c r="K102" s="69" t="n">
        <f aca="false">OFFSET(TblProd[[#This Row],[Lumber]],-1,0)+OFFSET(TblProd[[#This Row],[Lumber/hr]],-1,0) - TblProd[[#This Row],[Expenses Lumber]] + SUM(TblConstr[[#This Row],[Dest Hom]:[Dest Doc]])*TblConstr[[#This Row],[CPA Lumber -DB]]*tech_3_3_2*TblTech[[#This Row],[3-3]]</f>
        <v>444016</v>
      </c>
      <c r="L102" s="69" t="n">
        <f aca="false">OFFSET(TblProd[[#This Row],[Mana]],-1,0)+OFFSET(TblProd[[#This Row],[Mana/hr]],-1,0)- TblProd[[#This Row],[Expenses Mana]]</f>
        <v>251600</v>
      </c>
      <c r="M102" s="69" t="n">
        <f aca="false">OFFSET(TblProd[[#This Row],[Ore]],-1,0)+OFFSET(TblProd[[#This Row],[Ore/hr]],-1,0) -TblProd[[#This Row],[Expenses Ore]]</f>
        <v>-357</v>
      </c>
      <c r="N102" s="69" t="n">
        <f aca="false">OFFSET(TblProd[[#This Row],[Gems]],-1,0)+OFFSET(TblProd[[#This Row],[Gems/hr]],-1,0) - TblProd[[#This Row],[Expenses Gems]]</f>
        <v>-1000</v>
      </c>
      <c r="O102" s="69" t="n">
        <f aca="false">OFFSET(TblProd[[#This Row],[Boats]],-1,0)+OFFSET(TblProd[[#This Row],[Boats/hr]],-1,0)</f>
        <v>59.4500000000001</v>
      </c>
      <c r="P102" s="69" t="n">
        <f aca="false">OFFSET(TblProd[[#This Row],[Prestige]],-1,0)</f>
        <v>250</v>
      </c>
      <c r="Q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2" s="69" t="n">
        <f aca="false">MAX(3750,_xlfn.CEILING.MATH(TblProd[[#This Row],[Land]]*2.5+OFFSET(TblTech[[#This Row],[Sum of tech]],-1,0)*150))</f>
        <v>3750</v>
      </c>
      <c r="S102" s="132"/>
      <c r="T102" s="69" t="n">
        <f aca="false">ROUNDDOWN(TblProd[[#This Row],[Raw Plat/hr]]*(1+TblProd[[#This Row],[Bonus Plat/hr]]),0)</f>
        <v>39769</v>
      </c>
      <c r="U102" s="69" t="n">
        <f aca="false">ROUND(TblProd[[#This Row],[Raw Food/hr]]*(1+TblProd[[#This Row],[Bonus Food/hr]])-TblProd[[#This Row],[Food decay]]-TblProd[[#This Row],[Food eaten]],0)</f>
        <v>-3273</v>
      </c>
      <c r="V102" s="69" t="n">
        <f aca="false">ROUND(TblProd[[#This Row],[Raw Lumber/hr]]*(1+TblProd[[#This Row],[Bonus Lumber/hr]])-TblProd[[#This Row],[Lumber rot]],0)</f>
        <v>-3315</v>
      </c>
      <c r="W102" s="69" t="n">
        <f aca="false">ROUND(TblProd[[#This Row],[Raw Mana/hr]]*(1+TblProd[[#This Row],[Bonus Mana/hr]])-TblProd[[#This Row],[Mana drain]],0)</f>
        <v>-4307</v>
      </c>
      <c r="X102" s="69" t="n">
        <f aca="false">ROUNDDOWN(TblProd[[#This Row],[Raw Ore/hr]]*(1+TblProd[[#This Row],[Bonux Ore/hr]]),0)</f>
        <v>0</v>
      </c>
      <c r="Y102" s="69" t="n">
        <f aca="false">ROUNDDOWN(TblProd[[#This Row],[Raw Gems/hr]]*(1+TblProd[[#This Row],[Bonus Gems/hr]]),0)</f>
        <v>0</v>
      </c>
      <c r="Z102" s="148" t="n">
        <f aca="false">OFFSET(TblConstr[[#This Row],[Tot Doc]],1,0)*dock_boats_hr * (1 + tech_4_1*TblTech[[#This Row],[4-1]])</f>
        <v>1.2</v>
      </c>
      <c r="AA102" s="146"/>
      <c r="AB102" s="69" t="n">
        <f aca="false">TblPop[[#This Row],[Peasants]]*tax*TblPop[[#This Row],[Employment]] + (Construction!AZ103+Construction!BX103)*(alch_plat+(Magic!AM102&gt;0)*alchemist_flame_bonus)</f>
        <v>36154.1</v>
      </c>
      <c r="AC102" s="69" t="n">
        <f aca="false">TblConstr[[#This Row],[Tot Farm]]*farm_food + TblConstr[[#This Row],[Tot Doc]]*dock_food</f>
        <v>3280</v>
      </c>
      <c r="AD102" s="69" t="n">
        <f aca="false">TblConstr[[#This Row],[Tot Ly]]*ly_lumber + TblConstr[[#This Row],[Tot Hav]]*fh_lumber</f>
        <v>1250</v>
      </c>
      <c r="AE102" s="69" t="n">
        <f aca="false">OFFSET(TblConstr[[#This Row],[Tot Tow]],1,0)*(tower_mana + tech_4_5*TblTech[[#This Row],[4-5]]) + OFFSET(TblConstr[[#This Row],[Tot WG]],1,0)*wg_mana_prod</f>
        <v>725</v>
      </c>
      <c r="AF102" s="69" t="n">
        <f aca="false">OFFSET(TblConstr[[#This Row],[Tot OM]],1,0)*om_ore+IF(race="Dwarf",ROUNDDOWN(TblMili[[#This Row],[Unit 2]]*0.4,0),)</f>
        <v>0</v>
      </c>
      <c r="AG102" s="69" t="n">
        <f aca="false">OFFSET(TblConstr[[#This Row],[Tot DM]],1,0)*dm_gems</f>
        <v>0</v>
      </c>
      <c r="AH102" s="132"/>
      <c r="AI102" s="149" t="n">
        <f aca="false">MIN(race_platinum_bonus + IF(TblMagic[[#This Row],[Active Alch Frost]]&gt;0,alch_frost_bonus,IF(Magic!AD102&gt;0,midas_bonus)) + TblImps[[#This Row],[Science]] - TblProd[[#This Row],[Guard]]*(0.02 + tech_5_7*TblTech[[#This Row],[5-7]]) + tech_1_5*TblTech[[#This Row],[1-5]] + tech_4_4*TblTech[[#This Row],[4-4]], 0.5)</f>
        <v>0.1</v>
      </c>
      <c r="AJ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2" s="149" t="n">
        <f aca="false">race_lumber_bonus+ IF(TblMagic[[#This Row],[Active Gaia''s Blessing]]&gt;0,gaias_blessing_lumber)+ tech_1_3*TblTech[[#This Row],[1-3]] + tech_1_6*TblTech[[#This Row],[1-6]] + tech_3_3*TblTech[[#This Row],[3-3]]</f>
        <v>-0.1</v>
      </c>
      <c r="AL102" s="149" t="n">
        <f aca="false">race_mana_bonus+ 0 + TblImps[[#This Row],[Towers]] + tech_1_2*TblTech[[#This Row],[1-2]] + tech_3_4*TblTech[[#This Row],[3-4]]</f>
        <v>0</v>
      </c>
      <c r="AM102" s="149" t="n">
        <f aca="false">race_ore_bonus + IF(TblMagic[[#This Row],[Active Miner''s Sight]]&gt;0,miners_sight_bonus,IF(TblMagic[[#This Row],[Active Mining Strength]]&gt;0,mining_strength_bonus)) +  tech_1_6*TblTech[[#This Row],[1-6]]</f>
        <v>0</v>
      </c>
      <c r="AN102" s="149" t="n">
        <f aca="false">race_gem_bonus+ tech_3_2*TblTech[[#This Row],[3-2]] + tech_4_3*TblTech[[#This Row],[4-3]] + tech_6_2*TblTech[[#This Row],[6-2]]</f>
        <v>0.15</v>
      </c>
      <c r="AO102" s="132"/>
      <c r="AP102" s="69" t="n">
        <f aca="false">TblProd[[#This Row],[Food]]*food_decay * (1 + tech_2_1*TblTech[[#This Row],[2-1]] + tech_2_8*TblTech[[#This Row],[2-8]])</f>
        <v>3472.72</v>
      </c>
      <c r="AQ102" s="69" t="n">
        <f aca="false">(1+race_food_consumption)*TblPop[[#This Row],[Total]]*food_per_person*(1+tech_1_10*TblTech[[#This Row],[1-10]]+tech_7_5*TblTech[[#This Row],[7-5]])</f>
        <v>3162.25</v>
      </c>
      <c r="AR102" s="69" t="n">
        <f aca="false">TblProd[[#This Row],[Lumber]]*lumber_rot * (1 + tech_2_1*TblTech[[#This Row],[2-1]] + tech_2_8*TblTech[[#This Row],[2-8]] + tech_5_2*TblTech[[#This Row],[5-2]])</f>
        <v>4440.16</v>
      </c>
      <c r="AS102" s="69" t="n">
        <f aca="false">TblProd[[#This Row],[Mana]]*mana_drain * (1 + tech_2_1*TblTech[[#This Row],[2-1]] + tech_2_8*TblTech[[#This Row],[2-8]])</f>
        <v>5032</v>
      </c>
      <c r="AT102" s="146"/>
      <c r="AU102" s="69" t="n">
        <f aca="false">TblExplore[[#This Row],[Platinum (2)]]+TblConstr[[#This Row],[Total Plat Cost]]+TblMili[[#This Row],[Plat Cost]]+TblRezone[[#This Row],[Platinum cost]]+TblImps[[#This Row],[P1]]-TblProd[[#This Row],[Bank Plat]]</f>
        <v>-65340</v>
      </c>
      <c r="AV102" s="69" t="n">
        <f aca="false">TblConstr[[#This Row],[Total Lum Cost]]+TblImps[[#This Row],[L1]]-TblProd[[#This Row],[Bank Lumber]] + Military!$CL$25*TblMili[[#This Row],[Sec. rec. Cost]]</f>
        <v>-10800</v>
      </c>
      <c r="AW102" s="69" t="n">
        <f aca="false">TblMagic[[#This Row],[Mana cost]] + Military!$CL$26*TblMili[[#This Row],[Sec. rec. Cost]]</f>
        <v>0</v>
      </c>
      <c r="AX102" s="69" t="n">
        <f aca="false">Military!$CL$24*TblMili[[#This Row],[Sec. rec. Cost]]+TblImps[[#This Row],[O1]]-TblProd[[#This Row],[Bank Ore]]</f>
        <v>0</v>
      </c>
      <c r="AY102" s="69" t="n">
        <f aca="false">TblImps[[#This Row],[G1]]-TblProd[[#This Row],[Bank Gems]]</f>
        <v>0</v>
      </c>
      <c r="AZ102" s="132"/>
      <c r="BA102" s="33" t="n">
        <f aca="false">IF(TblProd[[#This Row],[Set Guard]]&lt;&gt;"",TblProd[[#This Row],[Set Guard]],OFFSET(TblProd[[#This Row],[Guard]],-1,0))</f>
        <v>0</v>
      </c>
      <c r="BB102" s="145"/>
      <c r="BC102" s="151" t="n">
        <f aca="false">TblProd[[#This Row],[Hour]]</f>
        <v>27</v>
      </c>
      <c r="BD102" s="152" t="n">
        <f aca="false">-TblProd[[#This Row],[Bank Lumber]] / 2 + -TblProd[[#This Row],[Bank Gems]] * 2 + -TblProd[[#This Row],[Bank Ore]] / 2</f>
        <v>0</v>
      </c>
      <c r="BE102" s="152"/>
      <c r="BF102" s="152"/>
      <c r="BG102" s="152"/>
      <c r="BH102" s="153" t="n">
        <f aca="false">TblProd[[#This Row],[Time]]</f>
        <v>45433.8333333333</v>
      </c>
      <c r="BI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J102" s="69" t="n">
        <f aca="false">TblProd[[#This Row],[Platinum]]</f>
        <v>4150734</v>
      </c>
      <c r="BK102" s="69" t="n">
        <f aca="false">TblProd[[#This Row],[Food]]</f>
        <v>347272</v>
      </c>
      <c r="BL102" s="69" t="n">
        <f aca="false">TblProd[[#This Row],[Lumber]]</f>
        <v>444016</v>
      </c>
      <c r="BM102" s="69" t="n">
        <f aca="false">TblProd[[#This Row],[Mana]]</f>
        <v>251600</v>
      </c>
      <c r="BN102" s="69" t="n">
        <f aca="false">TblProd[[#This Row],[Ore]]</f>
        <v>-357</v>
      </c>
    </row>
    <row r="103" customFormat="false" ht="12.75" hidden="false" customHeight="false" outlineLevel="0" collapsed="false">
      <c r="A103" s="128" t="n">
        <v>28</v>
      </c>
      <c r="B103" s="144" t="n">
        <f aca="false">TblImps[[#This Row],[Time]]</f>
        <v>45433.875</v>
      </c>
      <c r="C103" s="145"/>
      <c r="D103" s="146"/>
      <c r="E103" s="69" t="n">
        <f aca="false">TblConstr[[#This Row],[Land]]</f>
        <v>646</v>
      </c>
      <c r="F103" s="69" t="n">
        <f aca="false">TblPop[[#This Row],[Peasants]]</f>
        <v>7408</v>
      </c>
      <c r="G103" s="69"/>
      <c r="H103" s="69" t="e">
        <f aca="false">TblMili[[#This Row],[Networth (2)]]</f>
        <v>#VALUE!</v>
      </c>
      <c r="I103" s="69" t="n">
        <f aca="false">OFFSET(TblProd[[#This Row],[Platinum]],-1,0)+OFFSET(TblProd[[#This Row],[Plat/hr]],-1,0) - TblProd[[#This Row],[Expenses Platinum]] + IF(TblProd[[#This Row],[Plat Bonus]],TblPop[[#This Row],[Peasants]]*4) + SUM(TblConstr[[#This Row],[Dest Hom]:[Dest Doc]])*TblConstr[[#This Row],[CPA Platinum -DB]]*tech_3_3_2*TblTech[[#This Row],[3-3]]</f>
        <v>4255843</v>
      </c>
      <c r="J103" s="69" t="n">
        <f aca="false">OFFSET(TblProd[[#This Row],[Food]],-1,0)+OFFSET(TblProd[[#This Row],[Food/hr]],-1,0)+ROUNDUP((TblConstr[[#This Row],[Farms]]*80+TblConstr[[#This Row],[Docks]]*35)*(1+OFFSET(TblProd[[#This Row],[Bonus Food/hr]],-1,0)),0)</f>
        <v>343999</v>
      </c>
      <c r="K103" s="69" t="n">
        <f aca="false">OFFSET(TblProd[[#This Row],[Lumber]],-1,0)+OFFSET(TblProd[[#This Row],[Lumber/hr]],-1,0) - TblProd[[#This Row],[Expenses Lumber]] + SUM(TblConstr[[#This Row],[Dest Hom]:[Dest Doc]])*TblConstr[[#This Row],[CPA Lumber -DB]]*tech_3_3_2*TblTech[[#This Row],[3-3]]</f>
        <v>451501</v>
      </c>
      <c r="L103" s="69" t="n">
        <f aca="false">OFFSET(TblProd[[#This Row],[Mana]],-1,0)+OFFSET(TblProd[[#This Row],[Mana/hr]],-1,0)- TblProd[[#This Row],[Expenses Mana]]</f>
        <v>247293</v>
      </c>
      <c r="M103" s="69" t="n">
        <f aca="false">OFFSET(TblProd[[#This Row],[Ore]],-1,0)+OFFSET(TblProd[[#This Row],[Ore/hr]],-1,0) -TblProd[[#This Row],[Expenses Ore]]</f>
        <v>-357</v>
      </c>
      <c r="N103" s="69" t="n">
        <f aca="false">OFFSET(TblProd[[#This Row],[Gems]],-1,0)+OFFSET(TblProd[[#This Row],[Gems/hr]],-1,0) - TblProd[[#This Row],[Expenses Gems]]</f>
        <v>-1000</v>
      </c>
      <c r="O103" s="69" t="n">
        <f aca="false">OFFSET(TblProd[[#This Row],[Boats]],-1,0)+OFFSET(TblProd[[#This Row],[Boats/hr]],-1,0)</f>
        <v>60.6500000000001</v>
      </c>
      <c r="P103" s="69" t="n">
        <f aca="false">OFFSET(TblProd[[#This Row],[Prestige]],-1,0)</f>
        <v>250</v>
      </c>
      <c r="Q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3" s="69" t="n">
        <f aca="false">MAX(3750,_xlfn.CEILING.MATH(TblProd[[#This Row],[Land]]*2.5+OFFSET(TblTech[[#This Row],[Sum of tech]],-1,0)*150))</f>
        <v>3750</v>
      </c>
      <c r="S103" s="132"/>
      <c r="T103" s="69" t="n">
        <f aca="false">ROUNDDOWN(TblProd[[#This Row],[Raw Plat/hr]]*(1+TblProd[[#This Row],[Bonus Plat/hr]]),0)</f>
        <v>39546</v>
      </c>
      <c r="U103" s="69" t="n">
        <f aca="false">ROUND(TblProd[[#This Row],[Raw Food/hr]]*(1+TblProd[[#This Row],[Bonus Food/hr]])-TblProd[[#This Row],[Food decay]]-TblProd[[#This Row],[Food eaten]],0)</f>
        <v>-3240</v>
      </c>
      <c r="V103" s="69" t="n">
        <f aca="false">ROUND(TblProd[[#This Row],[Raw Lumber/hr]]*(1+TblProd[[#This Row],[Bonus Lumber/hr]])-TblProd[[#This Row],[Lumber rot]],0)</f>
        <v>-3390</v>
      </c>
      <c r="W103" s="69" t="n">
        <f aca="false">ROUND(TblProd[[#This Row],[Raw Mana/hr]]*(1+TblProd[[#This Row],[Bonus Mana/hr]])-TblProd[[#This Row],[Mana drain]],0)</f>
        <v>-4221</v>
      </c>
      <c r="X103" s="69" t="n">
        <f aca="false">ROUNDDOWN(TblProd[[#This Row],[Raw Ore/hr]]*(1+TblProd[[#This Row],[Bonux Ore/hr]]),0)</f>
        <v>0</v>
      </c>
      <c r="Y103" s="69" t="n">
        <f aca="false">ROUNDDOWN(TblProd[[#This Row],[Raw Gems/hr]]*(1+TblProd[[#This Row],[Bonus Gems/hr]]),0)</f>
        <v>0</v>
      </c>
      <c r="Z103" s="148" t="n">
        <f aca="false">OFFSET(TblConstr[[#This Row],[Tot Doc]],1,0)*dock_boats_hr * (1 + tech_4_1*TblTech[[#This Row],[4-1]])</f>
        <v>1.2</v>
      </c>
      <c r="AA103" s="146"/>
      <c r="AB103" s="69" t="n">
        <f aca="false">TblPop[[#This Row],[Peasants]]*tax*TblPop[[#This Row],[Employment]] + (Construction!AZ104+Construction!BX104)*(alch_plat+(Magic!AM103&gt;0)*alchemist_flame_bonus)</f>
        <v>35951.6</v>
      </c>
      <c r="AC103" s="69" t="n">
        <f aca="false">TblConstr[[#This Row],[Tot Farm]]*farm_food + TblConstr[[#This Row],[Tot Doc]]*dock_food</f>
        <v>3280</v>
      </c>
      <c r="AD103" s="69" t="n">
        <f aca="false">TblConstr[[#This Row],[Tot Ly]]*ly_lumber + TblConstr[[#This Row],[Tot Hav]]*fh_lumber</f>
        <v>1250</v>
      </c>
      <c r="AE103" s="69" t="n">
        <f aca="false">OFFSET(TblConstr[[#This Row],[Tot Tow]],1,0)*(tower_mana + tech_4_5*TblTech[[#This Row],[4-5]]) + OFFSET(TblConstr[[#This Row],[Tot WG]],1,0)*wg_mana_prod</f>
        <v>725</v>
      </c>
      <c r="AF103" s="69" t="n">
        <f aca="false">OFFSET(TblConstr[[#This Row],[Tot OM]],1,0)*om_ore+IF(race="Dwarf",ROUNDDOWN(TblMili[[#This Row],[Unit 2]]*0.4,0),)</f>
        <v>0</v>
      </c>
      <c r="AG103" s="69" t="n">
        <f aca="false">OFFSET(TblConstr[[#This Row],[Tot DM]],1,0)*dm_gems</f>
        <v>0</v>
      </c>
      <c r="AH103" s="132"/>
      <c r="AI103" s="149" t="n">
        <f aca="false">MIN(race_platinum_bonus + IF(TblMagic[[#This Row],[Active Alch Frost]]&gt;0,alch_frost_bonus,IF(Magic!AD103&gt;0,midas_bonus)) + TblImps[[#This Row],[Science]] - TblProd[[#This Row],[Guard]]*(0.02 + tech_5_7*TblTech[[#This Row],[5-7]]) + tech_1_5*TblTech[[#This Row],[1-5]] + tech_4_4*TblTech[[#This Row],[4-4]], 0.5)</f>
        <v>0.1</v>
      </c>
      <c r="AJ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3" s="149" t="n">
        <f aca="false">race_lumber_bonus+ IF(TblMagic[[#This Row],[Active Gaia''s Blessing]]&gt;0,gaias_blessing_lumber)+ tech_1_3*TblTech[[#This Row],[1-3]] + tech_1_6*TblTech[[#This Row],[1-6]] + tech_3_3*TblTech[[#This Row],[3-3]]</f>
        <v>-0.1</v>
      </c>
      <c r="AL103" s="149" t="n">
        <f aca="false">race_mana_bonus+ 0 + TblImps[[#This Row],[Towers]] + tech_1_2*TblTech[[#This Row],[1-2]] + tech_3_4*TblTech[[#This Row],[3-4]]</f>
        <v>0</v>
      </c>
      <c r="AM103" s="149" t="n">
        <f aca="false">race_ore_bonus + IF(TblMagic[[#This Row],[Active Miner''s Sight]]&gt;0,miners_sight_bonus,IF(TblMagic[[#This Row],[Active Mining Strength]]&gt;0,mining_strength_bonus)) +  tech_1_6*TblTech[[#This Row],[1-6]]</f>
        <v>0</v>
      </c>
      <c r="AN103" s="149" t="n">
        <f aca="false">race_gem_bonus+ tech_3_2*TblTech[[#This Row],[3-2]] + tech_4_3*TblTech[[#This Row],[4-3]] + tech_6_2*TblTech[[#This Row],[6-2]]</f>
        <v>0.15</v>
      </c>
      <c r="AO103" s="132"/>
      <c r="AP103" s="69" t="n">
        <f aca="false">TblProd[[#This Row],[Food]]*food_decay * (1 + tech_2_1*TblTech[[#This Row],[2-1]] + tech_2_8*TblTech[[#This Row],[2-8]])</f>
        <v>3439.99</v>
      </c>
      <c r="AQ103" s="69" t="n">
        <f aca="false">(1+race_food_consumption)*TblPop[[#This Row],[Total]]*food_per_person*(1+tech_1_10*TblTech[[#This Row],[1-10]]+tech_7_5*TblTech[[#This Row],[7-5]])</f>
        <v>3162.25</v>
      </c>
      <c r="AR103" s="69" t="n">
        <f aca="false">TblProd[[#This Row],[Lumber]]*lumber_rot * (1 + tech_2_1*TblTech[[#This Row],[2-1]] + tech_2_8*TblTech[[#This Row],[2-8]] + tech_5_2*TblTech[[#This Row],[5-2]])</f>
        <v>4515.01</v>
      </c>
      <c r="AS103" s="69" t="n">
        <f aca="false">TblProd[[#This Row],[Mana]]*mana_drain * (1 + tech_2_1*TblTech[[#This Row],[2-1]] + tech_2_8*TblTech[[#This Row],[2-8]])</f>
        <v>4945.86</v>
      </c>
      <c r="AT103" s="146"/>
      <c r="AU103" s="69" t="n">
        <f aca="false">TblExplore[[#This Row],[Platinum (2)]]+TblConstr[[#This Row],[Total Plat Cost]]+TblMili[[#This Row],[Plat Cost]]+TblRezone[[#This Row],[Platinum cost]]+TblImps[[#This Row],[P1]]-TblProd[[#This Row],[Bank Plat]]</f>
        <v>-65340</v>
      </c>
      <c r="AV103" s="69" t="n">
        <f aca="false">TblConstr[[#This Row],[Total Lum Cost]]+TblImps[[#This Row],[L1]]-TblProd[[#This Row],[Bank Lumber]] + Military!$CL$25*TblMili[[#This Row],[Sec. rec. Cost]]</f>
        <v>-10800</v>
      </c>
      <c r="AW103" s="69" t="n">
        <f aca="false">TblMagic[[#This Row],[Mana cost]] + Military!$CL$26*TblMili[[#This Row],[Sec. rec. Cost]]</f>
        <v>0</v>
      </c>
      <c r="AX103" s="69" t="n">
        <f aca="false">Military!$CL$24*TblMili[[#This Row],[Sec. rec. Cost]]+TblImps[[#This Row],[O1]]-TblProd[[#This Row],[Bank Ore]]</f>
        <v>0</v>
      </c>
      <c r="AY103" s="69" t="n">
        <f aca="false">TblImps[[#This Row],[G1]]-TblProd[[#This Row],[Bank Gems]]</f>
        <v>0</v>
      </c>
      <c r="AZ103" s="132"/>
      <c r="BA103" s="33" t="n">
        <f aca="false">IF(TblProd[[#This Row],[Set Guard]]&lt;&gt;"",TblProd[[#This Row],[Set Guard]],OFFSET(TblProd[[#This Row],[Guard]],-1,0))</f>
        <v>0</v>
      </c>
      <c r="BB103" s="145"/>
      <c r="BC103" s="151" t="n">
        <f aca="false">TblProd[[#This Row],[Hour]]</f>
        <v>28</v>
      </c>
      <c r="BD103" s="152" t="n">
        <f aca="false">-TblProd[[#This Row],[Bank Lumber]] / 2 + -TblProd[[#This Row],[Bank Gems]] * 2 + -TblProd[[#This Row],[Bank Ore]] / 2</f>
        <v>0</v>
      </c>
      <c r="BE103" s="152"/>
      <c r="BF103" s="152"/>
      <c r="BG103" s="152"/>
      <c r="BH103" s="153" t="n">
        <f aca="false">TblProd[[#This Row],[Time]]</f>
        <v>45433.875</v>
      </c>
      <c r="BI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J103" s="69" t="n">
        <f aca="false">TblProd[[#This Row],[Platinum]]</f>
        <v>4255843</v>
      </c>
      <c r="BK103" s="69" t="n">
        <f aca="false">TblProd[[#This Row],[Food]]</f>
        <v>343999</v>
      </c>
      <c r="BL103" s="69" t="n">
        <f aca="false">TblProd[[#This Row],[Lumber]]</f>
        <v>451501</v>
      </c>
      <c r="BM103" s="69" t="n">
        <f aca="false">TblProd[[#This Row],[Mana]]</f>
        <v>247293</v>
      </c>
      <c r="BN103" s="69" t="n">
        <f aca="false">TblProd[[#This Row],[Ore]]</f>
        <v>-357</v>
      </c>
    </row>
    <row r="104" customFormat="false" ht="12.75" hidden="false" customHeight="false" outlineLevel="0" collapsed="false">
      <c r="A104" s="128" t="n">
        <v>29</v>
      </c>
      <c r="B104" s="144" t="n">
        <f aca="false">TblImps[[#This Row],[Time]]</f>
        <v>45433.9166666667</v>
      </c>
      <c r="C104" s="145"/>
      <c r="D104" s="146"/>
      <c r="E104" s="69" t="n">
        <f aca="false">TblConstr[[#This Row],[Land]]</f>
        <v>646</v>
      </c>
      <c r="F104" s="69" t="n">
        <f aca="false">TblPop[[#This Row],[Peasants]]</f>
        <v>7334</v>
      </c>
      <c r="G104" s="69"/>
      <c r="H104" s="69" t="e">
        <f aca="false">TblMili[[#This Row],[Networth (2)]]</f>
        <v>#VALUE!</v>
      </c>
      <c r="I104" s="69" t="n">
        <f aca="false">OFFSET(TblProd[[#This Row],[Platinum]],-1,0)+OFFSET(TblProd[[#This Row],[Plat/hr]],-1,0) - TblProd[[#This Row],[Expenses Platinum]] + IF(TblProd[[#This Row],[Plat Bonus]],TblPop[[#This Row],[Peasants]]*4) + SUM(TblConstr[[#This Row],[Dest Hom]:[Dest Doc]])*TblConstr[[#This Row],[CPA Platinum -DB]]*tech_3_3_2*TblTech[[#This Row],[3-3]]</f>
        <v>4360729</v>
      </c>
      <c r="J104" s="69" t="n">
        <f aca="false">OFFSET(TblProd[[#This Row],[Food]],-1,0)+OFFSET(TblProd[[#This Row],[Food/hr]],-1,0)+ROUNDUP((TblConstr[[#This Row],[Farms]]*80+TblConstr[[#This Row],[Docks]]*35)*(1+OFFSET(TblProd[[#This Row],[Bonus Food/hr]],-1,0)),0)</f>
        <v>340759</v>
      </c>
      <c r="K104" s="69" t="n">
        <f aca="false">OFFSET(TblProd[[#This Row],[Lumber]],-1,0)+OFFSET(TblProd[[#This Row],[Lumber/hr]],-1,0) - TblProd[[#This Row],[Expenses Lumber]] + SUM(TblConstr[[#This Row],[Dest Hom]:[Dest Doc]])*TblConstr[[#This Row],[CPA Lumber -DB]]*tech_3_3_2*TblTech[[#This Row],[3-3]]</f>
        <v>458911</v>
      </c>
      <c r="L104" s="69" t="n">
        <f aca="false">OFFSET(TblProd[[#This Row],[Mana]],-1,0)+OFFSET(TblProd[[#This Row],[Mana/hr]],-1,0)- TblProd[[#This Row],[Expenses Mana]]</f>
        <v>243072</v>
      </c>
      <c r="M104" s="69" t="n">
        <f aca="false">OFFSET(TblProd[[#This Row],[Ore]],-1,0)+OFFSET(TblProd[[#This Row],[Ore/hr]],-1,0) -TblProd[[#This Row],[Expenses Ore]]</f>
        <v>-357</v>
      </c>
      <c r="N104" s="69" t="n">
        <f aca="false">OFFSET(TblProd[[#This Row],[Gems]],-1,0)+OFFSET(TblProd[[#This Row],[Gems/hr]],-1,0) - TblProd[[#This Row],[Expenses Gems]]</f>
        <v>-1000</v>
      </c>
      <c r="O104" s="69" t="n">
        <f aca="false">OFFSET(TblProd[[#This Row],[Boats]],-1,0)+OFFSET(TblProd[[#This Row],[Boats/hr]],-1,0)</f>
        <v>61.8500000000001</v>
      </c>
      <c r="P104" s="69" t="n">
        <f aca="false">OFFSET(TblProd[[#This Row],[Prestige]],-1,0)</f>
        <v>250</v>
      </c>
      <c r="Q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4" s="69" t="n">
        <f aca="false">MAX(3750,_xlfn.CEILING.MATH(TblProd[[#This Row],[Land]]*2.5+OFFSET(TblTech[[#This Row],[Sum of tech]],-1,0)*150))</f>
        <v>3750</v>
      </c>
      <c r="S104" s="132"/>
      <c r="T104" s="69" t="n">
        <f aca="false">ROUNDDOWN(TblProd[[#This Row],[Raw Plat/hr]]*(1+TblProd[[#This Row],[Bonus Plat/hr]]),0)</f>
        <v>39326</v>
      </c>
      <c r="U104" s="69" t="n">
        <f aca="false">ROUND(TblProd[[#This Row],[Raw Food/hr]]*(1+TblProd[[#This Row],[Bonus Food/hr]])-TblProd[[#This Row],[Food decay]]-TblProd[[#This Row],[Food eaten]],0)</f>
        <v>-3208</v>
      </c>
      <c r="V104" s="69" t="n">
        <f aca="false">ROUND(TblProd[[#This Row],[Raw Lumber/hr]]*(1+TblProd[[#This Row],[Bonus Lumber/hr]])-TblProd[[#This Row],[Lumber rot]],0)</f>
        <v>-3464</v>
      </c>
      <c r="W104" s="69" t="n">
        <f aca="false">ROUND(TblProd[[#This Row],[Raw Mana/hr]]*(1+TblProd[[#This Row],[Bonus Mana/hr]])-TblProd[[#This Row],[Mana drain]],0)</f>
        <v>-4136</v>
      </c>
      <c r="X104" s="69" t="n">
        <f aca="false">ROUNDDOWN(TblProd[[#This Row],[Raw Ore/hr]]*(1+TblProd[[#This Row],[Bonux Ore/hr]]),0)</f>
        <v>0</v>
      </c>
      <c r="Y104" s="69" t="n">
        <f aca="false">ROUNDDOWN(TblProd[[#This Row],[Raw Gems/hr]]*(1+TblProd[[#This Row],[Bonus Gems/hr]]),0)</f>
        <v>0</v>
      </c>
      <c r="Z104" s="148" t="n">
        <f aca="false">OFFSET(TblConstr[[#This Row],[Tot Doc]],1,0)*dock_boats_hr * (1 + tech_4_1*TblTech[[#This Row],[4-1]])</f>
        <v>1.2</v>
      </c>
      <c r="AA104" s="146"/>
      <c r="AB104" s="69" t="n">
        <f aca="false">TblPop[[#This Row],[Peasants]]*tax*TblPop[[#This Row],[Employment]] + (Construction!AZ105+Construction!BX105)*(alch_plat+(Magic!AM104&gt;0)*alchemist_flame_bonus)</f>
        <v>35751.8</v>
      </c>
      <c r="AC104" s="69" t="n">
        <f aca="false">TblConstr[[#This Row],[Tot Farm]]*farm_food + TblConstr[[#This Row],[Tot Doc]]*dock_food</f>
        <v>3280</v>
      </c>
      <c r="AD104" s="69" t="n">
        <f aca="false">TblConstr[[#This Row],[Tot Ly]]*ly_lumber + TblConstr[[#This Row],[Tot Hav]]*fh_lumber</f>
        <v>1250</v>
      </c>
      <c r="AE104" s="69" t="n">
        <f aca="false">OFFSET(TblConstr[[#This Row],[Tot Tow]],1,0)*(tower_mana + tech_4_5*TblTech[[#This Row],[4-5]]) + OFFSET(TblConstr[[#This Row],[Tot WG]],1,0)*wg_mana_prod</f>
        <v>725</v>
      </c>
      <c r="AF104" s="69" t="n">
        <f aca="false">OFFSET(TblConstr[[#This Row],[Tot OM]],1,0)*om_ore+IF(race="Dwarf",ROUNDDOWN(TblMili[[#This Row],[Unit 2]]*0.4,0),)</f>
        <v>0</v>
      </c>
      <c r="AG104" s="69" t="n">
        <f aca="false">OFFSET(TblConstr[[#This Row],[Tot DM]],1,0)*dm_gems</f>
        <v>0</v>
      </c>
      <c r="AH104" s="132"/>
      <c r="AI104" s="149" t="n">
        <f aca="false">MIN(race_platinum_bonus + IF(TblMagic[[#This Row],[Active Alch Frost]]&gt;0,alch_frost_bonus,IF(Magic!AD104&gt;0,midas_bonus)) + TblImps[[#This Row],[Science]] - TblProd[[#This Row],[Guard]]*(0.02 + tech_5_7*TblTech[[#This Row],[5-7]]) + tech_1_5*TblTech[[#This Row],[1-5]] + tech_4_4*TblTech[[#This Row],[4-4]], 0.5)</f>
        <v>0.1</v>
      </c>
      <c r="AJ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4" s="149" t="n">
        <f aca="false">race_lumber_bonus+ IF(TblMagic[[#This Row],[Active Gaia''s Blessing]]&gt;0,gaias_blessing_lumber)+ tech_1_3*TblTech[[#This Row],[1-3]] + tech_1_6*TblTech[[#This Row],[1-6]] + tech_3_3*TblTech[[#This Row],[3-3]]</f>
        <v>-0.1</v>
      </c>
      <c r="AL104" s="149" t="n">
        <f aca="false">race_mana_bonus+ 0 + TblImps[[#This Row],[Towers]] + tech_1_2*TblTech[[#This Row],[1-2]] + tech_3_4*TblTech[[#This Row],[3-4]]</f>
        <v>0</v>
      </c>
      <c r="AM104" s="149" t="n">
        <f aca="false">race_ore_bonus + IF(TblMagic[[#This Row],[Active Miner''s Sight]]&gt;0,miners_sight_bonus,IF(TblMagic[[#This Row],[Active Mining Strength]]&gt;0,mining_strength_bonus)) +  tech_1_6*TblTech[[#This Row],[1-6]]</f>
        <v>0</v>
      </c>
      <c r="AN104" s="149" t="n">
        <f aca="false">race_gem_bonus+ tech_3_2*TblTech[[#This Row],[3-2]] + tech_4_3*TblTech[[#This Row],[4-3]] + tech_6_2*TblTech[[#This Row],[6-2]]</f>
        <v>0.15</v>
      </c>
      <c r="AO104" s="132"/>
      <c r="AP104" s="69" t="n">
        <f aca="false">TblProd[[#This Row],[Food]]*food_decay * (1 + tech_2_1*TblTech[[#This Row],[2-1]] + tech_2_8*TblTech[[#This Row],[2-8]])</f>
        <v>3407.59</v>
      </c>
      <c r="AQ104" s="69" t="n">
        <f aca="false">(1+race_food_consumption)*TblPop[[#This Row],[Total]]*food_per_person*(1+tech_1_10*TblTech[[#This Row],[1-10]]+tech_7_5*TblTech[[#This Row],[7-5]])</f>
        <v>3162.25</v>
      </c>
      <c r="AR104" s="69" t="n">
        <f aca="false">TblProd[[#This Row],[Lumber]]*lumber_rot * (1 + tech_2_1*TblTech[[#This Row],[2-1]] + tech_2_8*TblTech[[#This Row],[2-8]] + tech_5_2*TblTech[[#This Row],[5-2]])</f>
        <v>4589.11</v>
      </c>
      <c r="AS104" s="69" t="n">
        <f aca="false">TblProd[[#This Row],[Mana]]*mana_drain * (1 + tech_2_1*TblTech[[#This Row],[2-1]] + tech_2_8*TblTech[[#This Row],[2-8]])</f>
        <v>4861.44</v>
      </c>
      <c r="AT104" s="146"/>
      <c r="AU104" s="69" t="n">
        <f aca="false">TblExplore[[#This Row],[Platinum (2)]]+TblConstr[[#This Row],[Total Plat Cost]]+TblMili[[#This Row],[Plat Cost]]+TblRezone[[#This Row],[Platinum cost]]+TblImps[[#This Row],[P1]]-TblProd[[#This Row],[Bank Plat]]</f>
        <v>-65340</v>
      </c>
      <c r="AV104" s="69" t="n">
        <f aca="false">TblConstr[[#This Row],[Total Lum Cost]]+TblImps[[#This Row],[L1]]-TblProd[[#This Row],[Bank Lumber]] + Military!$CL$25*TblMili[[#This Row],[Sec. rec. Cost]]</f>
        <v>-10800</v>
      </c>
      <c r="AW104" s="69" t="n">
        <f aca="false">TblMagic[[#This Row],[Mana cost]] + Military!$CL$26*TblMili[[#This Row],[Sec. rec. Cost]]</f>
        <v>0</v>
      </c>
      <c r="AX104" s="69" t="n">
        <f aca="false">Military!$CL$24*TblMili[[#This Row],[Sec. rec. Cost]]+TblImps[[#This Row],[O1]]-TblProd[[#This Row],[Bank Ore]]</f>
        <v>0</v>
      </c>
      <c r="AY104" s="69" t="n">
        <f aca="false">TblImps[[#This Row],[G1]]-TblProd[[#This Row],[Bank Gems]]</f>
        <v>0</v>
      </c>
      <c r="AZ104" s="132"/>
      <c r="BA104" s="33" t="n">
        <f aca="false">IF(TblProd[[#This Row],[Set Guard]]&lt;&gt;"",TblProd[[#This Row],[Set Guard]],OFFSET(TblProd[[#This Row],[Guard]],-1,0))</f>
        <v>0</v>
      </c>
      <c r="BB104" s="145"/>
      <c r="BC104" s="151" t="n">
        <f aca="false">TblProd[[#This Row],[Hour]]</f>
        <v>29</v>
      </c>
      <c r="BD104" s="152" t="n">
        <f aca="false">-TblProd[[#This Row],[Bank Lumber]] / 2 + -TblProd[[#This Row],[Bank Gems]] * 2 + -TblProd[[#This Row],[Bank Ore]] / 2</f>
        <v>0</v>
      </c>
      <c r="BE104" s="152"/>
      <c r="BF104" s="152"/>
      <c r="BG104" s="152"/>
      <c r="BH104" s="153" t="n">
        <f aca="false">TblProd[[#This Row],[Time]]</f>
        <v>45433.9166666667</v>
      </c>
      <c r="BI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J104" s="69" t="n">
        <f aca="false">TblProd[[#This Row],[Platinum]]</f>
        <v>4360729</v>
      </c>
      <c r="BK104" s="69" t="n">
        <f aca="false">TblProd[[#This Row],[Food]]</f>
        <v>340759</v>
      </c>
      <c r="BL104" s="69" t="n">
        <f aca="false">TblProd[[#This Row],[Lumber]]</f>
        <v>458911</v>
      </c>
      <c r="BM104" s="69" t="n">
        <f aca="false">TblProd[[#This Row],[Mana]]</f>
        <v>243072</v>
      </c>
      <c r="BN104" s="69" t="n">
        <f aca="false">TblProd[[#This Row],[Ore]]</f>
        <v>-357</v>
      </c>
    </row>
    <row r="105" customFormat="false" ht="12.75" hidden="false" customHeight="false" outlineLevel="0" collapsed="false">
      <c r="A105" s="128" t="n">
        <v>30</v>
      </c>
      <c r="B105" s="144" t="n">
        <f aca="false">TblImps[[#This Row],[Time]]</f>
        <v>45433.9583333333</v>
      </c>
      <c r="C105" s="145"/>
      <c r="D105" s="146"/>
      <c r="E105" s="69" t="n">
        <f aca="false">TblConstr[[#This Row],[Land]]</f>
        <v>646</v>
      </c>
      <c r="F105" s="69" t="n">
        <f aca="false">TblPop[[#This Row],[Peasants]]</f>
        <v>7261</v>
      </c>
      <c r="G105" s="69"/>
      <c r="H105" s="69" t="e">
        <f aca="false">TblMili[[#This Row],[Networth (2)]]</f>
        <v>#VALUE!</v>
      </c>
      <c r="I105" s="69" t="n">
        <f aca="false">OFFSET(TblProd[[#This Row],[Platinum]],-1,0)+OFFSET(TblProd[[#This Row],[Plat/hr]],-1,0) - TblProd[[#This Row],[Expenses Platinum]] + IF(TblProd[[#This Row],[Plat Bonus]],TblPop[[#This Row],[Peasants]]*4) + SUM(TblConstr[[#This Row],[Dest Hom]:[Dest Doc]])*TblConstr[[#This Row],[CPA Platinum -DB]]*tech_3_3_2*TblTech[[#This Row],[3-3]]</f>
        <v>4465395</v>
      </c>
      <c r="J105" s="69" t="n">
        <f aca="false">OFFSET(TblProd[[#This Row],[Food]],-1,0)+OFFSET(TblProd[[#This Row],[Food/hr]],-1,0)+ROUNDUP((TblConstr[[#This Row],[Farms]]*80+TblConstr[[#This Row],[Docks]]*35)*(1+OFFSET(TblProd[[#This Row],[Bonus Food/hr]],-1,0)),0)</f>
        <v>337551</v>
      </c>
      <c r="K105" s="69" t="n">
        <f aca="false">OFFSET(TblProd[[#This Row],[Lumber]],-1,0)+OFFSET(TblProd[[#This Row],[Lumber/hr]],-1,0) - TblProd[[#This Row],[Expenses Lumber]] + SUM(TblConstr[[#This Row],[Dest Hom]:[Dest Doc]])*TblConstr[[#This Row],[CPA Lumber -DB]]*tech_3_3_2*TblTech[[#This Row],[3-3]]</f>
        <v>466247</v>
      </c>
      <c r="L105" s="69" t="n">
        <f aca="false">OFFSET(TblProd[[#This Row],[Mana]],-1,0)+OFFSET(TblProd[[#This Row],[Mana/hr]],-1,0)- TblProd[[#This Row],[Expenses Mana]]</f>
        <v>238936</v>
      </c>
      <c r="M105" s="69" t="n">
        <f aca="false">OFFSET(TblProd[[#This Row],[Ore]],-1,0)+OFFSET(TblProd[[#This Row],[Ore/hr]],-1,0) -TblProd[[#This Row],[Expenses Ore]]</f>
        <v>-357</v>
      </c>
      <c r="N105" s="69" t="n">
        <f aca="false">OFFSET(TblProd[[#This Row],[Gems]],-1,0)+OFFSET(TblProd[[#This Row],[Gems/hr]],-1,0) - TblProd[[#This Row],[Expenses Gems]]</f>
        <v>-1000</v>
      </c>
      <c r="O105" s="69" t="n">
        <f aca="false">OFFSET(TblProd[[#This Row],[Boats]],-1,0)+OFFSET(TblProd[[#This Row],[Boats/hr]],-1,0)</f>
        <v>63.0500000000001</v>
      </c>
      <c r="P105" s="69" t="n">
        <f aca="false">OFFSET(TblProd[[#This Row],[Prestige]],-1,0)</f>
        <v>250</v>
      </c>
      <c r="Q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5" s="69" t="n">
        <f aca="false">MAX(3750,_xlfn.CEILING.MATH(TblProd[[#This Row],[Land]]*2.5+OFFSET(TblTech[[#This Row],[Sum of tech]],-1,0)*150))</f>
        <v>3750</v>
      </c>
      <c r="S105" s="132"/>
      <c r="T105" s="69" t="n">
        <f aca="false">ROUNDDOWN(TblProd[[#This Row],[Raw Plat/hr]]*(1+TblProd[[#This Row],[Bonus Plat/hr]]),0)</f>
        <v>39110</v>
      </c>
      <c r="U105" s="69" t="n">
        <f aca="false">ROUND(TblProd[[#This Row],[Raw Food/hr]]*(1+TblProd[[#This Row],[Bonus Food/hr]])-TblProd[[#This Row],[Food decay]]-TblProd[[#This Row],[Food eaten]],0)</f>
        <v>-3176</v>
      </c>
      <c r="V105" s="69" t="n">
        <f aca="false">ROUND(TblProd[[#This Row],[Raw Lumber/hr]]*(1+TblProd[[#This Row],[Bonus Lumber/hr]])-TblProd[[#This Row],[Lumber rot]],0)</f>
        <v>-3537</v>
      </c>
      <c r="W105" s="69" t="n">
        <f aca="false">ROUND(TblProd[[#This Row],[Raw Mana/hr]]*(1+TblProd[[#This Row],[Bonus Mana/hr]])-TblProd[[#This Row],[Mana drain]],0)</f>
        <v>-4054</v>
      </c>
      <c r="X105" s="69" t="n">
        <f aca="false">ROUNDDOWN(TblProd[[#This Row],[Raw Ore/hr]]*(1+TblProd[[#This Row],[Bonux Ore/hr]]),0)</f>
        <v>0</v>
      </c>
      <c r="Y105" s="69" t="n">
        <f aca="false">ROUNDDOWN(TblProd[[#This Row],[Raw Gems/hr]]*(1+TblProd[[#This Row],[Bonus Gems/hr]]),0)</f>
        <v>0</v>
      </c>
      <c r="Z105" s="148" t="n">
        <f aca="false">OFFSET(TblConstr[[#This Row],[Tot Doc]],1,0)*dock_boats_hr * (1 + tech_4_1*TblTech[[#This Row],[4-1]])</f>
        <v>1.2</v>
      </c>
      <c r="AA105" s="146"/>
      <c r="AB105" s="69" t="n">
        <f aca="false">TblPop[[#This Row],[Peasants]]*tax*TblPop[[#This Row],[Employment]] + (Construction!AZ106+Construction!BX106)*(alch_plat+(Magic!AM105&gt;0)*alchemist_flame_bonus)</f>
        <v>35554.7</v>
      </c>
      <c r="AC105" s="69" t="n">
        <f aca="false">TblConstr[[#This Row],[Tot Farm]]*farm_food + TblConstr[[#This Row],[Tot Doc]]*dock_food</f>
        <v>3280</v>
      </c>
      <c r="AD105" s="69" t="n">
        <f aca="false">TblConstr[[#This Row],[Tot Ly]]*ly_lumber + TblConstr[[#This Row],[Tot Hav]]*fh_lumber</f>
        <v>1250</v>
      </c>
      <c r="AE105" s="69" t="n">
        <f aca="false">OFFSET(TblConstr[[#This Row],[Tot Tow]],1,0)*(tower_mana + tech_4_5*TblTech[[#This Row],[4-5]]) + OFFSET(TblConstr[[#This Row],[Tot WG]],1,0)*wg_mana_prod</f>
        <v>725</v>
      </c>
      <c r="AF105" s="69" t="n">
        <f aca="false">OFFSET(TblConstr[[#This Row],[Tot OM]],1,0)*om_ore+IF(race="Dwarf",ROUNDDOWN(TblMili[[#This Row],[Unit 2]]*0.4,0),)</f>
        <v>0</v>
      </c>
      <c r="AG105" s="69" t="n">
        <f aca="false">OFFSET(TblConstr[[#This Row],[Tot DM]],1,0)*dm_gems</f>
        <v>0</v>
      </c>
      <c r="AH105" s="132"/>
      <c r="AI105" s="149" t="n">
        <f aca="false">MIN(race_platinum_bonus + IF(TblMagic[[#This Row],[Active Alch Frost]]&gt;0,alch_frost_bonus,IF(Magic!AD105&gt;0,midas_bonus)) + TblImps[[#This Row],[Science]] - TblProd[[#This Row],[Guard]]*(0.02 + tech_5_7*TblTech[[#This Row],[5-7]]) + tech_1_5*TblTech[[#This Row],[1-5]] + tech_4_4*TblTech[[#This Row],[4-4]], 0.5)</f>
        <v>0.1</v>
      </c>
      <c r="AJ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5" s="149" t="n">
        <f aca="false">race_lumber_bonus+ IF(TblMagic[[#This Row],[Active Gaia''s Blessing]]&gt;0,gaias_blessing_lumber)+ tech_1_3*TblTech[[#This Row],[1-3]] + tech_1_6*TblTech[[#This Row],[1-6]] + tech_3_3*TblTech[[#This Row],[3-3]]</f>
        <v>-0.1</v>
      </c>
      <c r="AL105" s="149" t="n">
        <f aca="false">race_mana_bonus+ 0 + TblImps[[#This Row],[Towers]] + tech_1_2*TblTech[[#This Row],[1-2]] + tech_3_4*TblTech[[#This Row],[3-4]]</f>
        <v>0</v>
      </c>
      <c r="AM105" s="149" t="n">
        <f aca="false">race_ore_bonus + IF(TblMagic[[#This Row],[Active Miner''s Sight]]&gt;0,miners_sight_bonus,IF(TblMagic[[#This Row],[Active Mining Strength]]&gt;0,mining_strength_bonus)) +  tech_1_6*TblTech[[#This Row],[1-6]]</f>
        <v>0</v>
      </c>
      <c r="AN105" s="149" t="n">
        <f aca="false">race_gem_bonus+ tech_3_2*TblTech[[#This Row],[3-2]] + tech_4_3*TblTech[[#This Row],[4-3]] + tech_6_2*TblTech[[#This Row],[6-2]]</f>
        <v>0.15</v>
      </c>
      <c r="AO105" s="132"/>
      <c r="AP105" s="69" t="n">
        <f aca="false">TblProd[[#This Row],[Food]]*food_decay * (1 + tech_2_1*TblTech[[#This Row],[2-1]] + tech_2_8*TblTech[[#This Row],[2-8]])</f>
        <v>3375.51</v>
      </c>
      <c r="AQ105" s="69" t="n">
        <f aca="false">(1+race_food_consumption)*TblPop[[#This Row],[Total]]*food_per_person*(1+tech_1_10*TblTech[[#This Row],[1-10]]+tech_7_5*TblTech[[#This Row],[7-5]])</f>
        <v>3162.25</v>
      </c>
      <c r="AR105" s="69" t="n">
        <f aca="false">TblProd[[#This Row],[Lumber]]*lumber_rot * (1 + tech_2_1*TblTech[[#This Row],[2-1]] + tech_2_8*TblTech[[#This Row],[2-8]] + tech_5_2*TblTech[[#This Row],[5-2]])</f>
        <v>4662.47</v>
      </c>
      <c r="AS105" s="69" t="n">
        <f aca="false">TblProd[[#This Row],[Mana]]*mana_drain * (1 + tech_2_1*TblTech[[#This Row],[2-1]] + tech_2_8*TblTech[[#This Row],[2-8]])</f>
        <v>4778.72</v>
      </c>
      <c r="AT105" s="146"/>
      <c r="AU105" s="69" t="n">
        <f aca="false">TblExplore[[#This Row],[Platinum (2)]]+TblConstr[[#This Row],[Total Plat Cost]]+TblMili[[#This Row],[Plat Cost]]+TblRezone[[#This Row],[Platinum cost]]+TblImps[[#This Row],[P1]]-TblProd[[#This Row],[Bank Plat]]</f>
        <v>-65340</v>
      </c>
      <c r="AV105" s="69" t="n">
        <f aca="false">TblConstr[[#This Row],[Total Lum Cost]]+TblImps[[#This Row],[L1]]-TblProd[[#This Row],[Bank Lumber]] + Military!$CL$25*TblMili[[#This Row],[Sec. rec. Cost]]</f>
        <v>-10800</v>
      </c>
      <c r="AW105" s="69" t="n">
        <f aca="false">TblMagic[[#This Row],[Mana cost]] + Military!$CL$26*TblMili[[#This Row],[Sec. rec. Cost]]</f>
        <v>0</v>
      </c>
      <c r="AX105" s="69" t="n">
        <f aca="false">Military!$CL$24*TblMili[[#This Row],[Sec. rec. Cost]]+TblImps[[#This Row],[O1]]-TblProd[[#This Row],[Bank Ore]]</f>
        <v>0</v>
      </c>
      <c r="AY105" s="69" t="n">
        <f aca="false">TblImps[[#This Row],[G1]]-TblProd[[#This Row],[Bank Gems]]</f>
        <v>0</v>
      </c>
      <c r="AZ105" s="132"/>
      <c r="BA105" s="33" t="n">
        <f aca="false">IF(TblProd[[#This Row],[Set Guard]]&lt;&gt;"",TblProd[[#This Row],[Set Guard]],OFFSET(TblProd[[#This Row],[Guard]],-1,0))</f>
        <v>0</v>
      </c>
      <c r="BB105" s="145"/>
      <c r="BC105" s="151" t="n">
        <f aca="false">TblProd[[#This Row],[Hour]]</f>
        <v>30</v>
      </c>
      <c r="BD105" s="152" t="n">
        <f aca="false">-TblProd[[#This Row],[Bank Lumber]] / 2 + -TblProd[[#This Row],[Bank Gems]] * 2 + -TblProd[[#This Row],[Bank Ore]] / 2</f>
        <v>0</v>
      </c>
      <c r="BE105" s="152"/>
      <c r="BF105" s="152"/>
      <c r="BG105" s="152"/>
      <c r="BH105" s="153" t="n">
        <f aca="false">TblProd[[#This Row],[Time]]</f>
        <v>45433.9583333333</v>
      </c>
      <c r="BI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J105" s="69" t="n">
        <f aca="false">TblProd[[#This Row],[Platinum]]</f>
        <v>4465395</v>
      </c>
      <c r="BK105" s="69" t="n">
        <f aca="false">TblProd[[#This Row],[Food]]</f>
        <v>337551</v>
      </c>
      <c r="BL105" s="69" t="n">
        <f aca="false">TblProd[[#This Row],[Lumber]]</f>
        <v>466247</v>
      </c>
      <c r="BM105" s="69" t="n">
        <f aca="false">TblProd[[#This Row],[Mana]]</f>
        <v>238936</v>
      </c>
      <c r="BN105" s="69" t="n">
        <f aca="false">TblProd[[#This Row],[Ore]]</f>
        <v>-357</v>
      </c>
    </row>
    <row r="106" customFormat="false" ht="12.75" hidden="false" customHeight="false" outlineLevel="0" collapsed="false">
      <c r="A106" s="128" t="n">
        <v>31</v>
      </c>
      <c r="B106" s="144" t="n">
        <f aca="false">TblImps[[#This Row],[Time]]</f>
        <v>45434</v>
      </c>
      <c r="C106" s="145"/>
      <c r="D106" s="146"/>
      <c r="E106" s="69" t="n">
        <f aca="false">TblConstr[[#This Row],[Land]]</f>
        <v>646</v>
      </c>
      <c r="F106" s="69" t="n">
        <f aca="false">TblPop[[#This Row],[Peasants]]</f>
        <v>7188</v>
      </c>
      <c r="G106" s="69"/>
      <c r="H106" s="69" t="e">
        <f aca="false">TblMili[[#This Row],[Networth (2)]]</f>
        <v>#VALUE!</v>
      </c>
      <c r="I106" s="69" t="n">
        <f aca="false">OFFSET(TblProd[[#This Row],[Platinum]],-1,0)+OFFSET(TblProd[[#This Row],[Plat/hr]],-1,0) - TblProd[[#This Row],[Expenses Platinum]] + IF(TblProd[[#This Row],[Plat Bonus]],TblPop[[#This Row],[Peasants]]*4) + SUM(TblConstr[[#This Row],[Dest Hom]:[Dest Doc]])*TblConstr[[#This Row],[CPA Platinum -DB]]*tech_3_3_2*TblTech[[#This Row],[3-3]]</f>
        <v>4569845</v>
      </c>
      <c r="J106" s="69" t="n">
        <f aca="false">OFFSET(TblProd[[#This Row],[Food]],-1,0)+OFFSET(TblProd[[#This Row],[Food/hr]],-1,0)+ROUNDUP((TblConstr[[#This Row],[Farms]]*80+TblConstr[[#This Row],[Docks]]*35)*(1+OFFSET(TblProd[[#This Row],[Bonus Food/hr]],-1,0)),0)</f>
        <v>334375</v>
      </c>
      <c r="K106" s="69" t="n">
        <f aca="false">OFFSET(TblProd[[#This Row],[Lumber]],-1,0)+OFFSET(TblProd[[#This Row],[Lumber/hr]],-1,0) - TblProd[[#This Row],[Expenses Lumber]] + SUM(TblConstr[[#This Row],[Dest Hom]:[Dest Doc]])*TblConstr[[#This Row],[CPA Lumber -DB]]*tech_3_3_2*TblTech[[#This Row],[3-3]]</f>
        <v>473510</v>
      </c>
      <c r="L106" s="69" t="n">
        <f aca="false">OFFSET(TblProd[[#This Row],[Mana]],-1,0)+OFFSET(TblProd[[#This Row],[Mana/hr]],-1,0)- TblProd[[#This Row],[Expenses Mana]]</f>
        <v>234882</v>
      </c>
      <c r="M106" s="69" t="n">
        <f aca="false">OFFSET(TblProd[[#This Row],[Ore]],-1,0)+OFFSET(TblProd[[#This Row],[Ore/hr]],-1,0) -TblProd[[#This Row],[Expenses Ore]]</f>
        <v>-357</v>
      </c>
      <c r="N106" s="69" t="n">
        <f aca="false">OFFSET(TblProd[[#This Row],[Gems]],-1,0)+OFFSET(TblProd[[#This Row],[Gems/hr]],-1,0) - TblProd[[#This Row],[Expenses Gems]]</f>
        <v>-1000</v>
      </c>
      <c r="O106" s="69" t="n">
        <f aca="false">OFFSET(TblProd[[#This Row],[Boats]],-1,0)+OFFSET(TblProd[[#This Row],[Boats/hr]],-1,0)</f>
        <v>64.2500000000001</v>
      </c>
      <c r="P106" s="69" t="n">
        <f aca="false">OFFSET(TblProd[[#This Row],[Prestige]],-1,0)</f>
        <v>250</v>
      </c>
      <c r="Q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6" s="69" t="n">
        <f aca="false">MAX(3750,_xlfn.CEILING.MATH(TblProd[[#This Row],[Land]]*2.5+OFFSET(TblTech[[#This Row],[Sum of tech]],-1,0)*150))</f>
        <v>3750</v>
      </c>
      <c r="S106" s="132"/>
      <c r="T106" s="69" t="n">
        <f aca="false">ROUNDDOWN(TblProd[[#This Row],[Raw Plat/hr]]*(1+TblProd[[#This Row],[Bonus Plat/hr]]),0)</f>
        <v>38893</v>
      </c>
      <c r="U106" s="69" t="n">
        <f aca="false">ROUND(TblProd[[#This Row],[Raw Food/hr]]*(1+TblProd[[#This Row],[Bonus Food/hr]])-TblProd[[#This Row],[Food decay]]-TblProd[[#This Row],[Food eaten]],0)</f>
        <v>-3144</v>
      </c>
      <c r="V106" s="69" t="n">
        <f aca="false">ROUND(TblProd[[#This Row],[Raw Lumber/hr]]*(1+TblProd[[#This Row],[Bonus Lumber/hr]])-TblProd[[#This Row],[Lumber rot]],0)</f>
        <v>-3610</v>
      </c>
      <c r="W106" s="69" t="n">
        <f aca="false">ROUND(TblProd[[#This Row],[Raw Mana/hr]]*(1+TblProd[[#This Row],[Bonus Mana/hr]])-TblProd[[#This Row],[Mana drain]],0)</f>
        <v>-3973</v>
      </c>
      <c r="X106" s="69" t="n">
        <f aca="false">ROUNDDOWN(TblProd[[#This Row],[Raw Ore/hr]]*(1+TblProd[[#This Row],[Bonux Ore/hr]]),0)</f>
        <v>0</v>
      </c>
      <c r="Y106" s="69" t="n">
        <f aca="false">ROUNDDOWN(TblProd[[#This Row],[Raw Gems/hr]]*(1+TblProd[[#This Row],[Bonus Gems/hr]]),0)</f>
        <v>0</v>
      </c>
      <c r="Z106" s="148" t="n">
        <f aca="false">OFFSET(TblConstr[[#This Row],[Tot Doc]],1,0)*dock_boats_hr * (1 + tech_4_1*TblTech[[#This Row],[4-1]])</f>
        <v>1.2</v>
      </c>
      <c r="AA106" s="146"/>
      <c r="AB106" s="69" t="n">
        <f aca="false">TblPop[[#This Row],[Peasants]]*tax*TblPop[[#This Row],[Employment]] + (Construction!AZ107+Construction!BX107)*(alch_plat+(Magic!AM106&gt;0)*alchemist_flame_bonus)</f>
        <v>35357.6</v>
      </c>
      <c r="AC106" s="69" t="n">
        <f aca="false">TblConstr[[#This Row],[Tot Farm]]*farm_food + TblConstr[[#This Row],[Tot Doc]]*dock_food</f>
        <v>3280</v>
      </c>
      <c r="AD106" s="69" t="n">
        <f aca="false">TblConstr[[#This Row],[Tot Ly]]*ly_lumber + TblConstr[[#This Row],[Tot Hav]]*fh_lumber</f>
        <v>1250</v>
      </c>
      <c r="AE106" s="69" t="n">
        <f aca="false">OFFSET(TblConstr[[#This Row],[Tot Tow]],1,0)*(tower_mana + tech_4_5*TblTech[[#This Row],[4-5]]) + OFFSET(TblConstr[[#This Row],[Tot WG]],1,0)*wg_mana_prod</f>
        <v>725</v>
      </c>
      <c r="AF106" s="69" t="n">
        <f aca="false">OFFSET(TblConstr[[#This Row],[Tot OM]],1,0)*om_ore+IF(race="Dwarf",ROUNDDOWN(TblMili[[#This Row],[Unit 2]]*0.4,0),)</f>
        <v>0</v>
      </c>
      <c r="AG106" s="69" t="n">
        <f aca="false">OFFSET(TblConstr[[#This Row],[Tot DM]],1,0)*dm_gems</f>
        <v>0</v>
      </c>
      <c r="AH106" s="132"/>
      <c r="AI106" s="149" t="n">
        <f aca="false">MIN(race_platinum_bonus + IF(TblMagic[[#This Row],[Active Alch Frost]]&gt;0,alch_frost_bonus,IF(Magic!AD106&gt;0,midas_bonus)) + TblImps[[#This Row],[Science]] - TblProd[[#This Row],[Guard]]*(0.02 + tech_5_7*TblTech[[#This Row],[5-7]]) + tech_1_5*TblTech[[#This Row],[1-5]] + tech_4_4*TblTech[[#This Row],[4-4]], 0.5)</f>
        <v>0.1</v>
      </c>
      <c r="AJ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6" s="149" t="n">
        <f aca="false">race_lumber_bonus+ IF(TblMagic[[#This Row],[Active Gaia''s Blessing]]&gt;0,gaias_blessing_lumber)+ tech_1_3*TblTech[[#This Row],[1-3]] + tech_1_6*TblTech[[#This Row],[1-6]] + tech_3_3*TblTech[[#This Row],[3-3]]</f>
        <v>-0.1</v>
      </c>
      <c r="AL106" s="149" t="n">
        <f aca="false">race_mana_bonus+ 0 + TblImps[[#This Row],[Towers]] + tech_1_2*TblTech[[#This Row],[1-2]] + tech_3_4*TblTech[[#This Row],[3-4]]</f>
        <v>0</v>
      </c>
      <c r="AM106" s="149" t="n">
        <f aca="false">race_ore_bonus + IF(TblMagic[[#This Row],[Active Miner''s Sight]]&gt;0,miners_sight_bonus,IF(TblMagic[[#This Row],[Active Mining Strength]]&gt;0,mining_strength_bonus)) +  tech_1_6*TblTech[[#This Row],[1-6]]</f>
        <v>0</v>
      </c>
      <c r="AN106" s="149" t="n">
        <f aca="false">race_gem_bonus+ tech_3_2*TblTech[[#This Row],[3-2]] + tech_4_3*TblTech[[#This Row],[4-3]] + tech_6_2*TblTech[[#This Row],[6-2]]</f>
        <v>0.15</v>
      </c>
      <c r="AO106" s="132"/>
      <c r="AP106" s="69" t="n">
        <f aca="false">TblProd[[#This Row],[Food]]*food_decay * (1 + tech_2_1*TblTech[[#This Row],[2-1]] + tech_2_8*TblTech[[#This Row],[2-8]])</f>
        <v>3343.75</v>
      </c>
      <c r="AQ106" s="69" t="n">
        <f aca="false">(1+race_food_consumption)*TblPop[[#This Row],[Total]]*food_per_person*(1+tech_1_10*TblTech[[#This Row],[1-10]]+tech_7_5*TblTech[[#This Row],[7-5]])</f>
        <v>3162.25</v>
      </c>
      <c r="AR106" s="69" t="n">
        <f aca="false">TblProd[[#This Row],[Lumber]]*lumber_rot * (1 + tech_2_1*TblTech[[#This Row],[2-1]] + tech_2_8*TblTech[[#This Row],[2-8]] + tech_5_2*TblTech[[#This Row],[5-2]])</f>
        <v>4735.1</v>
      </c>
      <c r="AS106" s="69" t="n">
        <f aca="false">TblProd[[#This Row],[Mana]]*mana_drain * (1 + tech_2_1*TblTech[[#This Row],[2-1]] + tech_2_8*TblTech[[#This Row],[2-8]])</f>
        <v>4697.64</v>
      </c>
      <c r="AT106" s="146"/>
      <c r="AU106" s="69" t="n">
        <f aca="false">TblExplore[[#This Row],[Platinum (2)]]+TblConstr[[#This Row],[Total Plat Cost]]+TblMili[[#This Row],[Plat Cost]]+TblRezone[[#This Row],[Platinum cost]]+TblImps[[#This Row],[P1]]-TblProd[[#This Row],[Bank Plat]]</f>
        <v>-65340</v>
      </c>
      <c r="AV106" s="69" t="n">
        <f aca="false">TblConstr[[#This Row],[Total Lum Cost]]+TblImps[[#This Row],[L1]]-TblProd[[#This Row],[Bank Lumber]] + Military!$CL$25*TblMili[[#This Row],[Sec. rec. Cost]]</f>
        <v>-10800</v>
      </c>
      <c r="AW106" s="69" t="n">
        <f aca="false">TblMagic[[#This Row],[Mana cost]] + Military!$CL$26*TblMili[[#This Row],[Sec. rec. Cost]]</f>
        <v>0</v>
      </c>
      <c r="AX106" s="69" t="n">
        <f aca="false">Military!$CL$24*TblMili[[#This Row],[Sec. rec. Cost]]+TblImps[[#This Row],[O1]]-TblProd[[#This Row],[Bank Ore]]</f>
        <v>0</v>
      </c>
      <c r="AY106" s="69" t="n">
        <f aca="false">TblImps[[#This Row],[G1]]-TblProd[[#This Row],[Bank Gems]]</f>
        <v>0</v>
      </c>
      <c r="AZ106" s="132"/>
      <c r="BA106" s="33" t="n">
        <f aca="false">IF(TblProd[[#This Row],[Set Guard]]&lt;&gt;"",TblProd[[#This Row],[Set Guard]],OFFSET(TblProd[[#This Row],[Guard]],-1,0))</f>
        <v>0</v>
      </c>
      <c r="BB106" s="145"/>
      <c r="BC106" s="151" t="n">
        <f aca="false">TblProd[[#This Row],[Hour]]</f>
        <v>31</v>
      </c>
      <c r="BD106" s="152" t="n">
        <f aca="false">-TblProd[[#This Row],[Bank Lumber]] / 2 + -TblProd[[#This Row],[Bank Gems]] * 2 + -TblProd[[#This Row],[Bank Ore]] / 2</f>
        <v>0</v>
      </c>
      <c r="BE106" s="152"/>
      <c r="BF106" s="152"/>
      <c r="BG106" s="152"/>
      <c r="BH106" s="153" t="n">
        <f aca="false">TblProd[[#This Row],[Time]]</f>
        <v>45434</v>
      </c>
      <c r="BI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J106" s="69" t="n">
        <f aca="false">TblProd[[#This Row],[Platinum]]</f>
        <v>4569845</v>
      </c>
      <c r="BK106" s="69" t="n">
        <f aca="false">TblProd[[#This Row],[Food]]</f>
        <v>334375</v>
      </c>
      <c r="BL106" s="69" t="n">
        <f aca="false">TblProd[[#This Row],[Lumber]]</f>
        <v>473510</v>
      </c>
      <c r="BM106" s="69" t="n">
        <f aca="false">TblProd[[#This Row],[Mana]]</f>
        <v>234882</v>
      </c>
      <c r="BN106" s="69" t="n">
        <f aca="false">TblProd[[#This Row],[Ore]]</f>
        <v>-357</v>
      </c>
    </row>
    <row r="107" customFormat="false" ht="12.75" hidden="false" customHeight="false" outlineLevel="0" collapsed="false">
      <c r="A107" s="128" t="n">
        <v>32</v>
      </c>
      <c r="B107" s="144" t="n">
        <f aca="false">TblImps[[#This Row],[Time]]</f>
        <v>45434.0416666667</v>
      </c>
      <c r="C107" s="145"/>
      <c r="D107" s="146"/>
      <c r="E107" s="69" t="n">
        <f aca="false">TblConstr[[#This Row],[Land]]</f>
        <v>646</v>
      </c>
      <c r="F107" s="69" t="n">
        <f aca="false">TblPop[[#This Row],[Peasants]]</f>
        <v>7116</v>
      </c>
      <c r="G107" s="69"/>
      <c r="H107" s="69" t="e">
        <f aca="false">TblMili[[#This Row],[Networth (2)]]</f>
        <v>#VALUE!</v>
      </c>
      <c r="I107" s="69" t="n">
        <f aca="false">OFFSET(TblProd[[#This Row],[Platinum]],-1,0)+OFFSET(TblProd[[#This Row],[Plat/hr]],-1,0) - TblProd[[#This Row],[Expenses Platinum]] + IF(TblProd[[#This Row],[Plat Bonus]],TblPop[[#This Row],[Peasants]]*4) + SUM(TblConstr[[#This Row],[Dest Hom]:[Dest Doc]])*TblConstr[[#This Row],[CPA Platinum -DB]]*tech_3_3_2*TblTech[[#This Row],[3-3]]</f>
        <v>4674078</v>
      </c>
      <c r="J107" s="69" t="n">
        <f aca="false">OFFSET(TblProd[[#This Row],[Food]],-1,0)+OFFSET(TblProd[[#This Row],[Food/hr]],-1,0)+ROUNDUP((TblConstr[[#This Row],[Farms]]*80+TblConstr[[#This Row],[Docks]]*35)*(1+OFFSET(TblProd[[#This Row],[Bonus Food/hr]],-1,0)),0)</f>
        <v>331231</v>
      </c>
      <c r="K107" s="69" t="n">
        <f aca="false">OFFSET(TblProd[[#This Row],[Lumber]],-1,0)+OFFSET(TblProd[[#This Row],[Lumber/hr]],-1,0) - TblProd[[#This Row],[Expenses Lumber]] + SUM(TblConstr[[#This Row],[Dest Hom]:[Dest Doc]])*TblConstr[[#This Row],[CPA Lumber -DB]]*tech_3_3_2*TblTech[[#This Row],[3-3]]</f>
        <v>480700</v>
      </c>
      <c r="L107" s="69" t="n">
        <f aca="false">OFFSET(TblProd[[#This Row],[Mana]],-1,0)+OFFSET(TblProd[[#This Row],[Mana/hr]],-1,0)- TblProd[[#This Row],[Expenses Mana]]</f>
        <v>230909</v>
      </c>
      <c r="M107" s="69" t="n">
        <f aca="false">OFFSET(TblProd[[#This Row],[Ore]],-1,0)+OFFSET(TblProd[[#This Row],[Ore/hr]],-1,0) -TblProd[[#This Row],[Expenses Ore]]</f>
        <v>-357</v>
      </c>
      <c r="N107" s="69" t="n">
        <f aca="false">OFFSET(TblProd[[#This Row],[Gems]],-1,0)+OFFSET(TblProd[[#This Row],[Gems/hr]],-1,0) - TblProd[[#This Row],[Expenses Gems]]</f>
        <v>-1000</v>
      </c>
      <c r="O107" s="69" t="n">
        <f aca="false">OFFSET(TblProd[[#This Row],[Boats]],-1,0)+OFFSET(TblProd[[#This Row],[Boats/hr]],-1,0)</f>
        <v>65.4500000000001</v>
      </c>
      <c r="P107" s="69" t="n">
        <f aca="false">OFFSET(TblProd[[#This Row],[Prestige]],-1,0)</f>
        <v>250</v>
      </c>
      <c r="Q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7" s="69" t="n">
        <f aca="false">MAX(3750,_xlfn.CEILING.MATH(TblProd[[#This Row],[Land]]*2.5+OFFSET(TblTech[[#This Row],[Sum of tech]],-1,0)*150))</f>
        <v>3750</v>
      </c>
      <c r="S107" s="132"/>
      <c r="T107" s="69" t="n">
        <f aca="false">ROUNDDOWN(TblProd[[#This Row],[Raw Plat/hr]]*(1+TblProd[[#This Row],[Bonus Plat/hr]]),0)</f>
        <v>38679</v>
      </c>
      <c r="U107" s="69" t="n">
        <f aca="false">ROUND(TblProd[[#This Row],[Raw Food/hr]]*(1+TblProd[[#This Row],[Bonus Food/hr]])-TblProd[[#This Row],[Food decay]]-TblProd[[#This Row],[Food eaten]],0)</f>
        <v>-3113</v>
      </c>
      <c r="V107" s="69" t="n">
        <f aca="false">ROUND(TblProd[[#This Row],[Raw Lumber/hr]]*(1+TblProd[[#This Row],[Bonus Lumber/hr]])-TblProd[[#This Row],[Lumber rot]],0)</f>
        <v>-3682</v>
      </c>
      <c r="W107" s="69" t="n">
        <f aca="false">ROUND(TblProd[[#This Row],[Raw Mana/hr]]*(1+TblProd[[#This Row],[Bonus Mana/hr]])-TblProd[[#This Row],[Mana drain]],0)</f>
        <v>-3893</v>
      </c>
      <c r="X107" s="69" t="n">
        <f aca="false">ROUNDDOWN(TblProd[[#This Row],[Raw Ore/hr]]*(1+TblProd[[#This Row],[Bonux Ore/hr]]),0)</f>
        <v>0</v>
      </c>
      <c r="Y107" s="69" t="n">
        <f aca="false">ROUNDDOWN(TblProd[[#This Row],[Raw Gems/hr]]*(1+TblProd[[#This Row],[Bonus Gems/hr]]),0)</f>
        <v>0</v>
      </c>
      <c r="Z107" s="148" t="n">
        <f aca="false">OFFSET(TblConstr[[#This Row],[Tot Doc]],1,0)*dock_boats_hr * (1 + tech_4_1*TblTech[[#This Row],[4-1]])</f>
        <v>1.2</v>
      </c>
      <c r="AA107" s="146"/>
      <c r="AB107" s="69" t="n">
        <f aca="false">TblPop[[#This Row],[Peasants]]*tax*TblPop[[#This Row],[Employment]] + (Construction!AZ108+Construction!BX108)*(alch_plat+(Magic!AM107&gt;0)*alchemist_flame_bonus)</f>
        <v>35163.2</v>
      </c>
      <c r="AC107" s="69" t="n">
        <f aca="false">TblConstr[[#This Row],[Tot Farm]]*farm_food + TblConstr[[#This Row],[Tot Doc]]*dock_food</f>
        <v>3280</v>
      </c>
      <c r="AD107" s="69" t="n">
        <f aca="false">TblConstr[[#This Row],[Tot Ly]]*ly_lumber + TblConstr[[#This Row],[Tot Hav]]*fh_lumber</f>
        <v>1250</v>
      </c>
      <c r="AE107" s="69" t="n">
        <f aca="false">OFFSET(TblConstr[[#This Row],[Tot Tow]],1,0)*(tower_mana + tech_4_5*TblTech[[#This Row],[4-5]]) + OFFSET(TblConstr[[#This Row],[Tot WG]],1,0)*wg_mana_prod</f>
        <v>725</v>
      </c>
      <c r="AF107" s="69" t="n">
        <f aca="false">OFFSET(TblConstr[[#This Row],[Tot OM]],1,0)*om_ore+IF(race="Dwarf",ROUNDDOWN(TblMili[[#This Row],[Unit 2]]*0.4,0),)</f>
        <v>0</v>
      </c>
      <c r="AG107" s="69" t="n">
        <f aca="false">OFFSET(TblConstr[[#This Row],[Tot DM]],1,0)*dm_gems</f>
        <v>0</v>
      </c>
      <c r="AH107" s="132"/>
      <c r="AI107" s="149" t="n">
        <f aca="false">MIN(race_platinum_bonus + IF(TblMagic[[#This Row],[Active Alch Frost]]&gt;0,alch_frost_bonus,IF(Magic!AD107&gt;0,midas_bonus)) + TblImps[[#This Row],[Science]] - TblProd[[#This Row],[Guard]]*(0.02 + tech_5_7*TblTech[[#This Row],[5-7]]) + tech_1_5*TblTech[[#This Row],[1-5]] + tech_4_4*TblTech[[#This Row],[4-4]], 0.5)</f>
        <v>0.1</v>
      </c>
      <c r="AJ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7" s="149" t="n">
        <f aca="false">race_lumber_bonus+ IF(TblMagic[[#This Row],[Active Gaia''s Blessing]]&gt;0,gaias_blessing_lumber)+ tech_1_3*TblTech[[#This Row],[1-3]] + tech_1_6*TblTech[[#This Row],[1-6]] + tech_3_3*TblTech[[#This Row],[3-3]]</f>
        <v>-0.1</v>
      </c>
      <c r="AL107" s="149" t="n">
        <f aca="false">race_mana_bonus+ 0 + TblImps[[#This Row],[Towers]] + tech_1_2*TblTech[[#This Row],[1-2]] + tech_3_4*TblTech[[#This Row],[3-4]]</f>
        <v>0</v>
      </c>
      <c r="AM107" s="149" t="n">
        <f aca="false">race_ore_bonus + IF(TblMagic[[#This Row],[Active Miner''s Sight]]&gt;0,miners_sight_bonus,IF(TblMagic[[#This Row],[Active Mining Strength]]&gt;0,mining_strength_bonus)) +  tech_1_6*TblTech[[#This Row],[1-6]]</f>
        <v>0</v>
      </c>
      <c r="AN107" s="149" t="n">
        <f aca="false">race_gem_bonus+ tech_3_2*TblTech[[#This Row],[3-2]] + tech_4_3*TblTech[[#This Row],[4-3]] + tech_6_2*TblTech[[#This Row],[6-2]]</f>
        <v>0.15</v>
      </c>
      <c r="AO107" s="132"/>
      <c r="AP107" s="69" t="n">
        <f aca="false">TblProd[[#This Row],[Food]]*food_decay * (1 + tech_2_1*TblTech[[#This Row],[2-1]] + tech_2_8*TblTech[[#This Row],[2-8]])</f>
        <v>3312.31</v>
      </c>
      <c r="AQ107" s="69" t="n">
        <f aca="false">(1+race_food_consumption)*TblPop[[#This Row],[Total]]*food_per_person*(1+tech_1_10*TblTech[[#This Row],[1-10]]+tech_7_5*TblTech[[#This Row],[7-5]])</f>
        <v>3162.25</v>
      </c>
      <c r="AR107" s="69" t="n">
        <f aca="false">TblProd[[#This Row],[Lumber]]*lumber_rot * (1 + tech_2_1*TblTech[[#This Row],[2-1]] + tech_2_8*TblTech[[#This Row],[2-8]] + tech_5_2*TblTech[[#This Row],[5-2]])</f>
        <v>4807</v>
      </c>
      <c r="AS107" s="69" t="n">
        <f aca="false">TblProd[[#This Row],[Mana]]*mana_drain * (1 + tech_2_1*TblTech[[#This Row],[2-1]] + tech_2_8*TblTech[[#This Row],[2-8]])</f>
        <v>4618.18</v>
      </c>
      <c r="AT107" s="146"/>
      <c r="AU107" s="69" t="n">
        <f aca="false">TblExplore[[#This Row],[Platinum (2)]]+TblConstr[[#This Row],[Total Plat Cost]]+TblMili[[#This Row],[Plat Cost]]+TblRezone[[#This Row],[Platinum cost]]+TblImps[[#This Row],[P1]]-TblProd[[#This Row],[Bank Plat]]</f>
        <v>-65340</v>
      </c>
      <c r="AV107" s="69" t="n">
        <f aca="false">TblConstr[[#This Row],[Total Lum Cost]]+TblImps[[#This Row],[L1]]-TblProd[[#This Row],[Bank Lumber]] + Military!$CL$25*TblMili[[#This Row],[Sec. rec. Cost]]</f>
        <v>-10800</v>
      </c>
      <c r="AW107" s="69" t="n">
        <f aca="false">TblMagic[[#This Row],[Mana cost]] + Military!$CL$26*TblMili[[#This Row],[Sec. rec. Cost]]</f>
        <v>0</v>
      </c>
      <c r="AX107" s="69" t="n">
        <f aca="false">Military!$CL$24*TblMili[[#This Row],[Sec. rec. Cost]]+TblImps[[#This Row],[O1]]-TblProd[[#This Row],[Bank Ore]]</f>
        <v>0</v>
      </c>
      <c r="AY107" s="69" t="n">
        <f aca="false">TblImps[[#This Row],[G1]]-TblProd[[#This Row],[Bank Gems]]</f>
        <v>0</v>
      </c>
      <c r="AZ107" s="132"/>
      <c r="BA107" s="33" t="n">
        <f aca="false">IF(TblProd[[#This Row],[Set Guard]]&lt;&gt;"",TblProd[[#This Row],[Set Guard]],OFFSET(TblProd[[#This Row],[Guard]],-1,0))</f>
        <v>0</v>
      </c>
      <c r="BB107" s="145"/>
      <c r="BC107" s="151" t="n">
        <f aca="false">TblProd[[#This Row],[Hour]]</f>
        <v>32</v>
      </c>
      <c r="BD107" s="152" t="n">
        <f aca="false">-TblProd[[#This Row],[Bank Lumber]] / 2 + -TblProd[[#This Row],[Bank Gems]] * 2 + -TblProd[[#This Row],[Bank Ore]] / 2</f>
        <v>0</v>
      </c>
      <c r="BE107" s="152"/>
      <c r="BF107" s="152"/>
      <c r="BG107" s="152"/>
      <c r="BH107" s="153" t="n">
        <f aca="false">TblProd[[#This Row],[Time]]</f>
        <v>45434.0416666667</v>
      </c>
      <c r="BI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J107" s="69" t="n">
        <f aca="false">TblProd[[#This Row],[Platinum]]</f>
        <v>4674078</v>
      </c>
      <c r="BK107" s="69" t="n">
        <f aca="false">TblProd[[#This Row],[Food]]</f>
        <v>331231</v>
      </c>
      <c r="BL107" s="69" t="n">
        <f aca="false">TblProd[[#This Row],[Lumber]]</f>
        <v>480700</v>
      </c>
      <c r="BM107" s="69" t="n">
        <f aca="false">TblProd[[#This Row],[Mana]]</f>
        <v>230909</v>
      </c>
      <c r="BN107" s="69" t="n">
        <f aca="false">TblProd[[#This Row],[Ore]]</f>
        <v>-357</v>
      </c>
    </row>
    <row r="108" customFormat="false" ht="12.75" hidden="false" customHeight="false" outlineLevel="0" collapsed="false">
      <c r="A108" s="128" t="n">
        <v>33</v>
      </c>
      <c r="B108" s="144" t="n">
        <f aca="false">TblImps[[#This Row],[Time]]</f>
        <v>45434.0833333333</v>
      </c>
      <c r="C108" s="145"/>
      <c r="D108" s="146"/>
      <c r="E108" s="69" t="n">
        <f aca="false">TblConstr[[#This Row],[Land]]</f>
        <v>646</v>
      </c>
      <c r="F108" s="69" t="n">
        <f aca="false">TblPop[[#This Row],[Peasants]]</f>
        <v>7045</v>
      </c>
      <c r="G108" s="69"/>
      <c r="H108" s="69" t="e">
        <f aca="false">TblMili[[#This Row],[Networth (2)]]</f>
        <v>#VALUE!</v>
      </c>
      <c r="I108" s="69" t="n">
        <f aca="false">OFFSET(TblProd[[#This Row],[Platinum]],-1,0)+OFFSET(TblProd[[#This Row],[Plat/hr]],-1,0) - TblProd[[#This Row],[Expenses Platinum]] + IF(TblProd[[#This Row],[Plat Bonus]],TblPop[[#This Row],[Peasants]]*4) + SUM(TblConstr[[#This Row],[Dest Hom]:[Dest Doc]])*TblConstr[[#This Row],[CPA Platinum -DB]]*tech_3_3_2*TblTech[[#This Row],[3-3]]</f>
        <v>4778097</v>
      </c>
      <c r="J108" s="69" t="n">
        <f aca="false">OFFSET(TblProd[[#This Row],[Food]],-1,0)+OFFSET(TblProd[[#This Row],[Food/hr]],-1,0)+ROUNDUP((TblConstr[[#This Row],[Farms]]*80+TblConstr[[#This Row],[Docks]]*35)*(1+OFFSET(TblProd[[#This Row],[Bonus Food/hr]],-1,0)),0)</f>
        <v>328118</v>
      </c>
      <c r="K108" s="69" t="n">
        <f aca="false">OFFSET(TblProd[[#This Row],[Lumber]],-1,0)+OFFSET(TblProd[[#This Row],[Lumber/hr]],-1,0) - TblProd[[#This Row],[Expenses Lumber]] + SUM(TblConstr[[#This Row],[Dest Hom]:[Dest Doc]])*TblConstr[[#This Row],[CPA Lumber -DB]]*tech_3_3_2*TblTech[[#This Row],[3-3]]</f>
        <v>487818</v>
      </c>
      <c r="L108" s="69" t="n">
        <f aca="false">OFFSET(TblProd[[#This Row],[Mana]],-1,0)+OFFSET(TblProd[[#This Row],[Mana/hr]],-1,0)- TblProd[[#This Row],[Expenses Mana]]</f>
        <v>227016</v>
      </c>
      <c r="M108" s="69" t="n">
        <f aca="false">OFFSET(TblProd[[#This Row],[Ore]],-1,0)+OFFSET(TblProd[[#This Row],[Ore/hr]],-1,0) -TblProd[[#This Row],[Expenses Ore]]</f>
        <v>-357</v>
      </c>
      <c r="N108" s="69" t="n">
        <f aca="false">OFFSET(TblProd[[#This Row],[Gems]],-1,0)+OFFSET(TblProd[[#This Row],[Gems/hr]],-1,0) - TblProd[[#This Row],[Expenses Gems]]</f>
        <v>-1000</v>
      </c>
      <c r="O108" s="69" t="n">
        <f aca="false">OFFSET(TblProd[[#This Row],[Boats]],-1,0)+OFFSET(TblProd[[#This Row],[Boats/hr]],-1,0)</f>
        <v>66.6500000000001</v>
      </c>
      <c r="P108" s="69" t="n">
        <f aca="false">OFFSET(TblProd[[#This Row],[Prestige]],-1,0)</f>
        <v>250</v>
      </c>
      <c r="Q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8" s="69" t="n">
        <f aca="false">MAX(3750,_xlfn.CEILING.MATH(TblProd[[#This Row],[Land]]*2.5+OFFSET(TblTech[[#This Row],[Sum of tech]],-1,0)*150))</f>
        <v>3750</v>
      </c>
      <c r="S108" s="132"/>
      <c r="T108" s="69" t="n">
        <f aca="false">ROUNDDOWN(TblProd[[#This Row],[Raw Plat/hr]]*(1+TblProd[[#This Row],[Bonus Plat/hr]]),0)</f>
        <v>38468</v>
      </c>
      <c r="U108" s="69" t="n">
        <f aca="false">ROUND(TblProd[[#This Row],[Raw Food/hr]]*(1+TblProd[[#This Row],[Bonus Food/hr]])-TblProd[[#This Row],[Food decay]]-TblProd[[#This Row],[Food eaten]],0)</f>
        <v>-3081</v>
      </c>
      <c r="V108" s="69" t="n">
        <f aca="false">ROUND(TblProd[[#This Row],[Raw Lumber/hr]]*(1+TblProd[[#This Row],[Bonus Lumber/hr]])-TblProd[[#This Row],[Lumber rot]],0)</f>
        <v>-3753</v>
      </c>
      <c r="W108" s="69" t="n">
        <f aca="false">ROUND(TblProd[[#This Row],[Raw Mana/hr]]*(1+TblProd[[#This Row],[Bonus Mana/hr]])-TblProd[[#This Row],[Mana drain]],0)</f>
        <v>-3815</v>
      </c>
      <c r="X108" s="69" t="n">
        <f aca="false">ROUNDDOWN(TblProd[[#This Row],[Raw Ore/hr]]*(1+TblProd[[#This Row],[Bonux Ore/hr]]),0)</f>
        <v>0</v>
      </c>
      <c r="Y108" s="69" t="n">
        <f aca="false">ROUNDDOWN(TblProd[[#This Row],[Raw Gems/hr]]*(1+TblProd[[#This Row],[Bonus Gems/hr]]),0)</f>
        <v>0</v>
      </c>
      <c r="Z108" s="148" t="n">
        <f aca="false">OFFSET(TblConstr[[#This Row],[Tot Doc]],1,0)*dock_boats_hr * (1 + tech_4_1*TblTech[[#This Row],[4-1]])</f>
        <v>1.2</v>
      </c>
      <c r="AA108" s="146"/>
      <c r="AB108" s="69" t="n">
        <f aca="false">TblPop[[#This Row],[Peasants]]*tax*TblPop[[#This Row],[Employment]] + (Construction!AZ109+Construction!BX109)*(alch_plat+(Magic!AM108&gt;0)*alchemist_flame_bonus)</f>
        <v>34971.5</v>
      </c>
      <c r="AC108" s="69" t="n">
        <f aca="false">TblConstr[[#This Row],[Tot Farm]]*farm_food + TblConstr[[#This Row],[Tot Doc]]*dock_food</f>
        <v>3280</v>
      </c>
      <c r="AD108" s="69" t="n">
        <f aca="false">TblConstr[[#This Row],[Tot Ly]]*ly_lumber + TblConstr[[#This Row],[Tot Hav]]*fh_lumber</f>
        <v>1250</v>
      </c>
      <c r="AE108" s="69" t="n">
        <f aca="false">OFFSET(TblConstr[[#This Row],[Tot Tow]],1,0)*(tower_mana + tech_4_5*TblTech[[#This Row],[4-5]]) + OFFSET(TblConstr[[#This Row],[Tot WG]],1,0)*wg_mana_prod</f>
        <v>725</v>
      </c>
      <c r="AF108" s="69" t="n">
        <f aca="false">OFFSET(TblConstr[[#This Row],[Tot OM]],1,0)*om_ore+IF(race="Dwarf",ROUNDDOWN(TblMili[[#This Row],[Unit 2]]*0.4,0),)</f>
        <v>0</v>
      </c>
      <c r="AG108" s="69" t="n">
        <f aca="false">OFFSET(TblConstr[[#This Row],[Tot DM]],1,0)*dm_gems</f>
        <v>0</v>
      </c>
      <c r="AH108" s="132"/>
      <c r="AI108" s="149" t="n">
        <f aca="false">MIN(race_platinum_bonus + IF(TblMagic[[#This Row],[Active Alch Frost]]&gt;0,alch_frost_bonus,IF(Magic!AD108&gt;0,midas_bonus)) + TblImps[[#This Row],[Science]] - TblProd[[#This Row],[Guard]]*(0.02 + tech_5_7*TblTech[[#This Row],[5-7]]) + tech_1_5*TblTech[[#This Row],[1-5]] + tech_4_4*TblTech[[#This Row],[4-4]], 0.5)</f>
        <v>0.1</v>
      </c>
      <c r="AJ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8" s="149" t="n">
        <f aca="false">race_lumber_bonus+ IF(TblMagic[[#This Row],[Active Gaia''s Blessing]]&gt;0,gaias_blessing_lumber)+ tech_1_3*TblTech[[#This Row],[1-3]] + tech_1_6*TblTech[[#This Row],[1-6]] + tech_3_3*TblTech[[#This Row],[3-3]]</f>
        <v>-0.1</v>
      </c>
      <c r="AL108" s="149" t="n">
        <f aca="false">race_mana_bonus+ 0 + TblImps[[#This Row],[Towers]] + tech_1_2*TblTech[[#This Row],[1-2]] + tech_3_4*TblTech[[#This Row],[3-4]]</f>
        <v>0</v>
      </c>
      <c r="AM108" s="149" t="n">
        <f aca="false">race_ore_bonus + IF(TblMagic[[#This Row],[Active Miner''s Sight]]&gt;0,miners_sight_bonus,IF(TblMagic[[#This Row],[Active Mining Strength]]&gt;0,mining_strength_bonus)) +  tech_1_6*TblTech[[#This Row],[1-6]]</f>
        <v>0</v>
      </c>
      <c r="AN108" s="149" t="n">
        <f aca="false">race_gem_bonus+ tech_3_2*TblTech[[#This Row],[3-2]] + tech_4_3*TblTech[[#This Row],[4-3]] + tech_6_2*TblTech[[#This Row],[6-2]]</f>
        <v>0.15</v>
      </c>
      <c r="AO108" s="132"/>
      <c r="AP108" s="69" t="n">
        <f aca="false">TblProd[[#This Row],[Food]]*food_decay * (1 + tech_2_1*TblTech[[#This Row],[2-1]] + tech_2_8*TblTech[[#This Row],[2-8]])</f>
        <v>3281.18</v>
      </c>
      <c r="AQ108" s="69" t="n">
        <f aca="false">(1+race_food_consumption)*TblPop[[#This Row],[Total]]*food_per_person*(1+tech_1_10*TblTech[[#This Row],[1-10]]+tech_7_5*TblTech[[#This Row],[7-5]])</f>
        <v>3162.25</v>
      </c>
      <c r="AR108" s="69" t="n">
        <f aca="false">TblProd[[#This Row],[Lumber]]*lumber_rot * (1 + tech_2_1*TblTech[[#This Row],[2-1]] + tech_2_8*TblTech[[#This Row],[2-8]] + tech_5_2*TblTech[[#This Row],[5-2]])</f>
        <v>4878.18</v>
      </c>
      <c r="AS108" s="69" t="n">
        <f aca="false">TblProd[[#This Row],[Mana]]*mana_drain * (1 + tech_2_1*TblTech[[#This Row],[2-1]] + tech_2_8*TblTech[[#This Row],[2-8]])</f>
        <v>4540.32</v>
      </c>
      <c r="AT108" s="146"/>
      <c r="AU108" s="69" t="n">
        <f aca="false">TblExplore[[#This Row],[Platinum (2)]]+TblConstr[[#This Row],[Total Plat Cost]]+TblMili[[#This Row],[Plat Cost]]+TblRezone[[#This Row],[Platinum cost]]+TblImps[[#This Row],[P1]]-TblProd[[#This Row],[Bank Plat]]</f>
        <v>-65340</v>
      </c>
      <c r="AV108" s="69" t="n">
        <f aca="false">TblConstr[[#This Row],[Total Lum Cost]]+TblImps[[#This Row],[L1]]-TblProd[[#This Row],[Bank Lumber]] + Military!$CL$25*TblMili[[#This Row],[Sec. rec. Cost]]</f>
        <v>-10800</v>
      </c>
      <c r="AW108" s="69" t="n">
        <f aca="false">TblMagic[[#This Row],[Mana cost]] + Military!$CL$26*TblMili[[#This Row],[Sec. rec. Cost]]</f>
        <v>0</v>
      </c>
      <c r="AX108" s="69" t="n">
        <f aca="false">Military!$CL$24*TblMili[[#This Row],[Sec. rec. Cost]]+TblImps[[#This Row],[O1]]-TblProd[[#This Row],[Bank Ore]]</f>
        <v>0</v>
      </c>
      <c r="AY108" s="69" t="n">
        <f aca="false">TblImps[[#This Row],[G1]]-TblProd[[#This Row],[Bank Gems]]</f>
        <v>0</v>
      </c>
      <c r="AZ108" s="132"/>
      <c r="BA108" s="33" t="n">
        <f aca="false">IF(TblProd[[#This Row],[Set Guard]]&lt;&gt;"",TblProd[[#This Row],[Set Guard]],OFFSET(TblProd[[#This Row],[Guard]],-1,0))</f>
        <v>0</v>
      </c>
      <c r="BB108" s="145"/>
      <c r="BC108" s="151" t="n">
        <f aca="false">TblProd[[#This Row],[Hour]]</f>
        <v>33</v>
      </c>
      <c r="BD108" s="152" t="n">
        <f aca="false">-TblProd[[#This Row],[Bank Lumber]] / 2 + -TblProd[[#This Row],[Bank Gems]] * 2 + -TblProd[[#This Row],[Bank Ore]] / 2</f>
        <v>0</v>
      </c>
      <c r="BE108" s="152"/>
      <c r="BF108" s="152"/>
      <c r="BG108" s="152"/>
      <c r="BH108" s="153" t="n">
        <f aca="false">TblProd[[#This Row],[Time]]</f>
        <v>45434.0833333333</v>
      </c>
      <c r="BI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J108" s="69" t="n">
        <f aca="false">TblProd[[#This Row],[Platinum]]</f>
        <v>4778097</v>
      </c>
      <c r="BK108" s="69" t="n">
        <f aca="false">TblProd[[#This Row],[Food]]</f>
        <v>328118</v>
      </c>
      <c r="BL108" s="69" t="n">
        <f aca="false">TblProd[[#This Row],[Lumber]]</f>
        <v>487818</v>
      </c>
      <c r="BM108" s="69" t="n">
        <f aca="false">TblProd[[#This Row],[Mana]]</f>
        <v>227016</v>
      </c>
      <c r="BN108" s="69" t="n">
        <f aca="false">TblProd[[#This Row],[Ore]]</f>
        <v>-357</v>
      </c>
    </row>
    <row r="109" customFormat="false" ht="12.75" hidden="false" customHeight="false" outlineLevel="0" collapsed="false">
      <c r="A109" s="128" t="n">
        <v>34</v>
      </c>
      <c r="B109" s="144" t="n">
        <f aca="false">TblImps[[#This Row],[Time]]</f>
        <v>45434.125</v>
      </c>
      <c r="C109" s="145"/>
      <c r="D109" s="146"/>
      <c r="E109" s="69" t="n">
        <f aca="false">TblConstr[[#This Row],[Land]]</f>
        <v>646</v>
      </c>
      <c r="F109" s="69" t="n">
        <f aca="false">TblPop[[#This Row],[Peasants]]</f>
        <v>6975</v>
      </c>
      <c r="G109" s="69"/>
      <c r="H109" s="69" t="e">
        <f aca="false">TblMili[[#This Row],[Networth (2)]]</f>
        <v>#VALUE!</v>
      </c>
      <c r="I109" s="69" t="n">
        <f aca="false">OFFSET(TblProd[[#This Row],[Platinum]],-1,0)+OFFSET(TblProd[[#This Row],[Plat/hr]],-1,0) - TblProd[[#This Row],[Expenses Platinum]] + IF(TblProd[[#This Row],[Plat Bonus]],TblPop[[#This Row],[Peasants]]*4) + SUM(TblConstr[[#This Row],[Dest Hom]:[Dest Doc]])*TblConstr[[#This Row],[CPA Platinum -DB]]*tech_3_3_2*TblTech[[#This Row],[3-3]]</f>
        <v>4881905</v>
      </c>
      <c r="J109" s="69" t="n">
        <f aca="false">OFFSET(TblProd[[#This Row],[Food]],-1,0)+OFFSET(TblProd[[#This Row],[Food/hr]],-1,0)+ROUNDUP((TblConstr[[#This Row],[Farms]]*80+TblConstr[[#This Row],[Docks]]*35)*(1+OFFSET(TblProd[[#This Row],[Bonus Food/hr]],-1,0)),0)</f>
        <v>325037</v>
      </c>
      <c r="K109" s="69" t="n">
        <f aca="false">OFFSET(TblProd[[#This Row],[Lumber]],-1,0)+OFFSET(TblProd[[#This Row],[Lumber/hr]],-1,0) - TblProd[[#This Row],[Expenses Lumber]] + SUM(TblConstr[[#This Row],[Dest Hom]:[Dest Doc]])*TblConstr[[#This Row],[CPA Lumber -DB]]*tech_3_3_2*TblTech[[#This Row],[3-3]]</f>
        <v>494865</v>
      </c>
      <c r="L109" s="69" t="n">
        <f aca="false">OFFSET(TblProd[[#This Row],[Mana]],-1,0)+OFFSET(TblProd[[#This Row],[Mana/hr]],-1,0)- TblProd[[#This Row],[Expenses Mana]]</f>
        <v>223201</v>
      </c>
      <c r="M109" s="69" t="n">
        <f aca="false">OFFSET(TblProd[[#This Row],[Ore]],-1,0)+OFFSET(TblProd[[#This Row],[Ore/hr]],-1,0) -TblProd[[#This Row],[Expenses Ore]]</f>
        <v>-357</v>
      </c>
      <c r="N109" s="69" t="n">
        <f aca="false">OFFSET(TblProd[[#This Row],[Gems]],-1,0)+OFFSET(TblProd[[#This Row],[Gems/hr]],-1,0) - TblProd[[#This Row],[Expenses Gems]]</f>
        <v>-1000</v>
      </c>
      <c r="O109" s="69" t="n">
        <f aca="false">OFFSET(TblProd[[#This Row],[Boats]],-1,0)+OFFSET(TblProd[[#This Row],[Boats/hr]],-1,0)</f>
        <v>67.8500000000001</v>
      </c>
      <c r="P109" s="69" t="n">
        <f aca="false">OFFSET(TblProd[[#This Row],[Prestige]],-1,0)</f>
        <v>250</v>
      </c>
      <c r="Q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09" s="69" t="n">
        <f aca="false">MAX(3750,_xlfn.CEILING.MATH(TblProd[[#This Row],[Land]]*2.5+OFFSET(TblTech[[#This Row],[Sum of tech]],-1,0)*150))</f>
        <v>3750</v>
      </c>
      <c r="S109" s="132"/>
      <c r="T109" s="69" t="n">
        <f aca="false">ROUNDDOWN(TblProd[[#This Row],[Raw Plat/hr]]*(1+TblProd[[#This Row],[Bonus Plat/hr]]),0)</f>
        <v>38260</v>
      </c>
      <c r="U109" s="69" t="n">
        <f aca="false">ROUND(TblProd[[#This Row],[Raw Food/hr]]*(1+TblProd[[#This Row],[Bonus Food/hr]])-TblProd[[#This Row],[Food decay]]-TblProd[[#This Row],[Food eaten]],0)</f>
        <v>-3051</v>
      </c>
      <c r="V109" s="69" t="n">
        <f aca="false">ROUND(TblProd[[#This Row],[Raw Lumber/hr]]*(1+TblProd[[#This Row],[Bonus Lumber/hr]])-TblProd[[#This Row],[Lumber rot]],0)</f>
        <v>-3824</v>
      </c>
      <c r="W109" s="69" t="n">
        <f aca="false">ROUND(TblProd[[#This Row],[Raw Mana/hr]]*(1+TblProd[[#This Row],[Bonus Mana/hr]])-TblProd[[#This Row],[Mana drain]],0)</f>
        <v>-3739</v>
      </c>
      <c r="X109" s="69" t="n">
        <f aca="false">ROUNDDOWN(TblProd[[#This Row],[Raw Ore/hr]]*(1+TblProd[[#This Row],[Bonux Ore/hr]]),0)</f>
        <v>0</v>
      </c>
      <c r="Y109" s="69" t="n">
        <f aca="false">ROUNDDOWN(TblProd[[#This Row],[Raw Gems/hr]]*(1+TblProd[[#This Row],[Bonus Gems/hr]]),0)</f>
        <v>0</v>
      </c>
      <c r="Z109" s="148" t="n">
        <f aca="false">OFFSET(TblConstr[[#This Row],[Tot Doc]],1,0)*dock_boats_hr * (1 + tech_4_1*TblTech[[#This Row],[4-1]])</f>
        <v>1.2</v>
      </c>
      <c r="AA109" s="146"/>
      <c r="AB109" s="69" t="n">
        <f aca="false">TblPop[[#This Row],[Peasants]]*tax*TblPop[[#This Row],[Employment]] + (Construction!AZ110+Construction!BX110)*(alch_plat+(Magic!AM109&gt;0)*alchemist_flame_bonus)</f>
        <v>34782.5</v>
      </c>
      <c r="AC109" s="69" t="n">
        <f aca="false">TblConstr[[#This Row],[Tot Farm]]*farm_food + TblConstr[[#This Row],[Tot Doc]]*dock_food</f>
        <v>3280</v>
      </c>
      <c r="AD109" s="69" t="n">
        <f aca="false">TblConstr[[#This Row],[Tot Ly]]*ly_lumber + TblConstr[[#This Row],[Tot Hav]]*fh_lumber</f>
        <v>1250</v>
      </c>
      <c r="AE109" s="69" t="n">
        <f aca="false">OFFSET(TblConstr[[#This Row],[Tot Tow]],1,0)*(tower_mana + tech_4_5*TblTech[[#This Row],[4-5]]) + OFFSET(TblConstr[[#This Row],[Tot WG]],1,0)*wg_mana_prod</f>
        <v>725</v>
      </c>
      <c r="AF109" s="69" t="n">
        <f aca="false">OFFSET(TblConstr[[#This Row],[Tot OM]],1,0)*om_ore+IF(race="Dwarf",ROUNDDOWN(TblMili[[#This Row],[Unit 2]]*0.4,0),)</f>
        <v>0</v>
      </c>
      <c r="AG109" s="69" t="n">
        <f aca="false">OFFSET(TblConstr[[#This Row],[Tot DM]],1,0)*dm_gems</f>
        <v>0</v>
      </c>
      <c r="AH109" s="132"/>
      <c r="AI109" s="149" t="n">
        <f aca="false">MIN(race_platinum_bonus + IF(TblMagic[[#This Row],[Active Alch Frost]]&gt;0,alch_frost_bonus,IF(Magic!AD109&gt;0,midas_bonus)) + TblImps[[#This Row],[Science]] - TblProd[[#This Row],[Guard]]*(0.02 + tech_5_7*TblTech[[#This Row],[5-7]]) + tech_1_5*TblTech[[#This Row],[1-5]] + tech_4_4*TblTech[[#This Row],[4-4]], 0.5)</f>
        <v>0.1</v>
      </c>
      <c r="AJ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09" s="149" t="n">
        <f aca="false">race_lumber_bonus+ IF(TblMagic[[#This Row],[Active Gaia''s Blessing]]&gt;0,gaias_blessing_lumber)+ tech_1_3*TblTech[[#This Row],[1-3]] + tech_1_6*TblTech[[#This Row],[1-6]] + tech_3_3*TblTech[[#This Row],[3-3]]</f>
        <v>-0.1</v>
      </c>
      <c r="AL109" s="149" t="n">
        <f aca="false">race_mana_bonus+ 0 + TblImps[[#This Row],[Towers]] + tech_1_2*TblTech[[#This Row],[1-2]] + tech_3_4*TblTech[[#This Row],[3-4]]</f>
        <v>0</v>
      </c>
      <c r="AM109" s="149" t="n">
        <f aca="false">race_ore_bonus + IF(TblMagic[[#This Row],[Active Miner''s Sight]]&gt;0,miners_sight_bonus,IF(TblMagic[[#This Row],[Active Mining Strength]]&gt;0,mining_strength_bonus)) +  tech_1_6*TblTech[[#This Row],[1-6]]</f>
        <v>0</v>
      </c>
      <c r="AN109" s="149" t="n">
        <f aca="false">race_gem_bonus+ tech_3_2*TblTech[[#This Row],[3-2]] + tech_4_3*TblTech[[#This Row],[4-3]] + tech_6_2*TblTech[[#This Row],[6-2]]</f>
        <v>0.15</v>
      </c>
      <c r="AO109" s="132"/>
      <c r="AP109" s="69" t="n">
        <f aca="false">TblProd[[#This Row],[Food]]*food_decay * (1 + tech_2_1*TblTech[[#This Row],[2-1]] + tech_2_8*TblTech[[#This Row],[2-8]])</f>
        <v>3250.37</v>
      </c>
      <c r="AQ109" s="69" t="n">
        <f aca="false">(1+race_food_consumption)*TblPop[[#This Row],[Total]]*food_per_person*(1+tech_1_10*TblTech[[#This Row],[1-10]]+tech_7_5*TblTech[[#This Row],[7-5]])</f>
        <v>3162.25</v>
      </c>
      <c r="AR109" s="69" t="n">
        <f aca="false">TblProd[[#This Row],[Lumber]]*lumber_rot * (1 + tech_2_1*TblTech[[#This Row],[2-1]] + tech_2_8*TblTech[[#This Row],[2-8]] + tech_5_2*TblTech[[#This Row],[5-2]])</f>
        <v>4948.65</v>
      </c>
      <c r="AS109" s="69" t="n">
        <f aca="false">TblProd[[#This Row],[Mana]]*mana_drain * (1 + tech_2_1*TblTech[[#This Row],[2-1]] + tech_2_8*TblTech[[#This Row],[2-8]])</f>
        <v>4464.02</v>
      </c>
      <c r="AT109" s="146"/>
      <c r="AU109" s="69" t="n">
        <f aca="false">TblExplore[[#This Row],[Platinum (2)]]+TblConstr[[#This Row],[Total Plat Cost]]+TblMili[[#This Row],[Plat Cost]]+TblRezone[[#This Row],[Platinum cost]]+TblImps[[#This Row],[P1]]-TblProd[[#This Row],[Bank Plat]]</f>
        <v>-65340</v>
      </c>
      <c r="AV109" s="69" t="n">
        <f aca="false">TblConstr[[#This Row],[Total Lum Cost]]+TblImps[[#This Row],[L1]]-TblProd[[#This Row],[Bank Lumber]] + Military!$CL$25*TblMili[[#This Row],[Sec. rec. Cost]]</f>
        <v>-10800</v>
      </c>
      <c r="AW109" s="69" t="n">
        <f aca="false">TblMagic[[#This Row],[Mana cost]] + Military!$CL$26*TblMili[[#This Row],[Sec. rec. Cost]]</f>
        <v>0</v>
      </c>
      <c r="AX109" s="69" t="n">
        <f aca="false">Military!$CL$24*TblMili[[#This Row],[Sec. rec. Cost]]+TblImps[[#This Row],[O1]]-TblProd[[#This Row],[Bank Ore]]</f>
        <v>0</v>
      </c>
      <c r="AY109" s="69" t="n">
        <f aca="false">TblImps[[#This Row],[G1]]-TblProd[[#This Row],[Bank Gems]]</f>
        <v>0</v>
      </c>
      <c r="AZ109" s="132"/>
      <c r="BA109" s="33" t="n">
        <f aca="false">IF(TblProd[[#This Row],[Set Guard]]&lt;&gt;"",TblProd[[#This Row],[Set Guard]],OFFSET(TblProd[[#This Row],[Guard]],-1,0))</f>
        <v>0</v>
      </c>
      <c r="BB109" s="145"/>
      <c r="BC109" s="151" t="n">
        <f aca="false">TblProd[[#This Row],[Hour]]</f>
        <v>34</v>
      </c>
      <c r="BD109" s="152" t="n">
        <f aca="false">-TblProd[[#This Row],[Bank Lumber]] / 2 + -TblProd[[#This Row],[Bank Gems]] * 2 + -TblProd[[#This Row],[Bank Ore]] / 2</f>
        <v>0</v>
      </c>
      <c r="BE109" s="152"/>
      <c r="BF109" s="152"/>
      <c r="BG109" s="152"/>
      <c r="BH109" s="153" t="n">
        <f aca="false">TblProd[[#This Row],[Time]]</f>
        <v>45434.125</v>
      </c>
      <c r="BI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J109" s="69" t="n">
        <f aca="false">TblProd[[#This Row],[Platinum]]</f>
        <v>4881905</v>
      </c>
      <c r="BK109" s="69" t="n">
        <f aca="false">TblProd[[#This Row],[Food]]</f>
        <v>325037</v>
      </c>
      <c r="BL109" s="69" t="n">
        <f aca="false">TblProd[[#This Row],[Lumber]]</f>
        <v>494865</v>
      </c>
      <c r="BM109" s="69" t="n">
        <f aca="false">TblProd[[#This Row],[Mana]]</f>
        <v>223201</v>
      </c>
      <c r="BN109" s="69" t="n">
        <f aca="false">TblProd[[#This Row],[Ore]]</f>
        <v>-357</v>
      </c>
    </row>
    <row r="110" customFormat="false" ht="12.75" hidden="false" customHeight="false" outlineLevel="0" collapsed="false">
      <c r="A110" s="128" t="n">
        <v>35</v>
      </c>
      <c r="B110" s="144" t="n">
        <f aca="false">TblImps[[#This Row],[Time]]</f>
        <v>45434.1666666667</v>
      </c>
      <c r="C110" s="145"/>
      <c r="D110" s="146"/>
      <c r="E110" s="69" t="n">
        <f aca="false">TblConstr[[#This Row],[Land]]</f>
        <v>646</v>
      </c>
      <c r="F110" s="69" t="n">
        <f aca="false">TblPop[[#This Row],[Peasants]]</f>
        <v>6905</v>
      </c>
      <c r="G110" s="69"/>
      <c r="H110" s="69" t="e">
        <f aca="false">TblMili[[#This Row],[Networth (2)]]</f>
        <v>#VALUE!</v>
      </c>
      <c r="I110" s="69" t="n">
        <f aca="false">OFFSET(TblProd[[#This Row],[Platinum]],-1,0)+OFFSET(TblProd[[#This Row],[Plat/hr]],-1,0) - TblProd[[#This Row],[Expenses Platinum]] + IF(TblProd[[#This Row],[Plat Bonus]],TblPop[[#This Row],[Peasants]]*4) + SUM(TblConstr[[#This Row],[Dest Hom]:[Dest Doc]])*TblConstr[[#This Row],[CPA Platinum -DB]]*tech_3_3_2*TblTech[[#This Row],[3-3]]</f>
        <v>4985505</v>
      </c>
      <c r="J110" s="69" t="n">
        <f aca="false">OFFSET(TblProd[[#This Row],[Food]],-1,0)+OFFSET(TblProd[[#This Row],[Food/hr]],-1,0)+ROUNDUP((TblConstr[[#This Row],[Farms]]*80+TblConstr[[#This Row],[Docks]]*35)*(1+OFFSET(TblProd[[#This Row],[Bonus Food/hr]],-1,0)),0)</f>
        <v>321986</v>
      </c>
      <c r="K110" s="69" t="n">
        <f aca="false">OFFSET(TblProd[[#This Row],[Lumber]],-1,0)+OFFSET(TblProd[[#This Row],[Lumber/hr]],-1,0) - TblProd[[#This Row],[Expenses Lumber]] + SUM(TblConstr[[#This Row],[Dest Hom]:[Dest Doc]])*TblConstr[[#This Row],[CPA Lumber -DB]]*tech_3_3_2*TblTech[[#This Row],[3-3]]</f>
        <v>501841</v>
      </c>
      <c r="L110" s="69" t="n">
        <f aca="false">OFFSET(TblProd[[#This Row],[Mana]],-1,0)+OFFSET(TblProd[[#This Row],[Mana/hr]],-1,0)- TblProd[[#This Row],[Expenses Mana]]</f>
        <v>219462</v>
      </c>
      <c r="M110" s="69" t="n">
        <f aca="false">OFFSET(TblProd[[#This Row],[Ore]],-1,0)+OFFSET(TblProd[[#This Row],[Ore/hr]],-1,0) -TblProd[[#This Row],[Expenses Ore]]</f>
        <v>-357</v>
      </c>
      <c r="N110" s="69" t="n">
        <f aca="false">OFFSET(TblProd[[#This Row],[Gems]],-1,0)+OFFSET(TblProd[[#This Row],[Gems/hr]],-1,0) - TblProd[[#This Row],[Expenses Gems]]</f>
        <v>-1000</v>
      </c>
      <c r="O110" s="69" t="n">
        <f aca="false">OFFSET(TblProd[[#This Row],[Boats]],-1,0)+OFFSET(TblProd[[#This Row],[Boats/hr]],-1,0)</f>
        <v>69.0500000000001</v>
      </c>
      <c r="P110" s="69" t="n">
        <f aca="false">OFFSET(TblProd[[#This Row],[Prestige]],-1,0)</f>
        <v>250</v>
      </c>
      <c r="Q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0" s="69" t="n">
        <f aca="false">MAX(3750,_xlfn.CEILING.MATH(TblProd[[#This Row],[Land]]*2.5+OFFSET(TblTech[[#This Row],[Sum of tech]],-1,0)*150))</f>
        <v>3750</v>
      </c>
      <c r="S110" s="132"/>
      <c r="T110" s="69" t="n">
        <f aca="false">ROUNDDOWN(TblProd[[#This Row],[Raw Plat/hr]]*(1+TblProd[[#This Row],[Bonus Plat/hr]]),0)</f>
        <v>38052</v>
      </c>
      <c r="U110" s="69" t="n">
        <f aca="false">ROUND(TblProd[[#This Row],[Raw Food/hr]]*(1+TblProd[[#This Row],[Bonus Food/hr]])-TblProd[[#This Row],[Food decay]]-TblProd[[#This Row],[Food eaten]],0)</f>
        <v>-3020</v>
      </c>
      <c r="V110" s="69" t="n">
        <f aca="false">ROUND(TblProd[[#This Row],[Raw Lumber/hr]]*(1+TblProd[[#This Row],[Bonus Lumber/hr]])-TblProd[[#This Row],[Lumber rot]],0)</f>
        <v>-3893</v>
      </c>
      <c r="W110" s="69" t="n">
        <f aca="false">ROUND(TblProd[[#This Row],[Raw Mana/hr]]*(1+TblProd[[#This Row],[Bonus Mana/hr]])-TblProd[[#This Row],[Mana drain]],0)</f>
        <v>-3664</v>
      </c>
      <c r="X110" s="69" t="n">
        <f aca="false">ROUNDDOWN(TblProd[[#This Row],[Raw Ore/hr]]*(1+TblProd[[#This Row],[Bonux Ore/hr]]),0)</f>
        <v>0</v>
      </c>
      <c r="Y110" s="69" t="n">
        <f aca="false">ROUNDDOWN(TblProd[[#This Row],[Raw Gems/hr]]*(1+TblProd[[#This Row],[Bonus Gems/hr]]),0)</f>
        <v>0</v>
      </c>
      <c r="Z110" s="148" t="n">
        <f aca="false">OFFSET(TblConstr[[#This Row],[Tot Doc]],1,0)*dock_boats_hr * (1 + tech_4_1*TblTech[[#This Row],[4-1]])</f>
        <v>1.2</v>
      </c>
      <c r="AA110" s="146"/>
      <c r="AB110" s="69" t="n">
        <f aca="false">TblPop[[#This Row],[Peasants]]*tax*TblPop[[#This Row],[Employment]] + (Construction!AZ111+Construction!BX111)*(alch_plat+(Magic!AM110&gt;0)*alchemist_flame_bonus)</f>
        <v>34593.5</v>
      </c>
      <c r="AC110" s="69" t="n">
        <f aca="false">TblConstr[[#This Row],[Tot Farm]]*farm_food + TblConstr[[#This Row],[Tot Doc]]*dock_food</f>
        <v>3280</v>
      </c>
      <c r="AD110" s="69" t="n">
        <f aca="false">TblConstr[[#This Row],[Tot Ly]]*ly_lumber + TblConstr[[#This Row],[Tot Hav]]*fh_lumber</f>
        <v>1250</v>
      </c>
      <c r="AE110" s="69" t="n">
        <f aca="false">OFFSET(TblConstr[[#This Row],[Tot Tow]],1,0)*(tower_mana + tech_4_5*TblTech[[#This Row],[4-5]]) + OFFSET(TblConstr[[#This Row],[Tot WG]],1,0)*wg_mana_prod</f>
        <v>725</v>
      </c>
      <c r="AF110" s="69" t="n">
        <f aca="false">OFFSET(TblConstr[[#This Row],[Tot OM]],1,0)*om_ore+IF(race="Dwarf",ROUNDDOWN(TblMili[[#This Row],[Unit 2]]*0.4,0),)</f>
        <v>0</v>
      </c>
      <c r="AG110" s="69" t="n">
        <f aca="false">OFFSET(TblConstr[[#This Row],[Tot DM]],1,0)*dm_gems</f>
        <v>0</v>
      </c>
      <c r="AH110" s="132"/>
      <c r="AI110" s="149" t="n">
        <f aca="false">MIN(race_platinum_bonus + IF(TblMagic[[#This Row],[Active Alch Frost]]&gt;0,alch_frost_bonus,IF(Magic!AD110&gt;0,midas_bonus)) + TblImps[[#This Row],[Science]] - TblProd[[#This Row],[Guard]]*(0.02 + tech_5_7*TblTech[[#This Row],[5-7]]) + tech_1_5*TblTech[[#This Row],[1-5]] + tech_4_4*TblTech[[#This Row],[4-4]], 0.5)</f>
        <v>0.1</v>
      </c>
      <c r="AJ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0" s="149" t="n">
        <f aca="false">race_lumber_bonus+ IF(TblMagic[[#This Row],[Active Gaia''s Blessing]]&gt;0,gaias_blessing_lumber)+ tech_1_3*TblTech[[#This Row],[1-3]] + tech_1_6*TblTech[[#This Row],[1-6]] + tech_3_3*TblTech[[#This Row],[3-3]]</f>
        <v>-0.1</v>
      </c>
      <c r="AL110" s="149" t="n">
        <f aca="false">race_mana_bonus+ 0 + TblImps[[#This Row],[Towers]] + tech_1_2*TblTech[[#This Row],[1-2]] + tech_3_4*TblTech[[#This Row],[3-4]]</f>
        <v>0</v>
      </c>
      <c r="AM110" s="149" t="n">
        <f aca="false">race_ore_bonus + IF(TblMagic[[#This Row],[Active Miner''s Sight]]&gt;0,miners_sight_bonus,IF(TblMagic[[#This Row],[Active Mining Strength]]&gt;0,mining_strength_bonus)) +  tech_1_6*TblTech[[#This Row],[1-6]]</f>
        <v>0</v>
      </c>
      <c r="AN110" s="149" t="n">
        <f aca="false">race_gem_bonus+ tech_3_2*TblTech[[#This Row],[3-2]] + tech_4_3*TblTech[[#This Row],[4-3]] + tech_6_2*TblTech[[#This Row],[6-2]]</f>
        <v>0.15</v>
      </c>
      <c r="AO110" s="132"/>
      <c r="AP110" s="69" t="n">
        <f aca="false">TblProd[[#This Row],[Food]]*food_decay * (1 + tech_2_1*TblTech[[#This Row],[2-1]] + tech_2_8*TblTech[[#This Row],[2-8]])</f>
        <v>3219.86</v>
      </c>
      <c r="AQ110" s="69" t="n">
        <f aca="false">(1+race_food_consumption)*TblPop[[#This Row],[Total]]*food_per_person*(1+tech_1_10*TblTech[[#This Row],[1-10]]+tech_7_5*TblTech[[#This Row],[7-5]])</f>
        <v>3162.25</v>
      </c>
      <c r="AR110" s="69" t="n">
        <f aca="false">TblProd[[#This Row],[Lumber]]*lumber_rot * (1 + tech_2_1*TblTech[[#This Row],[2-1]] + tech_2_8*TblTech[[#This Row],[2-8]] + tech_5_2*TblTech[[#This Row],[5-2]])</f>
        <v>5018.41</v>
      </c>
      <c r="AS110" s="69" t="n">
        <f aca="false">TblProd[[#This Row],[Mana]]*mana_drain * (1 + tech_2_1*TblTech[[#This Row],[2-1]] + tech_2_8*TblTech[[#This Row],[2-8]])</f>
        <v>4389.24</v>
      </c>
      <c r="AT110" s="146"/>
      <c r="AU110" s="69" t="n">
        <f aca="false">TblExplore[[#This Row],[Platinum (2)]]+TblConstr[[#This Row],[Total Plat Cost]]+TblMili[[#This Row],[Plat Cost]]+TblRezone[[#This Row],[Platinum cost]]+TblImps[[#This Row],[P1]]-TblProd[[#This Row],[Bank Plat]]</f>
        <v>-65340</v>
      </c>
      <c r="AV110" s="69" t="n">
        <f aca="false">TblConstr[[#This Row],[Total Lum Cost]]+TblImps[[#This Row],[L1]]-TblProd[[#This Row],[Bank Lumber]] + Military!$CL$25*TblMili[[#This Row],[Sec. rec. Cost]]</f>
        <v>-10800</v>
      </c>
      <c r="AW110" s="69" t="n">
        <f aca="false">TblMagic[[#This Row],[Mana cost]] + Military!$CL$26*TblMili[[#This Row],[Sec. rec. Cost]]</f>
        <v>0</v>
      </c>
      <c r="AX110" s="69" t="n">
        <f aca="false">Military!$CL$24*TblMili[[#This Row],[Sec. rec. Cost]]+TblImps[[#This Row],[O1]]-TblProd[[#This Row],[Bank Ore]]</f>
        <v>0</v>
      </c>
      <c r="AY110" s="69" t="n">
        <f aca="false">TblImps[[#This Row],[G1]]-TblProd[[#This Row],[Bank Gems]]</f>
        <v>0</v>
      </c>
      <c r="AZ110" s="132"/>
      <c r="BA110" s="33" t="n">
        <f aca="false">IF(TblProd[[#This Row],[Set Guard]]&lt;&gt;"",TblProd[[#This Row],[Set Guard]],OFFSET(TblProd[[#This Row],[Guard]],-1,0))</f>
        <v>0</v>
      </c>
      <c r="BB110" s="145"/>
      <c r="BC110" s="151" t="n">
        <f aca="false">TblProd[[#This Row],[Hour]]</f>
        <v>35</v>
      </c>
      <c r="BD110" s="152" t="n">
        <f aca="false">-TblProd[[#This Row],[Bank Lumber]] / 2 + -TblProd[[#This Row],[Bank Gems]] * 2 + -TblProd[[#This Row],[Bank Ore]] / 2</f>
        <v>0</v>
      </c>
      <c r="BE110" s="152"/>
      <c r="BF110" s="152"/>
      <c r="BG110" s="152"/>
      <c r="BH110" s="153" t="n">
        <f aca="false">TblProd[[#This Row],[Time]]</f>
        <v>45434.1666666667</v>
      </c>
      <c r="BI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J110" s="69" t="n">
        <f aca="false">TblProd[[#This Row],[Platinum]]</f>
        <v>4985505</v>
      </c>
      <c r="BK110" s="69" t="n">
        <f aca="false">TblProd[[#This Row],[Food]]</f>
        <v>321986</v>
      </c>
      <c r="BL110" s="69" t="n">
        <f aca="false">TblProd[[#This Row],[Lumber]]</f>
        <v>501841</v>
      </c>
      <c r="BM110" s="69" t="n">
        <f aca="false">TblProd[[#This Row],[Mana]]</f>
        <v>219462</v>
      </c>
      <c r="BN110" s="69" t="n">
        <f aca="false">TblProd[[#This Row],[Ore]]</f>
        <v>-357</v>
      </c>
    </row>
    <row r="111" customFormat="false" ht="12.75" hidden="false" customHeight="false" outlineLevel="0" collapsed="false">
      <c r="A111" s="128" t="n">
        <v>36</v>
      </c>
      <c r="B111" s="144" t="n">
        <f aca="false">TblImps[[#This Row],[Time]]</f>
        <v>45434.2083333333</v>
      </c>
      <c r="C111" s="145"/>
      <c r="D111" s="146"/>
      <c r="E111" s="69" t="n">
        <f aca="false">TblConstr[[#This Row],[Land]]</f>
        <v>646</v>
      </c>
      <c r="F111" s="69" t="n">
        <f aca="false">TblPop[[#This Row],[Peasants]]</f>
        <v>6836</v>
      </c>
      <c r="G111" s="69"/>
      <c r="H111" s="69" t="e">
        <f aca="false">TblMili[[#This Row],[Networth (2)]]</f>
        <v>#VALUE!</v>
      </c>
      <c r="I111" s="69" t="n">
        <f aca="false">OFFSET(TblProd[[#This Row],[Platinum]],-1,0)+OFFSET(TblProd[[#This Row],[Plat/hr]],-1,0) - TblProd[[#This Row],[Expenses Platinum]] + IF(TblProd[[#This Row],[Plat Bonus]],TblPop[[#This Row],[Peasants]]*4) + SUM(TblConstr[[#This Row],[Dest Hom]:[Dest Doc]])*TblConstr[[#This Row],[CPA Platinum -DB]]*tech_3_3_2*TblTech[[#This Row],[3-3]]</f>
        <v>5088897</v>
      </c>
      <c r="J111" s="69" t="n">
        <f aca="false">OFFSET(TblProd[[#This Row],[Food]],-1,0)+OFFSET(TblProd[[#This Row],[Food/hr]],-1,0)+ROUNDUP((TblConstr[[#This Row],[Farms]]*80+TblConstr[[#This Row],[Docks]]*35)*(1+OFFSET(TblProd[[#This Row],[Bonus Food/hr]],-1,0)),0)</f>
        <v>318966</v>
      </c>
      <c r="K111" s="69" t="n">
        <f aca="false">OFFSET(TblProd[[#This Row],[Lumber]],-1,0)+OFFSET(TblProd[[#This Row],[Lumber/hr]],-1,0) - TblProd[[#This Row],[Expenses Lumber]] + SUM(TblConstr[[#This Row],[Dest Hom]:[Dest Doc]])*TblConstr[[#This Row],[CPA Lumber -DB]]*tech_3_3_2*TblTech[[#This Row],[3-3]]</f>
        <v>508748</v>
      </c>
      <c r="L111" s="69" t="n">
        <f aca="false">OFFSET(TblProd[[#This Row],[Mana]],-1,0)+OFFSET(TblProd[[#This Row],[Mana/hr]],-1,0)- TblProd[[#This Row],[Expenses Mana]]</f>
        <v>215798</v>
      </c>
      <c r="M111" s="69" t="n">
        <f aca="false">OFFSET(TblProd[[#This Row],[Ore]],-1,0)+OFFSET(TblProd[[#This Row],[Ore/hr]],-1,0) -TblProd[[#This Row],[Expenses Ore]]</f>
        <v>-357</v>
      </c>
      <c r="N111" s="69" t="n">
        <f aca="false">OFFSET(TblProd[[#This Row],[Gems]],-1,0)+OFFSET(TblProd[[#This Row],[Gems/hr]],-1,0) - TblProd[[#This Row],[Expenses Gems]]</f>
        <v>-1000</v>
      </c>
      <c r="O111" s="69" t="n">
        <f aca="false">OFFSET(TblProd[[#This Row],[Boats]],-1,0)+OFFSET(TblProd[[#This Row],[Boats/hr]],-1,0)</f>
        <v>70.2500000000001</v>
      </c>
      <c r="P111" s="69" t="n">
        <f aca="false">OFFSET(TblProd[[#This Row],[Prestige]],-1,0)</f>
        <v>250</v>
      </c>
      <c r="Q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1" s="69" t="n">
        <f aca="false">MAX(3750,_xlfn.CEILING.MATH(TblProd[[#This Row],[Land]]*2.5+OFFSET(TblTech[[#This Row],[Sum of tech]],-1,0)*150))</f>
        <v>3750</v>
      </c>
      <c r="S111" s="132"/>
      <c r="T111" s="69" t="n">
        <f aca="false">ROUNDDOWN(TblProd[[#This Row],[Raw Plat/hr]]*(1+TblProd[[#This Row],[Bonus Plat/hr]]),0)</f>
        <v>37847</v>
      </c>
      <c r="U111" s="69" t="n">
        <f aca="false">ROUND(TblProd[[#This Row],[Raw Food/hr]]*(1+TblProd[[#This Row],[Bonus Food/hr]])-TblProd[[#This Row],[Food decay]]-TblProd[[#This Row],[Food eaten]],0)</f>
        <v>-2990</v>
      </c>
      <c r="V111" s="69" t="n">
        <f aca="false">ROUND(TblProd[[#This Row],[Raw Lumber/hr]]*(1+TblProd[[#This Row],[Bonus Lumber/hr]])-TblProd[[#This Row],[Lumber rot]],0)</f>
        <v>-3962</v>
      </c>
      <c r="W111" s="69" t="n">
        <f aca="false">ROUND(TblProd[[#This Row],[Raw Mana/hr]]*(1+TblProd[[#This Row],[Bonus Mana/hr]])-TblProd[[#This Row],[Mana drain]],0)</f>
        <v>-3591</v>
      </c>
      <c r="X111" s="69" t="n">
        <f aca="false">ROUNDDOWN(TblProd[[#This Row],[Raw Ore/hr]]*(1+TblProd[[#This Row],[Bonux Ore/hr]]),0)</f>
        <v>0</v>
      </c>
      <c r="Y111" s="69" t="n">
        <f aca="false">ROUNDDOWN(TblProd[[#This Row],[Raw Gems/hr]]*(1+TblProd[[#This Row],[Bonus Gems/hr]]),0)</f>
        <v>0</v>
      </c>
      <c r="Z111" s="148" t="n">
        <f aca="false">OFFSET(TblConstr[[#This Row],[Tot Doc]],1,0)*dock_boats_hr * (1 + tech_4_1*TblTech[[#This Row],[4-1]])</f>
        <v>1.2</v>
      </c>
      <c r="AA111" s="146"/>
      <c r="AB111" s="69" t="n">
        <f aca="false">TblPop[[#This Row],[Peasants]]*tax*TblPop[[#This Row],[Employment]] + (Construction!AZ112+Construction!BX112)*(alch_plat+(Magic!AM111&gt;0)*alchemist_flame_bonus)</f>
        <v>34407.2</v>
      </c>
      <c r="AC111" s="69" t="n">
        <f aca="false">TblConstr[[#This Row],[Tot Farm]]*farm_food + TblConstr[[#This Row],[Tot Doc]]*dock_food</f>
        <v>3280</v>
      </c>
      <c r="AD111" s="69" t="n">
        <f aca="false">TblConstr[[#This Row],[Tot Ly]]*ly_lumber + TblConstr[[#This Row],[Tot Hav]]*fh_lumber</f>
        <v>1250</v>
      </c>
      <c r="AE111" s="69" t="n">
        <f aca="false">OFFSET(TblConstr[[#This Row],[Tot Tow]],1,0)*(tower_mana + tech_4_5*TblTech[[#This Row],[4-5]]) + OFFSET(TblConstr[[#This Row],[Tot WG]],1,0)*wg_mana_prod</f>
        <v>725</v>
      </c>
      <c r="AF111" s="69" t="n">
        <f aca="false">OFFSET(TblConstr[[#This Row],[Tot OM]],1,0)*om_ore+IF(race="Dwarf",ROUNDDOWN(TblMili[[#This Row],[Unit 2]]*0.4,0),)</f>
        <v>0</v>
      </c>
      <c r="AG111" s="69" t="n">
        <f aca="false">OFFSET(TblConstr[[#This Row],[Tot DM]],1,0)*dm_gems</f>
        <v>0</v>
      </c>
      <c r="AH111" s="132"/>
      <c r="AI111" s="149" t="n">
        <f aca="false">MIN(race_platinum_bonus + IF(TblMagic[[#This Row],[Active Alch Frost]]&gt;0,alch_frost_bonus,IF(Magic!AD111&gt;0,midas_bonus)) + TblImps[[#This Row],[Science]] - TblProd[[#This Row],[Guard]]*(0.02 + tech_5_7*TblTech[[#This Row],[5-7]]) + tech_1_5*TblTech[[#This Row],[1-5]] + tech_4_4*TblTech[[#This Row],[4-4]], 0.5)</f>
        <v>0.1</v>
      </c>
      <c r="AJ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1" s="149" t="n">
        <f aca="false">race_lumber_bonus+ IF(TblMagic[[#This Row],[Active Gaia''s Blessing]]&gt;0,gaias_blessing_lumber)+ tech_1_3*TblTech[[#This Row],[1-3]] + tech_1_6*TblTech[[#This Row],[1-6]] + tech_3_3*TblTech[[#This Row],[3-3]]</f>
        <v>-0.1</v>
      </c>
      <c r="AL111" s="149" t="n">
        <f aca="false">race_mana_bonus+ 0 + TblImps[[#This Row],[Towers]] + tech_1_2*TblTech[[#This Row],[1-2]] + tech_3_4*TblTech[[#This Row],[3-4]]</f>
        <v>0</v>
      </c>
      <c r="AM111" s="149" t="n">
        <f aca="false">race_ore_bonus + IF(TblMagic[[#This Row],[Active Miner''s Sight]]&gt;0,miners_sight_bonus,IF(TblMagic[[#This Row],[Active Mining Strength]]&gt;0,mining_strength_bonus)) +  tech_1_6*TblTech[[#This Row],[1-6]]</f>
        <v>0</v>
      </c>
      <c r="AN111" s="149" t="n">
        <f aca="false">race_gem_bonus+ tech_3_2*TblTech[[#This Row],[3-2]] + tech_4_3*TblTech[[#This Row],[4-3]] + tech_6_2*TblTech[[#This Row],[6-2]]</f>
        <v>0.15</v>
      </c>
      <c r="AO111" s="132"/>
      <c r="AP111" s="69" t="n">
        <f aca="false">TblProd[[#This Row],[Food]]*food_decay * (1 + tech_2_1*TblTech[[#This Row],[2-1]] + tech_2_8*TblTech[[#This Row],[2-8]])</f>
        <v>3189.66</v>
      </c>
      <c r="AQ111" s="69" t="n">
        <f aca="false">(1+race_food_consumption)*TblPop[[#This Row],[Total]]*food_per_person*(1+tech_1_10*TblTech[[#This Row],[1-10]]+tech_7_5*TblTech[[#This Row],[7-5]])</f>
        <v>3162.25</v>
      </c>
      <c r="AR111" s="69" t="n">
        <f aca="false">TblProd[[#This Row],[Lumber]]*lumber_rot * (1 + tech_2_1*TblTech[[#This Row],[2-1]] + tech_2_8*TblTech[[#This Row],[2-8]] + tech_5_2*TblTech[[#This Row],[5-2]])</f>
        <v>5087.48</v>
      </c>
      <c r="AS111" s="69" t="n">
        <f aca="false">TblProd[[#This Row],[Mana]]*mana_drain * (1 + tech_2_1*TblTech[[#This Row],[2-1]] + tech_2_8*TblTech[[#This Row],[2-8]])</f>
        <v>4315.96</v>
      </c>
      <c r="AT111" s="146"/>
      <c r="AU111" s="69" t="n">
        <f aca="false">TblExplore[[#This Row],[Platinum (2)]]+TblConstr[[#This Row],[Total Plat Cost]]+TblMili[[#This Row],[Plat Cost]]+TblRezone[[#This Row],[Platinum cost]]+TblImps[[#This Row],[P1]]-TblProd[[#This Row],[Bank Plat]]</f>
        <v>-65340</v>
      </c>
      <c r="AV111" s="69" t="n">
        <f aca="false">TblConstr[[#This Row],[Total Lum Cost]]+TblImps[[#This Row],[L1]]-TblProd[[#This Row],[Bank Lumber]] + Military!$CL$25*TblMili[[#This Row],[Sec. rec. Cost]]</f>
        <v>-10800</v>
      </c>
      <c r="AW111" s="69" t="n">
        <f aca="false">TblMagic[[#This Row],[Mana cost]] + Military!$CL$26*TblMili[[#This Row],[Sec. rec. Cost]]</f>
        <v>0</v>
      </c>
      <c r="AX111" s="69" t="n">
        <f aca="false">Military!$CL$24*TblMili[[#This Row],[Sec. rec. Cost]]+TblImps[[#This Row],[O1]]-TblProd[[#This Row],[Bank Ore]]</f>
        <v>0</v>
      </c>
      <c r="AY111" s="69" t="n">
        <f aca="false">TblImps[[#This Row],[G1]]-TblProd[[#This Row],[Bank Gems]]</f>
        <v>0</v>
      </c>
      <c r="AZ111" s="132"/>
      <c r="BA111" s="33" t="n">
        <f aca="false">IF(TblProd[[#This Row],[Set Guard]]&lt;&gt;"",TblProd[[#This Row],[Set Guard]],OFFSET(TblProd[[#This Row],[Guard]],-1,0))</f>
        <v>0</v>
      </c>
      <c r="BB111" s="145"/>
      <c r="BC111" s="151" t="n">
        <f aca="false">TblProd[[#This Row],[Hour]]</f>
        <v>36</v>
      </c>
      <c r="BD111" s="152" t="n">
        <f aca="false">-TblProd[[#This Row],[Bank Lumber]] / 2 + -TblProd[[#This Row],[Bank Gems]] * 2 + -TblProd[[#This Row],[Bank Ore]] / 2</f>
        <v>0</v>
      </c>
      <c r="BE111" s="152"/>
      <c r="BF111" s="152"/>
      <c r="BG111" s="152"/>
      <c r="BH111" s="153" t="n">
        <f aca="false">TblProd[[#This Row],[Time]]</f>
        <v>45434.2083333333</v>
      </c>
      <c r="BI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J111" s="69" t="n">
        <f aca="false">TblProd[[#This Row],[Platinum]]</f>
        <v>5088897</v>
      </c>
      <c r="BK111" s="69" t="n">
        <f aca="false">TblProd[[#This Row],[Food]]</f>
        <v>318966</v>
      </c>
      <c r="BL111" s="69" t="n">
        <f aca="false">TblProd[[#This Row],[Lumber]]</f>
        <v>508748</v>
      </c>
      <c r="BM111" s="69" t="n">
        <f aca="false">TblProd[[#This Row],[Mana]]</f>
        <v>215798</v>
      </c>
      <c r="BN111" s="69" t="n">
        <f aca="false">TblProd[[#This Row],[Ore]]</f>
        <v>-357</v>
      </c>
    </row>
    <row r="112" customFormat="false" ht="12.75" hidden="false" customHeight="false" outlineLevel="0" collapsed="false">
      <c r="A112" s="128" t="n">
        <v>37</v>
      </c>
      <c r="B112" s="144" t="n">
        <f aca="false">TblImps[[#This Row],[Time]]</f>
        <v>45434.25</v>
      </c>
      <c r="C112" s="145"/>
      <c r="D112" s="146"/>
      <c r="E112" s="69" t="n">
        <f aca="false">TblConstr[[#This Row],[Land]]</f>
        <v>646</v>
      </c>
      <c r="F112" s="69" t="n">
        <f aca="false">TblPop[[#This Row],[Peasants]]</f>
        <v>6768</v>
      </c>
      <c r="G112" s="69"/>
      <c r="H112" s="69" t="e">
        <f aca="false">TblMili[[#This Row],[Networth (2)]]</f>
        <v>#VALUE!</v>
      </c>
      <c r="I112" s="69" t="n">
        <f aca="false">OFFSET(TblProd[[#This Row],[Platinum]],-1,0)+OFFSET(TblProd[[#This Row],[Plat/hr]],-1,0) - TblProd[[#This Row],[Expenses Platinum]] + IF(TblProd[[#This Row],[Plat Bonus]],TblPop[[#This Row],[Peasants]]*4) + SUM(TblConstr[[#This Row],[Dest Hom]:[Dest Doc]])*TblConstr[[#This Row],[CPA Platinum -DB]]*tech_3_3_2*TblTech[[#This Row],[3-3]]</f>
        <v>5192084</v>
      </c>
      <c r="J112" s="69" t="n">
        <f aca="false">OFFSET(TblProd[[#This Row],[Food]],-1,0)+OFFSET(TblProd[[#This Row],[Food/hr]],-1,0)+ROUNDUP((TblConstr[[#This Row],[Farms]]*80+TblConstr[[#This Row],[Docks]]*35)*(1+OFFSET(TblProd[[#This Row],[Bonus Food/hr]],-1,0)),0)</f>
        <v>315976</v>
      </c>
      <c r="K112" s="69" t="n">
        <f aca="false">OFFSET(TblProd[[#This Row],[Lumber]],-1,0)+OFFSET(TblProd[[#This Row],[Lumber/hr]],-1,0) - TblProd[[#This Row],[Expenses Lumber]] + SUM(TblConstr[[#This Row],[Dest Hom]:[Dest Doc]])*TblConstr[[#This Row],[CPA Lumber -DB]]*tech_3_3_2*TblTech[[#This Row],[3-3]]</f>
        <v>515586</v>
      </c>
      <c r="L112" s="69" t="n">
        <f aca="false">OFFSET(TblProd[[#This Row],[Mana]],-1,0)+OFFSET(TblProd[[#This Row],[Mana/hr]],-1,0)- TblProd[[#This Row],[Expenses Mana]]</f>
        <v>212207</v>
      </c>
      <c r="M112" s="69" t="n">
        <f aca="false">OFFSET(TblProd[[#This Row],[Ore]],-1,0)+OFFSET(TblProd[[#This Row],[Ore/hr]],-1,0) -TblProd[[#This Row],[Expenses Ore]]</f>
        <v>-357</v>
      </c>
      <c r="N112" s="69" t="n">
        <f aca="false">OFFSET(TblProd[[#This Row],[Gems]],-1,0)+OFFSET(TblProd[[#This Row],[Gems/hr]],-1,0) - TblProd[[#This Row],[Expenses Gems]]</f>
        <v>-1000</v>
      </c>
      <c r="O112" s="69" t="n">
        <f aca="false">OFFSET(TblProd[[#This Row],[Boats]],-1,0)+OFFSET(TblProd[[#This Row],[Boats/hr]],-1,0)</f>
        <v>71.4500000000001</v>
      </c>
      <c r="P112" s="69" t="n">
        <f aca="false">OFFSET(TblProd[[#This Row],[Prestige]],-1,0)</f>
        <v>250</v>
      </c>
      <c r="Q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2" s="69" t="n">
        <f aca="false">MAX(3750,_xlfn.CEILING.MATH(TblProd[[#This Row],[Land]]*2.5+OFFSET(TblTech[[#This Row],[Sum of tech]],-1,0)*150))</f>
        <v>3750</v>
      </c>
      <c r="S112" s="132"/>
      <c r="T112" s="69" t="n">
        <f aca="false">ROUNDDOWN(TblProd[[#This Row],[Raw Plat/hr]]*(1+TblProd[[#This Row],[Bonus Plat/hr]]),0)</f>
        <v>30648</v>
      </c>
      <c r="U112" s="69" t="n">
        <f aca="false">ROUND(TblProd[[#This Row],[Raw Food/hr]]*(1+TblProd[[#This Row],[Bonus Food/hr]])-TblProd[[#This Row],[Food decay]]-TblProd[[#This Row],[Food eaten]],0)</f>
        <v>-2960</v>
      </c>
      <c r="V112" s="69" t="n">
        <f aca="false">ROUND(TblProd[[#This Row],[Raw Lumber/hr]]*(1+TblProd[[#This Row],[Bonus Lumber/hr]])-TblProd[[#This Row],[Lumber rot]],0)</f>
        <v>-4031</v>
      </c>
      <c r="W112" s="69" t="n">
        <f aca="false">ROUND(TblProd[[#This Row],[Raw Mana/hr]]*(1+TblProd[[#This Row],[Bonus Mana/hr]])-TblProd[[#This Row],[Mana drain]],0)</f>
        <v>-3519</v>
      </c>
      <c r="X112" s="69" t="n">
        <f aca="false">ROUNDDOWN(TblProd[[#This Row],[Raw Ore/hr]]*(1+TblProd[[#This Row],[Bonux Ore/hr]]),0)</f>
        <v>0</v>
      </c>
      <c r="Y112" s="69" t="n">
        <f aca="false">ROUNDDOWN(TblProd[[#This Row],[Raw Gems/hr]]*(1+TblProd[[#This Row],[Bonus Gems/hr]]),0)</f>
        <v>0</v>
      </c>
      <c r="Z112" s="148" t="n">
        <f aca="false">OFFSET(TblConstr[[#This Row],[Tot Doc]],1,0)*dock_boats_hr * (1 + tech_4_1*TblTech[[#This Row],[4-1]])</f>
        <v>1.2</v>
      </c>
      <c r="AA112" s="146"/>
      <c r="AB112" s="69" t="n">
        <f aca="false">TblPop[[#This Row],[Peasants]]*tax*TblPop[[#This Row],[Employment]] + (Construction!AZ113+Construction!BX113)*(alch_plat+(Magic!AM112&gt;0)*alchemist_flame_bonus)</f>
        <v>30648.6</v>
      </c>
      <c r="AC112" s="69" t="n">
        <f aca="false">TblConstr[[#This Row],[Tot Farm]]*farm_food + TblConstr[[#This Row],[Tot Doc]]*dock_food</f>
        <v>3280</v>
      </c>
      <c r="AD112" s="69" t="n">
        <f aca="false">TblConstr[[#This Row],[Tot Ly]]*ly_lumber + TblConstr[[#This Row],[Tot Hav]]*fh_lumber</f>
        <v>1250</v>
      </c>
      <c r="AE112" s="69" t="n">
        <f aca="false">OFFSET(TblConstr[[#This Row],[Tot Tow]],1,0)*(tower_mana + tech_4_5*TblTech[[#This Row],[4-5]]) + OFFSET(TblConstr[[#This Row],[Tot WG]],1,0)*wg_mana_prod</f>
        <v>725</v>
      </c>
      <c r="AF112" s="69" t="n">
        <f aca="false">OFFSET(TblConstr[[#This Row],[Tot OM]],1,0)*om_ore+IF(race="Dwarf",ROUNDDOWN(TblMili[[#This Row],[Unit 2]]*0.4,0),)</f>
        <v>0</v>
      </c>
      <c r="AG112" s="69" t="n">
        <f aca="false">OFFSET(TblConstr[[#This Row],[Tot DM]],1,0)*dm_gems</f>
        <v>0</v>
      </c>
      <c r="AH112" s="132"/>
      <c r="AI112" s="149" t="n">
        <f aca="false">MIN(race_platinum_bonus + IF(TblMagic[[#This Row],[Active Alch Frost]]&gt;0,alch_frost_bonus,IF(Magic!AD112&gt;0,midas_bonus)) + TblImps[[#This Row],[Science]] - TblProd[[#This Row],[Guard]]*(0.02 + tech_5_7*TblTech[[#This Row],[5-7]]) + tech_1_5*TblTech[[#This Row],[1-5]] + tech_4_4*TblTech[[#This Row],[4-4]], 0.5)</f>
        <v>0</v>
      </c>
      <c r="AJ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2" s="149" t="n">
        <f aca="false">race_lumber_bonus+ IF(TblMagic[[#This Row],[Active Gaia''s Blessing]]&gt;0,gaias_blessing_lumber)+ tech_1_3*TblTech[[#This Row],[1-3]] + tech_1_6*TblTech[[#This Row],[1-6]] + tech_3_3*TblTech[[#This Row],[3-3]]</f>
        <v>-0.1</v>
      </c>
      <c r="AL112" s="149" t="n">
        <f aca="false">race_mana_bonus+ 0 + TblImps[[#This Row],[Towers]] + tech_1_2*TblTech[[#This Row],[1-2]] + tech_3_4*TblTech[[#This Row],[3-4]]</f>
        <v>0</v>
      </c>
      <c r="AM112" s="149" t="n">
        <f aca="false">race_ore_bonus + IF(TblMagic[[#This Row],[Active Miner''s Sight]]&gt;0,miners_sight_bonus,IF(TblMagic[[#This Row],[Active Mining Strength]]&gt;0,mining_strength_bonus)) +  tech_1_6*TblTech[[#This Row],[1-6]]</f>
        <v>0</v>
      </c>
      <c r="AN112" s="149" t="n">
        <f aca="false">race_gem_bonus+ tech_3_2*TblTech[[#This Row],[3-2]] + tech_4_3*TblTech[[#This Row],[4-3]] + tech_6_2*TblTech[[#This Row],[6-2]]</f>
        <v>0.15</v>
      </c>
      <c r="AO112" s="132"/>
      <c r="AP112" s="69" t="n">
        <f aca="false">TblProd[[#This Row],[Food]]*food_decay * (1 + tech_2_1*TblTech[[#This Row],[2-1]] + tech_2_8*TblTech[[#This Row],[2-8]])</f>
        <v>3159.76</v>
      </c>
      <c r="AQ112" s="69" t="n">
        <f aca="false">(1+race_food_consumption)*TblPop[[#This Row],[Total]]*food_per_person*(1+tech_1_10*TblTech[[#This Row],[1-10]]+tech_7_5*TblTech[[#This Row],[7-5]])</f>
        <v>3162.25</v>
      </c>
      <c r="AR112" s="69" t="n">
        <f aca="false">TblProd[[#This Row],[Lumber]]*lumber_rot * (1 + tech_2_1*TblTech[[#This Row],[2-1]] + tech_2_8*TblTech[[#This Row],[2-8]] + tech_5_2*TblTech[[#This Row],[5-2]])</f>
        <v>5155.86</v>
      </c>
      <c r="AS112" s="69" t="n">
        <f aca="false">TblProd[[#This Row],[Mana]]*mana_drain * (1 + tech_2_1*TblTech[[#This Row],[2-1]] + tech_2_8*TblTech[[#This Row],[2-8]])</f>
        <v>4244.14</v>
      </c>
      <c r="AT112" s="146"/>
      <c r="AU112" s="69" t="n">
        <f aca="false">TblExplore[[#This Row],[Platinum (2)]]+TblConstr[[#This Row],[Total Plat Cost]]+TblMili[[#This Row],[Plat Cost]]+TblRezone[[#This Row],[Platinum cost]]+TblImps[[#This Row],[P1]]-TblProd[[#This Row],[Bank Plat]]</f>
        <v>-65340</v>
      </c>
      <c r="AV112" s="69" t="n">
        <f aca="false">TblConstr[[#This Row],[Total Lum Cost]]+TblImps[[#This Row],[L1]]-TblProd[[#This Row],[Bank Lumber]] + Military!$CL$25*TblMili[[#This Row],[Sec. rec. Cost]]</f>
        <v>-10800</v>
      </c>
      <c r="AW112" s="69" t="n">
        <f aca="false">TblMagic[[#This Row],[Mana cost]] + Military!$CL$26*TblMili[[#This Row],[Sec. rec. Cost]]</f>
        <v>0</v>
      </c>
      <c r="AX112" s="69" t="n">
        <f aca="false">Military!$CL$24*TblMili[[#This Row],[Sec. rec. Cost]]+TblImps[[#This Row],[O1]]-TblProd[[#This Row],[Bank Ore]]</f>
        <v>0</v>
      </c>
      <c r="AY112" s="69" t="n">
        <f aca="false">TblImps[[#This Row],[G1]]-TblProd[[#This Row],[Bank Gems]]</f>
        <v>0</v>
      </c>
      <c r="AZ112" s="132"/>
      <c r="BA112" s="33" t="n">
        <f aca="false">IF(TblProd[[#This Row],[Set Guard]]&lt;&gt;"",TblProd[[#This Row],[Set Guard]],OFFSET(TblProd[[#This Row],[Guard]],-1,0))</f>
        <v>0</v>
      </c>
      <c r="BB112" s="145"/>
      <c r="BC112" s="151" t="n">
        <f aca="false">TblProd[[#This Row],[Hour]]</f>
        <v>37</v>
      </c>
      <c r="BD112" s="152" t="n">
        <f aca="false">-TblProd[[#This Row],[Bank Lumber]] / 2 + -TblProd[[#This Row],[Bank Gems]] * 2 + -TblProd[[#This Row],[Bank Ore]] / 2</f>
        <v>0</v>
      </c>
      <c r="BE112" s="152"/>
      <c r="BF112" s="152"/>
      <c r="BG112" s="152"/>
      <c r="BH112" s="153" t="n">
        <f aca="false">TblProd[[#This Row],[Time]]</f>
        <v>45434.25</v>
      </c>
      <c r="BI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J112" s="69" t="n">
        <f aca="false">TblProd[[#This Row],[Platinum]]</f>
        <v>5192084</v>
      </c>
      <c r="BK112" s="69" t="n">
        <f aca="false">TblProd[[#This Row],[Food]]</f>
        <v>315976</v>
      </c>
      <c r="BL112" s="69" t="n">
        <f aca="false">TblProd[[#This Row],[Lumber]]</f>
        <v>515586</v>
      </c>
      <c r="BM112" s="69" t="n">
        <f aca="false">TblProd[[#This Row],[Mana]]</f>
        <v>212207</v>
      </c>
      <c r="BN112" s="69" t="n">
        <f aca="false">TblProd[[#This Row],[Ore]]</f>
        <v>-357</v>
      </c>
    </row>
    <row r="113" customFormat="false" ht="12.75" hidden="false" customHeight="false" outlineLevel="0" collapsed="false">
      <c r="A113" s="128" t="n">
        <v>38</v>
      </c>
      <c r="B113" s="144" t="n">
        <f aca="false">TblImps[[#This Row],[Time]]</f>
        <v>45434.2916666667</v>
      </c>
      <c r="C113" s="145"/>
      <c r="D113" s="146"/>
      <c r="E113" s="69" t="n">
        <f aca="false">TblConstr[[#This Row],[Land]]</f>
        <v>646</v>
      </c>
      <c r="F113" s="69" t="n">
        <f aca="false">TblPop[[#This Row],[Peasants]]</f>
        <v>6700</v>
      </c>
      <c r="G113" s="69"/>
      <c r="H113" s="69" t="e">
        <f aca="false">TblMili[[#This Row],[Networth (2)]]</f>
        <v>#VALUE!</v>
      </c>
      <c r="I113" s="69" t="n">
        <f aca="false">OFFSET(TblProd[[#This Row],[Platinum]],-1,0)+OFFSET(TblProd[[#This Row],[Plat/hr]],-1,0) - TblProd[[#This Row],[Expenses Platinum]] + IF(TblProd[[#This Row],[Plat Bonus]],TblPop[[#This Row],[Peasants]]*4) + SUM(TblConstr[[#This Row],[Dest Hom]:[Dest Doc]])*TblConstr[[#This Row],[CPA Platinum -DB]]*tech_3_3_2*TblTech[[#This Row],[3-3]]</f>
        <v>5288072</v>
      </c>
      <c r="J113" s="69" t="n">
        <f aca="false">OFFSET(TblProd[[#This Row],[Food]],-1,0)+OFFSET(TblProd[[#This Row],[Food/hr]],-1,0)+ROUNDUP((TblConstr[[#This Row],[Farms]]*80+TblConstr[[#This Row],[Docks]]*35)*(1+OFFSET(TblProd[[#This Row],[Bonus Food/hr]],-1,0)),0)</f>
        <v>313016</v>
      </c>
      <c r="K113" s="69" t="n">
        <f aca="false">OFFSET(TblProd[[#This Row],[Lumber]],-1,0)+OFFSET(TblProd[[#This Row],[Lumber/hr]],-1,0) - TblProd[[#This Row],[Expenses Lumber]] + SUM(TblConstr[[#This Row],[Dest Hom]:[Dest Doc]])*TblConstr[[#This Row],[CPA Lumber -DB]]*tech_3_3_2*TblTech[[#This Row],[3-3]]</f>
        <v>522355</v>
      </c>
      <c r="L113" s="69" t="n">
        <f aca="false">OFFSET(TblProd[[#This Row],[Mana]],-1,0)+OFFSET(TblProd[[#This Row],[Mana/hr]],-1,0)- TblProd[[#This Row],[Expenses Mana]]</f>
        <v>208688</v>
      </c>
      <c r="M113" s="69" t="n">
        <f aca="false">OFFSET(TblProd[[#This Row],[Ore]],-1,0)+OFFSET(TblProd[[#This Row],[Ore/hr]],-1,0) -TblProd[[#This Row],[Expenses Ore]]</f>
        <v>-357</v>
      </c>
      <c r="N113" s="69" t="n">
        <f aca="false">OFFSET(TblProd[[#This Row],[Gems]],-1,0)+OFFSET(TblProd[[#This Row],[Gems/hr]],-1,0) - TblProd[[#This Row],[Expenses Gems]]</f>
        <v>-1000</v>
      </c>
      <c r="O113" s="69" t="n">
        <f aca="false">OFFSET(TblProd[[#This Row],[Boats]],-1,0)+OFFSET(TblProd[[#This Row],[Boats/hr]],-1,0)</f>
        <v>72.6500000000001</v>
      </c>
      <c r="P113" s="69" t="n">
        <f aca="false">OFFSET(TblProd[[#This Row],[Prestige]],-1,0)</f>
        <v>250</v>
      </c>
      <c r="Q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3" s="69" t="n">
        <f aca="false">MAX(3750,_xlfn.CEILING.MATH(TblProd[[#This Row],[Land]]*2.5+OFFSET(TblTech[[#This Row],[Sum of tech]],-1,0)*150))</f>
        <v>3750</v>
      </c>
      <c r="S113" s="132"/>
      <c r="T113" s="69" t="n">
        <f aca="false">ROUNDDOWN(TblProd[[#This Row],[Raw Plat/hr]]*(1+TblProd[[#This Row],[Bonus Plat/hr]]),0)</f>
        <v>30465</v>
      </c>
      <c r="U113" s="69" t="n">
        <f aca="false">ROUND(TblProd[[#This Row],[Raw Food/hr]]*(1+TblProd[[#This Row],[Bonus Food/hr]])-TblProd[[#This Row],[Food decay]]-TblProd[[#This Row],[Food eaten]],0)</f>
        <v>-2930</v>
      </c>
      <c r="V113" s="69" t="n">
        <f aca="false">ROUND(TblProd[[#This Row],[Raw Lumber/hr]]*(1+TblProd[[#This Row],[Bonus Lumber/hr]])-TblProd[[#This Row],[Lumber rot]],0)</f>
        <v>-4099</v>
      </c>
      <c r="W113" s="69" t="n">
        <f aca="false">ROUND(TblProd[[#This Row],[Raw Mana/hr]]*(1+TblProd[[#This Row],[Bonus Mana/hr]])-TblProd[[#This Row],[Mana drain]],0)</f>
        <v>-3449</v>
      </c>
      <c r="X113" s="69" t="n">
        <f aca="false">ROUNDDOWN(TblProd[[#This Row],[Raw Ore/hr]]*(1+TblProd[[#This Row],[Bonux Ore/hr]]),0)</f>
        <v>0</v>
      </c>
      <c r="Y113" s="69" t="n">
        <f aca="false">ROUNDDOWN(TblProd[[#This Row],[Raw Gems/hr]]*(1+TblProd[[#This Row],[Bonus Gems/hr]]),0)</f>
        <v>0</v>
      </c>
      <c r="Z113" s="148" t="n">
        <f aca="false">OFFSET(TblConstr[[#This Row],[Tot Doc]],1,0)*dock_boats_hr * (1 + tech_4_1*TblTech[[#This Row],[4-1]])</f>
        <v>1.2</v>
      </c>
      <c r="AA113" s="146"/>
      <c r="AB113" s="69" t="n">
        <f aca="false">TblPop[[#This Row],[Peasants]]*tax*TblPop[[#This Row],[Employment]] + (Construction!AZ114+Construction!BX114)*(alch_plat+(Magic!AM113&gt;0)*alchemist_flame_bonus)</f>
        <v>30465</v>
      </c>
      <c r="AC113" s="69" t="n">
        <f aca="false">TblConstr[[#This Row],[Tot Farm]]*farm_food + TblConstr[[#This Row],[Tot Doc]]*dock_food</f>
        <v>3280</v>
      </c>
      <c r="AD113" s="69" t="n">
        <f aca="false">TblConstr[[#This Row],[Tot Ly]]*ly_lumber + TblConstr[[#This Row],[Tot Hav]]*fh_lumber</f>
        <v>1250</v>
      </c>
      <c r="AE113" s="69" t="n">
        <f aca="false">OFFSET(TblConstr[[#This Row],[Tot Tow]],1,0)*(tower_mana + tech_4_5*TblTech[[#This Row],[4-5]]) + OFFSET(TblConstr[[#This Row],[Tot WG]],1,0)*wg_mana_prod</f>
        <v>725</v>
      </c>
      <c r="AF113" s="69" t="n">
        <f aca="false">OFFSET(TblConstr[[#This Row],[Tot OM]],1,0)*om_ore+IF(race="Dwarf",ROUNDDOWN(TblMili[[#This Row],[Unit 2]]*0.4,0),)</f>
        <v>0</v>
      </c>
      <c r="AG113" s="69" t="n">
        <f aca="false">OFFSET(TblConstr[[#This Row],[Tot DM]],1,0)*dm_gems</f>
        <v>0</v>
      </c>
      <c r="AH113" s="132"/>
      <c r="AI113" s="149" t="n">
        <f aca="false">MIN(race_platinum_bonus + IF(TblMagic[[#This Row],[Active Alch Frost]]&gt;0,alch_frost_bonus,IF(Magic!AD113&gt;0,midas_bonus)) + TblImps[[#This Row],[Science]] - TblProd[[#This Row],[Guard]]*(0.02 + tech_5_7*TblTech[[#This Row],[5-7]]) + tech_1_5*TblTech[[#This Row],[1-5]] + tech_4_4*TblTech[[#This Row],[4-4]], 0.5)</f>
        <v>0</v>
      </c>
      <c r="AJ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3" s="149" t="n">
        <f aca="false">race_lumber_bonus+ IF(TblMagic[[#This Row],[Active Gaia''s Blessing]]&gt;0,gaias_blessing_lumber)+ tech_1_3*TblTech[[#This Row],[1-3]] + tech_1_6*TblTech[[#This Row],[1-6]] + tech_3_3*TblTech[[#This Row],[3-3]]</f>
        <v>-0.1</v>
      </c>
      <c r="AL113" s="149" t="n">
        <f aca="false">race_mana_bonus+ 0 + TblImps[[#This Row],[Towers]] + tech_1_2*TblTech[[#This Row],[1-2]] + tech_3_4*TblTech[[#This Row],[3-4]]</f>
        <v>0</v>
      </c>
      <c r="AM113" s="149" t="n">
        <f aca="false">race_ore_bonus + IF(TblMagic[[#This Row],[Active Miner''s Sight]]&gt;0,miners_sight_bonus,IF(TblMagic[[#This Row],[Active Mining Strength]]&gt;0,mining_strength_bonus)) +  tech_1_6*TblTech[[#This Row],[1-6]]</f>
        <v>0</v>
      </c>
      <c r="AN113" s="149" t="n">
        <f aca="false">race_gem_bonus+ tech_3_2*TblTech[[#This Row],[3-2]] + tech_4_3*TblTech[[#This Row],[4-3]] + tech_6_2*TblTech[[#This Row],[6-2]]</f>
        <v>0.15</v>
      </c>
      <c r="AO113" s="132"/>
      <c r="AP113" s="69" t="n">
        <f aca="false">TblProd[[#This Row],[Food]]*food_decay * (1 + tech_2_1*TblTech[[#This Row],[2-1]] + tech_2_8*TblTech[[#This Row],[2-8]])</f>
        <v>3130.16</v>
      </c>
      <c r="AQ113" s="69" t="n">
        <f aca="false">(1+race_food_consumption)*TblPop[[#This Row],[Total]]*food_per_person*(1+tech_1_10*TblTech[[#This Row],[1-10]]+tech_7_5*TblTech[[#This Row],[7-5]])</f>
        <v>3162.25</v>
      </c>
      <c r="AR113" s="69" t="n">
        <f aca="false">TblProd[[#This Row],[Lumber]]*lumber_rot * (1 + tech_2_1*TblTech[[#This Row],[2-1]] + tech_2_8*TblTech[[#This Row],[2-8]] + tech_5_2*TblTech[[#This Row],[5-2]])</f>
        <v>5223.55</v>
      </c>
      <c r="AS113" s="69" t="n">
        <f aca="false">TblProd[[#This Row],[Mana]]*mana_drain * (1 + tech_2_1*TblTech[[#This Row],[2-1]] + tech_2_8*TblTech[[#This Row],[2-8]])</f>
        <v>4173.76</v>
      </c>
      <c r="AT113" s="146"/>
      <c r="AU113" s="69" t="n">
        <f aca="false">TblExplore[[#This Row],[Platinum (2)]]+TblConstr[[#This Row],[Total Plat Cost]]+TblMili[[#This Row],[Plat Cost]]+TblRezone[[#This Row],[Platinum cost]]+TblImps[[#This Row],[P1]]-TblProd[[#This Row],[Bank Plat]]</f>
        <v>-65340</v>
      </c>
      <c r="AV113" s="69" t="n">
        <f aca="false">TblConstr[[#This Row],[Total Lum Cost]]+TblImps[[#This Row],[L1]]-TblProd[[#This Row],[Bank Lumber]] + Military!$CL$25*TblMili[[#This Row],[Sec. rec. Cost]]</f>
        <v>-10800</v>
      </c>
      <c r="AW113" s="69" t="n">
        <f aca="false">TblMagic[[#This Row],[Mana cost]] + Military!$CL$26*TblMili[[#This Row],[Sec. rec. Cost]]</f>
        <v>0</v>
      </c>
      <c r="AX113" s="69" t="n">
        <f aca="false">Military!$CL$24*TblMili[[#This Row],[Sec. rec. Cost]]+TblImps[[#This Row],[O1]]-TblProd[[#This Row],[Bank Ore]]</f>
        <v>0</v>
      </c>
      <c r="AY113" s="69" t="n">
        <f aca="false">TblImps[[#This Row],[G1]]-TblProd[[#This Row],[Bank Gems]]</f>
        <v>0</v>
      </c>
      <c r="AZ113" s="132"/>
      <c r="BA113" s="33" t="n">
        <f aca="false">IF(TblProd[[#This Row],[Set Guard]]&lt;&gt;"",TblProd[[#This Row],[Set Guard]],OFFSET(TblProd[[#This Row],[Guard]],-1,0))</f>
        <v>0</v>
      </c>
      <c r="BB113" s="145"/>
      <c r="BC113" s="151" t="n">
        <f aca="false">TblProd[[#This Row],[Hour]]</f>
        <v>38</v>
      </c>
      <c r="BD113" s="152" t="n">
        <f aca="false">-TblProd[[#This Row],[Bank Lumber]] / 2 + -TblProd[[#This Row],[Bank Gems]] * 2 + -TblProd[[#This Row],[Bank Ore]] / 2</f>
        <v>0</v>
      </c>
      <c r="BE113" s="152"/>
      <c r="BF113" s="152"/>
      <c r="BG113" s="152"/>
      <c r="BH113" s="153" t="n">
        <f aca="false">TblProd[[#This Row],[Time]]</f>
        <v>45434.2916666667</v>
      </c>
      <c r="BI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J113" s="69" t="n">
        <f aca="false">TblProd[[#This Row],[Platinum]]</f>
        <v>5288072</v>
      </c>
      <c r="BK113" s="69" t="n">
        <f aca="false">TblProd[[#This Row],[Food]]</f>
        <v>313016</v>
      </c>
      <c r="BL113" s="69" t="n">
        <f aca="false">TblProd[[#This Row],[Lumber]]</f>
        <v>522355</v>
      </c>
      <c r="BM113" s="69" t="n">
        <f aca="false">TblProd[[#This Row],[Mana]]</f>
        <v>208688</v>
      </c>
      <c r="BN113" s="69" t="n">
        <f aca="false">TblProd[[#This Row],[Ore]]</f>
        <v>-357</v>
      </c>
    </row>
    <row r="114" customFormat="false" ht="12.75" hidden="false" customHeight="false" outlineLevel="0" collapsed="false">
      <c r="A114" s="128" t="n">
        <v>39</v>
      </c>
      <c r="B114" s="144" t="n">
        <f aca="false">TblImps[[#This Row],[Time]]</f>
        <v>45434.3333333333</v>
      </c>
      <c r="C114" s="145"/>
      <c r="D114" s="146"/>
      <c r="E114" s="69" t="n">
        <f aca="false">TblConstr[[#This Row],[Land]]</f>
        <v>646</v>
      </c>
      <c r="F114" s="69" t="n">
        <f aca="false">TblPop[[#This Row],[Peasants]]</f>
        <v>6633</v>
      </c>
      <c r="G114" s="69"/>
      <c r="H114" s="69" t="e">
        <f aca="false">TblMili[[#This Row],[Networth (2)]]</f>
        <v>#VALUE!</v>
      </c>
      <c r="I114" s="69" t="n">
        <f aca="false">OFFSET(TblProd[[#This Row],[Platinum]],-1,0)+OFFSET(TblProd[[#This Row],[Plat/hr]],-1,0) - TblProd[[#This Row],[Expenses Platinum]] + IF(TblProd[[#This Row],[Plat Bonus]],TblPop[[#This Row],[Peasants]]*4) + SUM(TblConstr[[#This Row],[Dest Hom]:[Dest Doc]])*TblConstr[[#This Row],[CPA Platinum -DB]]*tech_3_3_2*TblTech[[#This Row],[3-3]]</f>
        <v>5383877</v>
      </c>
      <c r="J114" s="69" t="n">
        <f aca="false">OFFSET(TblProd[[#This Row],[Food]],-1,0)+OFFSET(TblProd[[#This Row],[Food/hr]],-1,0)+ROUNDUP((TblConstr[[#This Row],[Farms]]*80+TblConstr[[#This Row],[Docks]]*35)*(1+OFFSET(TblProd[[#This Row],[Bonus Food/hr]],-1,0)),0)</f>
        <v>310086</v>
      </c>
      <c r="K114" s="69" t="n">
        <f aca="false">OFFSET(TblProd[[#This Row],[Lumber]],-1,0)+OFFSET(TblProd[[#This Row],[Lumber/hr]],-1,0) - TblProd[[#This Row],[Expenses Lumber]] + SUM(TblConstr[[#This Row],[Dest Hom]:[Dest Doc]])*TblConstr[[#This Row],[CPA Lumber -DB]]*tech_3_3_2*TblTech[[#This Row],[3-3]]</f>
        <v>529056</v>
      </c>
      <c r="L114" s="69" t="n">
        <f aca="false">OFFSET(TblProd[[#This Row],[Mana]],-1,0)+OFFSET(TblProd[[#This Row],[Mana/hr]],-1,0)- TblProd[[#This Row],[Expenses Mana]]</f>
        <v>205239</v>
      </c>
      <c r="M114" s="69" t="n">
        <f aca="false">OFFSET(TblProd[[#This Row],[Ore]],-1,0)+OFFSET(TblProd[[#This Row],[Ore/hr]],-1,0) -TblProd[[#This Row],[Expenses Ore]]</f>
        <v>-357</v>
      </c>
      <c r="N114" s="69" t="n">
        <f aca="false">OFFSET(TblProd[[#This Row],[Gems]],-1,0)+OFFSET(TblProd[[#This Row],[Gems/hr]],-1,0) - TblProd[[#This Row],[Expenses Gems]]</f>
        <v>-1000</v>
      </c>
      <c r="O114" s="69" t="n">
        <f aca="false">OFFSET(TblProd[[#This Row],[Boats]],-1,0)+OFFSET(TblProd[[#This Row],[Boats/hr]],-1,0)</f>
        <v>73.8500000000001</v>
      </c>
      <c r="P114" s="69" t="n">
        <f aca="false">OFFSET(TblProd[[#This Row],[Prestige]],-1,0)</f>
        <v>250</v>
      </c>
      <c r="Q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4" s="69" t="n">
        <f aca="false">MAX(3750,_xlfn.CEILING.MATH(TblProd[[#This Row],[Land]]*2.5+OFFSET(TblTech[[#This Row],[Sum of tech]],-1,0)*150))</f>
        <v>3750</v>
      </c>
      <c r="S114" s="132"/>
      <c r="T114" s="69" t="n">
        <f aca="false">ROUNDDOWN(TblProd[[#This Row],[Raw Plat/hr]]*(1+TblProd[[#This Row],[Bonus Plat/hr]]),0)</f>
        <v>30284</v>
      </c>
      <c r="U114" s="69" t="n">
        <f aca="false">ROUND(TblProd[[#This Row],[Raw Food/hr]]*(1+TblProd[[#This Row],[Bonus Food/hr]])-TblProd[[#This Row],[Food decay]]-TblProd[[#This Row],[Food eaten]],0)</f>
        <v>-2901</v>
      </c>
      <c r="V114" s="69" t="n">
        <f aca="false">ROUND(TblProd[[#This Row],[Raw Lumber/hr]]*(1+TblProd[[#This Row],[Bonus Lumber/hr]])-TblProd[[#This Row],[Lumber rot]],0)</f>
        <v>-4166</v>
      </c>
      <c r="W114" s="69" t="n">
        <f aca="false">ROUND(TblProd[[#This Row],[Raw Mana/hr]]*(1+TblProd[[#This Row],[Bonus Mana/hr]])-TblProd[[#This Row],[Mana drain]],0)</f>
        <v>-3380</v>
      </c>
      <c r="X114" s="69" t="n">
        <f aca="false">ROUNDDOWN(TblProd[[#This Row],[Raw Ore/hr]]*(1+TblProd[[#This Row],[Bonux Ore/hr]]),0)</f>
        <v>0</v>
      </c>
      <c r="Y114" s="69" t="n">
        <f aca="false">ROUNDDOWN(TblProd[[#This Row],[Raw Gems/hr]]*(1+TblProd[[#This Row],[Bonus Gems/hr]]),0)</f>
        <v>0</v>
      </c>
      <c r="Z114" s="148" t="n">
        <f aca="false">OFFSET(TblConstr[[#This Row],[Tot Doc]],1,0)*dock_boats_hr * (1 + tech_4_1*TblTech[[#This Row],[4-1]])</f>
        <v>1.2</v>
      </c>
      <c r="AA114" s="146"/>
      <c r="AB114" s="69" t="n">
        <f aca="false">TblPop[[#This Row],[Peasants]]*tax*TblPop[[#This Row],[Employment]] + (Construction!AZ115+Construction!BX115)*(alch_plat+(Magic!AM114&gt;0)*alchemist_flame_bonus)</f>
        <v>30284.1</v>
      </c>
      <c r="AC114" s="69" t="n">
        <f aca="false">TblConstr[[#This Row],[Tot Farm]]*farm_food + TblConstr[[#This Row],[Tot Doc]]*dock_food</f>
        <v>3280</v>
      </c>
      <c r="AD114" s="69" t="n">
        <f aca="false">TblConstr[[#This Row],[Tot Ly]]*ly_lumber + TblConstr[[#This Row],[Tot Hav]]*fh_lumber</f>
        <v>1250</v>
      </c>
      <c r="AE114" s="69" t="n">
        <f aca="false">OFFSET(TblConstr[[#This Row],[Tot Tow]],1,0)*(tower_mana + tech_4_5*TblTech[[#This Row],[4-5]]) + OFFSET(TblConstr[[#This Row],[Tot WG]],1,0)*wg_mana_prod</f>
        <v>725</v>
      </c>
      <c r="AF114" s="69" t="n">
        <f aca="false">OFFSET(TblConstr[[#This Row],[Tot OM]],1,0)*om_ore+IF(race="Dwarf",ROUNDDOWN(TblMili[[#This Row],[Unit 2]]*0.4,0),)</f>
        <v>0</v>
      </c>
      <c r="AG114" s="69" t="n">
        <f aca="false">OFFSET(TblConstr[[#This Row],[Tot DM]],1,0)*dm_gems</f>
        <v>0</v>
      </c>
      <c r="AH114" s="132"/>
      <c r="AI114" s="149" t="n">
        <f aca="false">MIN(race_platinum_bonus + IF(TblMagic[[#This Row],[Active Alch Frost]]&gt;0,alch_frost_bonus,IF(Magic!AD114&gt;0,midas_bonus)) + TblImps[[#This Row],[Science]] - TblProd[[#This Row],[Guard]]*(0.02 + tech_5_7*TblTech[[#This Row],[5-7]]) + tech_1_5*TblTech[[#This Row],[1-5]] + tech_4_4*TblTech[[#This Row],[4-4]], 0.5)</f>
        <v>0</v>
      </c>
      <c r="AJ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4" s="149" t="n">
        <f aca="false">race_lumber_bonus+ IF(TblMagic[[#This Row],[Active Gaia''s Blessing]]&gt;0,gaias_blessing_lumber)+ tech_1_3*TblTech[[#This Row],[1-3]] + tech_1_6*TblTech[[#This Row],[1-6]] + tech_3_3*TblTech[[#This Row],[3-3]]</f>
        <v>-0.1</v>
      </c>
      <c r="AL114" s="149" t="n">
        <f aca="false">race_mana_bonus+ 0 + TblImps[[#This Row],[Towers]] + tech_1_2*TblTech[[#This Row],[1-2]] + tech_3_4*TblTech[[#This Row],[3-4]]</f>
        <v>0</v>
      </c>
      <c r="AM114" s="149" t="n">
        <f aca="false">race_ore_bonus + IF(TblMagic[[#This Row],[Active Miner''s Sight]]&gt;0,miners_sight_bonus,IF(TblMagic[[#This Row],[Active Mining Strength]]&gt;0,mining_strength_bonus)) +  tech_1_6*TblTech[[#This Row],[1-6]]</f>
        <v>0</v>
      </c>
      <c r="AN114" s="149" t="n">
        <f aca="false">race_gem_bonus+ tech_3_2*TblTech[[#This Row],[3-2]] + tech_4_3*TblTech[[#This Row],[4-3]] + tech_6_2*TblTech[[#This Row],[6-2]]</f>
        <v>0.15</v>
      </c>
      <c r="AO114" s="132"/>
      <c r="AP114" s="69" t="n">
        <f aca="false">TblProd[[#This Row],[Food]]*food_decay * (1 + tech_2_1*TblTech[[#This Row],[2-1]] + tech_2_8*TblTech[[#This Row],[2-8]])</f>
        <v>3100.86</v>
      </c>
      <c r="AQ114" s="69" t="n">
        <f aca="false">(1+race_food_consumption)*TblPop[[#This Row],[Total]]*food_per_person*(1+tech_1_10*TblTech[[#This Row],[1-10]]+tech_7_5*TblTech[[#This Row],[7-5]])</f>
        <v>3162.25</v>
      </c>
      <c r="AR114" s="69" t="n">
        <f aca="false">TblProd[[#This Row],[Lumber]]*lumber_rot * (1 + tech_2_1*TblTech[[#This Row],[2-1]] + tech_2_8*TblTech[[#This Row],[2-8]] + tech_5_2*TblTech[[#This Row],[5-2]])</f>
        <v>5290.56</v>
      </c>
      <c r="AS114" s="69" t="n">
        <f aca="false">TblProd[[#This Row],[Mana]]*mana_drain * (1 + tech_2_1*TblTech[[#This Row],[2-1]] + tech_2_8*TblTech[[#This Row],[2-8]])</f>
        <v>4104.78</v>
      </c>
      <c r="AT114" s="146"/>
      <c r="AU114" s="69" t="n">
        <f aca="false">TblExplore[[#This Row],[Platinum (2)]]+TblConstr[[#This Row],[Total Plat Cost]]+TblMili[[#This Row],[Plat Cost]]+TblRezone[[#This Row],[Platinum cost]]+TblImps[[#This Row],[P1]]-TblProd[[#This Row],[Bank Plat]]</f>
        <v>-65340</v>
      </c>
      <c r="AV114" s="69" t="n">
        <f aca="false">TblConstr[[#This Row],[Total Lum Cost]]+TblImps[[#This Row],[L1]]-TblProd[[#This Row],[Bank Lumber]] + Military!$CL$25*TblMili[[#This Row],[Sec. rec. Cost]]</f>
        <v>-10800</v>
      </c>
      <c r="AW114" s="69" t="n">
        <f aca="false">TblMagic[[#This Row],[Mana cost]] + Military!$CL$26*TblMili[[#This Row],[Sec. rec. Cost]]</f>
        <v>0</v>
      </c>
      <c r="AX114" s="69" t="n">
        <f aca="false">Military!$CL$24*TblMili[[#This Row],[Sec. rec. Cost]]+TblImps[[#This Row],[O1]]-TblProd[[#This Row],[Bank Ore]]</f>
        <v>0</v>
      </c>
      <c r="AY114" s="69" t="n">
        <f aca="false">TblImps[[#This Row],[G1]]-TblProd[[#This Row],[Bank Gems]]</f>
        <v>0</v>
      </c>
      <c r="AZ114" s="132"/>
      <c r="BA114" s="33" t="n">
        <f aca="false">IF(TblProd[[#This Row],[Set Guard]]&lt;&gt;"",TblProd[[#This Row],[Set Guard]],OFFSET(TblProd[[#This Row],[Guard]],-1,0))</f>
        <v>0</v>
      </c>
      <c r="BB114" s="145"/>
      <c r="BC114" s="151" t="n">
        <f aca="false">TblProd[[#This Row],[Hour]]</f>
        <v>39</v>
      </c>
      <c r="BD114" s="152" t="n">
        <f aca="false">-TblProd[[#This Row],[Bank Lumber]] / 2 + -TblProd[[#This Row],[Bank Gems]] * 2 + -TblProd[[#This Row],[Bank Ore]] / 2</f>
        <v>0</v>
      </c>
      <c r="BE114" s="152"/>
      <c r="BF114" s="152"/>
      <c r="BG114" s="152"/>
      <c r="BH114" s="153" t="n">
        <f aca="false">TblProd[[#This Row],[Time]]</f>
        <v>45434.3333333333</v>
      </c>
      <c r="BI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J114" s="69" t="n">
        <f aca="false">TblProd[[#This Row],[Platinum]]</f>
        <v>5383877</v>
      </c>
      <c r="BK114" s="69" t="n">
        <f aca="false">TblProd[[#This Row],[Food]]</f>
        <v>310086</v>
      </c>
      <c r="BL114" s="69" t="n">
        <f aca="false">TblProd[[#This Row],[Lumber]]</f>
        <v>529056</v>
      </c>
      <c r="BM114" s="69" t="n">
        <f aca="false">TblProd[[#This Row],[Mana]]</f>
        <v>205239</v>
      </c>
      <c r="BN114" s="69" t="n">
        <f aca="false">TblProd[[#This Row],[Ore]]</f>
        <v>-357</v>
      </c>
    </row>
    <row r="115" customFormat="false" ht="12.75" hidden="false" customHeight="false" outlineLevel="0" collapsed="false">
      <c r="A115" s="128" t="n">
        <v>40</v>
      </c>
      <c r="B115" s="144" t="n">
        <f aca="false">TblImps[[#This Row],[Time]]</f>
        <v>45434.375</v>
      </c>
      <c r="C115" s="145"/>
      <c r="D115" s="146"/>
      <c r="E115" s="69" t="n">
        <f aca="false">TblConstr[[#This Row],[Land]]</f>
        <v>646</v>
      </c>
      <c r="F115" s="69" t="n">
        <f aca="false">TblPop[[#This Row],[Peasants]]</f>
        <v>6567</v>
      </c>
      <c r="G115" s="69"/>
      <c r="H115" s="69" t="e">
        <f aca="false">TblMili[[#This Row],[Networth (2)]]</f>
        <v>#VALUE!</v>
      </c>
      <c r="I115" s="69" t="n">
        <f aca="false">OFFSET(TblProd[[#This Row],[Platinum]],-1,0)+OFFSET(TblProd[[#This Row],[Plat/hr]],-1,0) - TblProd[[#This Row],[Expenses Platinum]] + IF(TblProd[[#This Row],[Plat Bonus]],TblPop[[#This Row],[Peasants]]*4) + SUM(TblConstr[[#This Row],[Dest Hom]:[Dest Doc]])*TblConstr[[#This Row],[CPA Platinum -DB]]*tech_3_3_2*TblTech[[#This Row],[3-3]]</f>
        <v>5479501</v>
      </c>
      <c r="J115" s="69" t="n">
        <f aca="false">OFFSET(TblProd[[#This Row],[Food]],-1,0)+OFFSET(TblProd[[#This Row],[Food/hr]],-1,0)+ROUNDUP((TblConstr[[#This Row],[Farms]]*80+TblConstr[[#This Row],[Docks]]*35)*(1+OFFSET(TblProd[[#This Row],[Bonus Food/hr]],-1,0)),0)</f>
        <v>307185</v>
      </c>
      <c r="K115" s="69" t="n">
        <f aca="false">OFFSET(TblProd[[#This Row],[Lumber]],-1,0)+OFFSET(TblProd[[#This Row],[Lumber/hr]],-1,0) - TblProd[[#This Row],[Expenses Lumber]] + SUM(TblConstr[[#This Row],[Dest Hom]:[Dest Doc]])*TblConstr[[#This Row],[CPA Lumber -DB]]*tech_3_3_2*TblTech[[#This Row],[3-3]]</f>
        <v>535690</v>
      </c>
      <c r="L115" s="69" t="n">
        <f aca="false">OFFSET(TblProd[[#This Row],[Mana]],-1,0)+OFFSET(TblProd[[#This Row],[Mana/hr]],-1,0)- TblProd[[#This Row],[Expenses Mana]]</f>
        <v>201859</v>
      </c>
      <c r="M115" s="69" t="n">
        <f aca="false">OFFSET(TblProd[[#This Row],[Ore]],-1,0)+OFFSET(TblProd[[#This Row],[Ore/hr]],-1,0) -TblProd[[#This Row],[Expenses Ore]]</f>
        <v>-357</v>
      </c>
      <c r="N115" s="69" t="n">
        <f aca="false">OFFSET(TblProd[[#This Row],[Gems]],-1,0)+OFFSET(TblProd[[#This Row],[Gems/hr]],-1,0) - TblProd[[#This Row],[Expenses Gems]]</f>
        <v>-1000</v>
      </c>
      <c r="O115" s="69" t="n">
        <f aca="false">OFFSET(TblProd[[#This Row],[Boats]],-1,0)+OFFSET(TblProd[[#This Row],[Boats/hr]],-1,0)</f>
        <v>75.0500000000001</v>
      </c>
      <c r="P115" s="69" t="n">
        <f aca="false">OFFSET(TblProd[[#This Row],[Prestige]],-1,0)</f>
        <v>250</v>
      </c>
      <c r="Q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5" s="69" t="n">
        <f aca="false">MAX(3750,_xlfn.CEILING.MATH(TblProd[[#This Row],[Land]]*2.5+OFFSET(TblTech[[#This Row],[Sum of tech]],-1,0)*150))</f>
        <v>3750</v>
      </c>
      <c r="S115" s="132"/>
      <c r="T115" s="69" t="n">
        <f aca="false">ROUNDDOWN(TblProd[[#This Row],[Raw Plat/hr]]*(1+TblProd[[#This Row],[Bonus Plat/hr]]),0)</f>
        <v>30105</v>
      </c>
      <c r="U115" s="69" t="n">
        <f aca="false">ROUND(TblProd[[#This Row],[Raw Food/hr]]*(1+TblProd[[#This Row],[Bonus Food/hr]])-TblProd[[#This Row],[Food decay]]-TblProd[[#This Row],[Food eaten]],0)</f>
        <v>-2872</v>
      </c>
      <c r="V115" s="69" t="n">
        <f aca="false">ROUND(TblProd[[#This Row],[Raw Lumber/hr]]*(1+TblProd[[#This Row],[Bonus Lumber/hr]])-TblProd[[#This Row],[Lumber rot]],0)</f>
        <v>-4232</v>
      </c>
      <c r="W115" s="69" t="n">
        <f aca="false">ROUND(TblProd[[#This Row],[Raw Mana/hr]]*(1+TblProd[[#This Row],[Bonus Mana/hr]])-TblProd[[#This Row],[Mana drain]],0)</f>
        <v>-3312</v>
      </c>
      <c r="X115" s="69" t="n">
        <f aca="false">ROUNDDOWN(TblProd[[#This Row],[Raw Ore/hr]]*(1+TblProd[[#This Row],[Bonux Ore/hr]]),0)</f>
        <v>0</v>
      </c>
      <c r="Y115" s="69" t="n">
        <f aca="false">ROUNDDOWN(TblProd[[#This Row],[Raw Gems/hr]]*(1+TblProd[[#This Row],[Bonus Gems/hr]]),0)</f>
        <v>0</v>
      </c>
      <c r="Z115" s="148" t="n">
        <f aca="false">OFFSET(TblConstr[[#This Row],[Tot Doc]],1,0)*dock_boats_hr * (1 + tech_4_1*TblTech[[#This Row],[4-1]])</f>
        <v>1.2</v>
      </c>
      <c r="AA115" s="146"/>
      <c r="AB115" s="69" t="n">
        <f aca="false">TblPop[[#This Row],[Peasants]]*tax*TblPop[[#This Row],[Employment]] + (Construction!AZ116+Construction!BX116)*(alch_plat+(Magic!AM115&gt;0)*alchemist_flame_bonus)</f>
        <v>30105.9</v>
      </c>
      <c r="AC115" s="69" t="n">
        <f aca="false">TblConstr[[#This Row],[Tot Farm]]*farm_food + TblConstr[[#This Row],[Tot Doc]]*dock_food</f>
        <v>3280</v>
      </c>
      <c r="AD115" s="69" t="n">
        <f aca="false">TblConstr[[#This Row],[Tot Ly]]*ly_lumber + TblConstr[[#This Row],[Tot Hav]]*fh_lumber</f>
        <v>1250</v>
      </c>
      <c r="AE115" s="69" t="n">
        <f aca="false">OFFSET(TblConstr[[#This Row],[Tot Tow]],1,0)*(tower_mana + tech_4_5*TblTech[[#This Row],[4-5]]) + OFFSET(TblConstr[[#This Row],[Tot WG]],1,0)*wg_mana_prod</f>
        <v>725</v>
      </c>
      <c r="AF115" s="69" t="n">
        <f aca="false">OFFSET(TblConstr[[#This Row],[Tot OM]],1,0)*om_ore+IF(race="Dwarf",ROUNDDOWN(TblMili[[#This Row],[Unit 2]]*0.4,0),)</f>
        <v>0</v>
      </c>
      <c r="AG115" s="69" t="n">
        <f aca="false">OFFSET(TblConstr[[#This Row],[Tot DM]],1,0)*dm_gems</f>
        <v>0</v>
      </c>
      <c r="AH115" s="132"/>
      <c r="AI115" s="149" t="n">
        <f aca="false">MIN(race_platinum_bonus + IF(TblMagic[[#This Row],[Active Alch Frost]]&gt;0,alch_frost_bonus,IF(Magic!AD115&gt;0,midas_bonus)) + TblImps[[#This Row],[Science]] - TblProd[[#This Row],[Guard]]*(0.02 + tech_5_7*TblTech[[#This Row],[5-7]]) + tech_1_5*TblTech[[#This Row],[1-5]] + tech_4_4*TblTech[[#This Row],[4-4]], 0.5)</f>
        <v>0</v>
      </c>
      <c r="AJ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5" s="149" t="n">
        <f aca="false">race_lumber_bonus+ IF(TblMagic[[#This Row],[Active Gaia''s Blessing]]&gt;0,gaias_blessing_lumber)+ tech_1_3*TblTech[[#This Row],[1-3]] + tech_1_6*TblTech[[#This Row],[1-6]] + tech_3_3*TblTech[[#This Row],[3-3]]</f>
        <v>-0.1</v>
      </c>
      <c r="AL115" s="149" t="n">
        <f aca="false">race_mana_bonus+ 0 + TblImps[[#This Row],[Towers]] + tech_1_2*TblTech[[#This Row],[1-2]] + tech_3_4*TblTech[[#This Row],[3-4]]</f>
        <v>0</v>
      </c>
      <c r="AM115" s="149" t="n">
        <f aca="false">race_ore_bonus + IF(TblMagic[[#This Row],[Active Miner''s Sight]]&gt;0,miners_sight_bonus,IF(TblMagic[[#This Row],[Active Mining Strength]]&gt;0,mining_strength_bonus)) +  tech_1_6*TblTech[[#This Row],[1-6]]</f>
        <v>0</v>
      </c>
      <c r="AN115" s="149" t="n">
        <f aca="false">race_gem_bonus+ tech_3_2*TblTech[[#This Row],[3-2]] + tech_4_3*TblTech[[#This Row],[4-3]] + tech_6_2*TblTech[[#This Row],[6-2]]</f>
        <v>0.15</v>
      </c>
      <c r="AO115" s="132"/>
      <c r="AP115" s="69" t="n">
        <f aca="false">TblProd[[#This Row],[Food]]*food_decay * (1 + tech_2_1*TblTech[[#This Row],[2-1]] + tech_2_8*TblTech[[#This Row],[2-8]])</f>
        <v>3071.85</v>
      </c>
      <c r="AQ115" s="69" t="n">
        <f aca="false">(1+race_food_consumption)*TblPop[[#This Row],[Total]]*food_per_person*(1+tech_1_10*TblTech[[#This Row],[1-10]]+tech_7_5*TblTech[[#This Row],[7-5]])</f>
        <v>3162.25</v>
      </c>
      <c r="AR115" s="69" t="n">
        <f aca="false">TblProd[[#This Row],[Lumber]]*lumber_rot * (1 + tech_2_1*TblTech[[#This Row],[2-1]] + tech_2_8*TblTech[[#This Row],[2-8]] + tech_5_2*TblTech[[#This Row],[5-2]])</f>
        <v>5356.9</v>
      </c>
      <c r="AS115" s="69" t="n">
        <f aca="false">TblProd[[#This Row],[Mana]]*mana_drain * (1 + tech_2_1*TblTech[[#This Row],[2-1]] + tech_2_8*TblTech[[#This Row],[2-8]])</f>
        <v>4037.18</v>
      </c>
      <c r="AT115" s="146"/>
      <c r="AU115" s="69" t="n">
        <f aca="false">TblExplore[[#This Row],[Platinum (2)]]+TblConstr[[#This Row],[Total Plat Cost]]+TblMili[[#This Row],[Plat Cost]]+TblRezone[[#This Row],[Platinum cost]]+TblImps[[#This Row],[P1]]-TblProd[[#This Row],[Bank Plat]]</f>
        <v>-65340</v>
      </c>
      <c r="AV115" s="69" t="n">
        <f aca="false">TblConstr[[#This Row],[Total Lum Cost]]+TblImps[[#This Row],[L1]]-TblProd[[#This Row],[Bank Lumber]] + Military!$CL$25*TblMili[[#This Row],[Sec. rec. Cost]]</f>
        <v>-10800</v>
      </c>
      <c r="AW115" s="69" t="n">
        <f aca="false">TblMagic[[#This Row],[Mana cost]] + Military!$CL$26*TblMili[[#This Row],[Sec. rec. Cost]]</f>
        <v>0</v>
      </c>
      <c r="AX115" s="69" t="n">
        <f aca="false">Military!$CL$24*TblMili[[#This Row],[Sec. rec. Cost]]+TblImps[[#This Row],[O1]]-TblProd[[#This Row],[Bank Ore]]</f>
        <v>0</v>
      </c>
      <c r="AY115" s="69" t="n">
        <f aca="false">TblImps[[#This Row],[G1]]-TblProd[[#This Row],[Bank Gems]]</f>
        <v>0</v>
      </c>
      <c r="AZ115" s="132"/>
      <c r="BA115" s="33" t="n">
        <f aca="false">IF(TblProd[[#This Row],[Set Guard]]&lt;&gt;"",TblProd[[#This Row],[Set Guard]],OFFSET(TblProd[[#This Row],[Guard]],-1,0))</f>
        <v>0</v>
      </c>
      <c r="BB115" s="145"/>
      <c r="BC115" s="151" t="n">
        <f aca="false">TblProd[[#This Row],[Hour]]</f>
        <v>40</v>
      </c>
      <c r="BD115" s="152" t="n">
        <f aca="false">-TblProd[[#This Row],[Bank Lumber]] / 2 + -TblProd[[#This Row],[Bank Gems]] * 2 + -TblProd[[#This Row],[Bank Ore]] / 2</f>
        <v>0</v>
      </c>
      <c r="BE115" s="152"/>
      <c r="BF115" s="152"/>
      <c r="BG115" s="152"/>
      <c r="BH115" s="153" t="n">
        <f aca="false">TblProd[[#This Row],[Time]]</f>
        <v>45434.375</v>
      </c>
      <c r="BI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J115" s="69" t="n">
        <f aca="false">TblProd[[#This Row],[Platinum]]</f>
        <v>5479501</v>
      </c>
      <c r="BK115" s="69" t="n">
        <f aca="false">TblProd[[#This Row],[Food]]</f>
        <v>307185</v>
      </c>
      <c r="BL115" s="69" t="n">
        <f aca="false">TblProd[[#This Row],[Lumber]]</f>
        <v>535690</v>
      </c>
      <c r="BM115" s="69" t="n">
        <f aca="false">TblProd[[#This Row],[Mana]]</f>
        <v>201859</v>
      </c>
      <c r="BN115" s="69" t="n">
        <f aca="false">TblProd[[#This Row],[Ore]]</f>
        <v>-357</v>
      </c>
    </row>
    <row r="116" customFormat="false" ht="12.75" hidden="false" customHeight="false" outlineLevel="0" collapsed="false">
      <c r="A116" s="128" t="n">
        <v>41</v>
      </c>
      <c r="B116" s="144" t="n">
        <f aca="false">TblImps[[#This Row],[Time]]</f>
        <v>45434.4166666667</v>
      </c>
      <c r="C116" s="145"/>
      <c r="D116" s="146"/>
      <c r="E116" s="69" t="n">
        <f aca="false">TblConstr[[#This Row],[Land]]</f>
        <v>646</v>
      </c>
      <c r="F116" s="69" t="n">
        <f aca="false">TblPop[[#This Row],[Peasants]]</f>
        <v>6501</v>
      </c>
      <c r="G116" s="69"/>
      <c r="H116" s="69" t="e">
        <f aca="false">TblMili[[#This Row],[Networth (2)]]</f>
        <v>#VALUE!</v>
      </c>
      <c r="I116" s="69" t="n">
        <f aca="false">OFFSET(TblProd[[#This Row],[Platinum]],-1,0)+OFFSET(TblProd[[#This Row],[Plat/hr]],-1,0) - TblProd[[#This Row],[Expenses Platinum]] + IF(TblProd[[#This Row],[Plat Bonus]],TblPop[[#This Row],[Peasants]]*4) + SUM(TblConstr[[#This Row],[Dest Hom]:[Dest Doc]])*TblConstr[[#This Row],[CPA Platinum -DB]]*tech_3_3_2*TblTech[[#This Row],[3-3]]</f>
        <v>5574946</v>
      </c>
      <c r="J116" s="69" t="n">
        <f aca="false">OFFSET(TblProd[[#This Row],[Food]],-1,0)+OFFSET(TblProd[[#This Row],[Food/hr]],-1,0)+ROUNDUP((TblConstr[[#This Row],[Farms]]*80+TblConstr[[#This Row],[Docks]]*35)*(1+OFFSET(TblProd[[#This Row],[Bonus Food/hr]],-1,0)),0)</f>
        <v>304313</v>
      </c>
      <c r="K116" s="69" t="n">
        <f aca="false">OFFSET(TblProd[[#This Row],[Lumber]],-1,0)+OFFSET(TblProd[[#This Row],[Lumber/hr]],-1,0) - TblProd[[#This Row],[Expenses Lumber]] + SUM(TblConstr[[#This Row],[Dest Hom]:[Dest Doc]])*TblConstr[[#This Row],[CPA Lumber -DB]]*tech_3_3_2*TblTech[[#This Row],[3-3]]</f>
        <v>542258</v>
      </c>
      <c r="L116" s="69" t="n">
        <f aca="false">OFFSET(TblProd[[#This Row],[Mana]],-1,0)+OFFSET(TblProd[[#This Row],[Mana/hr]],-1,0)- TblProd[[#This Row],[Expenses Mana]]</f>
        <v>198547</v>
      </c>
      <c r="M116" s="69" t="n">
        <f aca="false">OFFSET(TblProd[[#This Row],[Ore]],-1,0)+OFFSET(TblProd[[#This Row],[Ore/hr]],-1,0) -TblProd[[#This Row],[Expenses Ore]]</f>
        <v>-357</v>
      </c>
      <c r="N116" s="69" t="n">
        <f aca="false">OFFSET(TblProd[[#This Row],[Gems]],-1,0)+OFFSET(TblProd[[#This Row],[Gems/hr]],-1,0) - TblProd[[#This Row],[Expenses Gems]]</f>
        <v>-1000</v>
      </c>
      <c r="O116" s="69" t="n">
        <f aca="false">OFFSET(TblProd[[#This Row],[Boats]],-1,0)+OFFSET(TblProd[[#This Row],[Boats/hr]],-1,0)</f>
        <v>76.2500000000001</v>
      </c>
      <c r="P116" s="69" t="n">
        <f aca="false">OFFSET(TblProd[[#This Row],[Prestige]],-1,0)</f>
        <v>250</v>
      </c>
      <c r="Q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6" s="69" t="n">
        <f aca="false">MAX(3750,_xlfn.CEILING.MATH(TblProd[[#This Row],[Land]]*2.5+OFFSET(TblTech[[#This Row],[Sum of tech]],-1,0)*150))</f>
        <v>3750</v>
      </c>
      <c r="S116" s="132"/>
      <c r="T116" s="69" t="n">
        <f aca="false">ROUNDDOWN(TblProd[[#This Row],[Raw Plat/hr]]*(1+TblProd[[#This Row],[Bonus Plat/hr]]),0)</f>
        <v>29927</v>
      </c>
      <c r="U116" s="69" t="n">
        <f aca="false">ROUND(TblProd[[#This Row],[Raw Food/hr]]*(1+TblProd[[#This Row],[Bonus Food/hr]])-TblProd[[#This Row],[Food decay]]-TblProd[[#This Row],[Food eaten]],0)</f>
        <v>-2843</v>
      </c>
      <c r="V116" s="69" t="n">
        <f aca="false">ROUND(TblProd[[#This Row],[Raw Lumber/hr]]*(1+TblProd[[#This Row],[Bonus Lumber/hr]])-TblProd[[#This Row],[Lumber rot]],0)</f>
        <v>-4298</v>
      </c>
      <c r="W116" s="69" t="n">
        <f aca="false">ROUND(TblProd[[#This Row],[Raw Mana/hr]]*(1+TblProd[[#This Row],[Bonus Mana/hr]])-TblProd[[#This Row],[Mana drain]],0)</f>
        <v>-3246</v>
      </c>
      <c r="X116" s="69" t="n">
        <f aca="false">ROUNDDOWN(TblProd[[#This Row],[Raw Ore/hr]]*(1+TblProd[[#This Row],[Bonux Ore/hr]]),0)</f>
        <v>0</v>
      </c>
      <c r="Y116" s="69" t="n">
        <f aca="false">ROUNDDOWN(TblProd[[#This Row],[Raw Gems/hr]]*(1+TblProd[[#This Row],[Bonus Gems/hr]]),0)</f>
        <v>0</v>
      </c>
      <c r="Z116" s="148" t="n">
        <f aca="false">OFFSET(TblConstr[[#This Row],[Tot Doc]],1,0)*dock_boats_hr * (1 + tech_4_1*TblTech[[#This Row],[4-1]])</f>
        <v>1.2</v>
      </c>
      <c r="AA116" s="146"/>
      <c r="AB116" s="69" t="n">
        <f aca="false">TblPop[[#This Row],[Peasants]]*tax*TblPop[[#This Row],[Employment]] + (Construction!AZ117+Construction!BX117)*(alch_plat+(Magic!AM116&gt;0)*alchemist_flame_bonus)</f>
        <v>29927.7</v>
      </c>
      <c r="AC116" s="69" t="n">
        <f aca="false">TblConstr[[#This Row],[Tot Farm]]*farm_food + TblConstr[[#This Row],[Tot Doc]]*dock_food</f>
        <v>3280</v>
      </c>
      <c r="AD116" s="69" t="n">
        <f aca="false">TblConstr[[#This Row],[Tot Ly]]*ly_lumber + TblConstr[[#This Row],[Tot Hav]]*fh_lumber</f>
        <v>1250</v>
      </c>
      <c r="AE116" s="69" t="n">
        <f aca="false">OFFSET(TblConstr[[#This Row],[Tot Tow]],1,0)*(tower_mana + tech_4_5*TblTech[[#This Row],[4-5]]) + OFFSET(TblConstr[[#This Row],[Tot WG]],1,0)*wg_mana_prod</f>
        <v>725</v>
      </c>
      <c r="AF116" s="69" t="n">
        <f aca="false">OFFSET(TblConstr[[#This Row],[Tot OM]],1,0)*om_ore+IF(race="Dwarf",ROUNDDOWN(TblMili[[#This Row],[Unit 2]]*0.4,0),)</f>
        <v>0</v>
      </c>
      <c r="AG116" s="69" t="n">
        <f aca="false">OFFSET(TblConstr[[#This Row],[Tot DM]],1,0)*dm_gems</f>
        <v>0</v>
      </c>
      <c r="AH116" s="132"/>
      <c r="AI116" s="149" t="n">
        <f aca="false">MIN(race_platinum_bonus + IF(TblMagic[[#This Row],[Active Alch Frost]]&gt;0,alch_frost_bonus,IF(Magic!AD116&gt;0,midas_bonus)) + TblImps[[#This Row],[Science]] - TblProd[[#This Row],[Guard]]*(0.02 + tech_5_7*TblTech[[#This Row],[5-7]]) + tech_1_5*TblTech[[#This Row],[1-5]] + tech_4_4*TblTech[[#This Row],[4-4]], 0.5)</f>
        <v>0</v>
      </c>
      <c r="AJ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6" s="149" t="n">
        <f aca="false">race_lumber_bonus+ IF(TblMagic[[#This Row],[Active Gaia''s Blessing]]&gt;0,gaias_blessing_lumber)+ tech_1_3*TblTech[[#This Row],[1-3]] + tech_1_6*TblTech[[#This Row],[1-6]] + tech_3_3*TblTech[[#This Row],[3-3]]</f>
        <v>-0.1</v>
      </c>
      <c r="AL116" s="149" t="n">
        <f aca="false">race_mana_bonus+ 0 + TblImps[[#This Row],[Towers]] + tech_1_2*TblTech[[#This Row],[1-2]] + tech_3_4*TblTech[[#This Row],[3-4]]</f>
        <v>0</v>
      </c>
      <c r="AM116" s="149" t="n">
        <f aca="false">race_ore_bonus + IF(TblMagic[[#This Row],[Active Miner''s Sight]]&gt;0,miners_sight_bonus,IF(TblMagic[[#This Row],[Active Mining Strength]]&gt;0,mining_strength_bonus)) +  tech_1_6*TblTech[[#This Row],[1-6]]</f>
        <v>0</v>
      </c>
      <c r="AN116" s="149" t="n">
        <f aca="false">race_gem_bonus+ tech_3_2*TblTech[[#This Row],[3-2]] + tech_4_3*TblTech[[#This Row],[4-3]] + tech_6_2*TblTech[[#This Row],[6-2]]</f>
        <v>0.15</v>
      </c>
      <c r="AO116" s="132"/>
      <c r="AP116" s="69" t="n">
        <f aca="false">TblProd[[#This Row],[Food]]*food_decay * (1 + tech_2_1*TblTech[[#This Row],[2-1]] + tech_2_8*TblTech[[#This Row],[2-8]])</f>
        <v>3043.13</v>
      </c>
      <c r="AQ116" s="69" t="n">
        <f aca="false">(1+race_food_consumption)*TblPop[[#This Row],[Total]]*food_per_person*(1+tech_1_10*TblTech[[#This Row],[1-10]]+tech_7_5*TblTech[[#This Row],[7-5]])</f>
        <v>3162.25</v>
      </c>
      <c r="AR116" s="69" t="n">
        <f aca="false">TblProd[[#This Row],[Lumber]]*lumber_rot * (1 + tech_2_1*TblTech[[#This Row],[2-1]] + tech_2_8*TblTech[[#This Row],[2-8]] + tech_5_2*TblTech[[#This Row],[5-2]])</f>
        <v>5422.58</v>
      </c>
      <c r="AS116" s="69" t="n">
        <f aca="false">TblProd[[#This Row],[Mana]]*mana_drain * (1 + tech_2_1*TblTech[[#This Row],[2-1]] + tech_2_8*TblTech[[#This Row],[2-8]])</f>
        <v>3970.94</v>
      </c>
      <c r="AT116" s="146"/>
      <c r="AU116" s="69" t="n">
        <f aca="false">TblExplore[[#This Row],[Platinum (2)]]+TblConstr[[#This Row],[Total Plat Cost]]+TblMili[[#This Row],[Plat Cost]]+TblRezone[[#This Row],[Platinum cost]]+TblImps[[#This Row],[P1]]-TblProd[[#This Row],[Bank Plat]]</f>
        <v>-65340</v>
      </c>
      <c r="AV116" s="69" t="n">
        <f aca="false">TblConstr[[#This Row],[Total Lum Cost]]+TblImps[[#This Row],[L1]]-TblProd[[#This Row],[Bank Lumber]] + Military!$CL$25*TblMili[[#This Row],[Sec. rec. Cost]]</f>
        <v>-10800</v>
      </c>
      <c r="AW116" s="69" t="n">
        <f aca="false">TblMagic[[#This Row],[Mana cost]] + Military!$CL$26*TblMili[[#This Row],[Sec. rec. Cost]]</f>
        <v>0</v>
      </c>
      <c r="AX116" s="69" t="n">
        <f aca="false">Military!$CL$24*TblMili[[#This Row],[Sec. rec. Cost]]+TblImps[[#This Row],[O1]]-TblProd[[#This Row],[Bank Ore]]</f>
        <v>0</v>
      </c>
      <c r="AY116" s="69" t="n">
        <f aca="false">TblImps[[#This Row],[G1]]-TblProd[[#This Row],[Bank Gems]]</f>
        <v>0</v>
      </c>
      <c r="AZ116" s="132"/>
      <c r="BA116" s="33" t="n">
        <f aca="false">IF(TblProd[[#This Row],[Set Guard]]&lt;&gt;"",TblProd[[#This Row],[Set Guard]],OFFSET(TblProd[[#This Row],[Guard]],-1,0))</f>
        <v>0</v>
      </c>
      <c r="BB116" s="145"/>
      <c r="BC116" s="151" t="n">
        <f aca="false">TblProd[[#This Row],[Hour]]</f>
        <v>41</v>
      </c>
      <c r="BD116" s="152" t="n">
        <f aca="false">-TblProd[[#This Row],[Bank Lumber]] / 2 + -TblProd[[#This Row],[Bank Gems]] * 2 + -TblProd[[#This Row],[Bank Ore]] / 2</f>
        <v>0</v>
      </c>
      <c r="BE116" s="152"/>
      <c r="BF116" s="152"/>
      <c r="BG116" s="152"/>
      <c r="BH116" s="153" t="n">
        <f aca="false">TblProd[[#This Row],[Time]]</f>
        <v>45434.4166666667</v>
      </c>
      <c r="BI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J116" s="69" t="n">
        <f aca="false">TblProd[[#This Row],[Platinum]]</f>
        <v>5574946</v>
      </c>
      <c r="BK116" s="69" t="n">
        <f aca="false">TblProd[[#This Row],[Food]]</f>
        <v>304313</v>
      </c>
      <c r="BL116" s="69" t="n">
        <f aca="false">TblProd[[#This Row],[Lumber]]</f>
        <v>542258</v>
      </c>
      <c r="BM116" s="69" t="n">
        <f aca="false">TblProd[[#This Row],[Mana]]</f>
        <v>198547</v>
      </c>
      <c r="BN116" s="69" t="n">
        <f aca="false">TblProd[[#This Row],[Ore]]</f>
        <v>-357</v>
      </c>
    </row>
    <row r="117" customFormat="false" ht="12.75" hidden="false" customHeight="false" outlineLevel="0" collapsed="false">
      <c r="A117" s="128" t="n">
        <v>42</v>
      </c>
      <c r="B117" s="144" t="n">
        <f aca="false">TblImps[[#This Row],[Time]]</f>
        <v>45434.4583333333</v>
      </c>
      <c r="C117" s="145"/>
      <c r="D117" s="146"/>
      <c r="E117" s="69" t="n">
        <f aca="false">TblConstr[[#This Row],[Land]]</f>
        <v>646</v>
      </c>
      <c r="F117" s="69" t="n">
        <f aca="false">TblPop[[#This Row],[Peasants]]</f>
        <v>6436</v>
      </c>
      <c r="G117" s="69"/>
      <c r="H117" s="69" t="e">
        <f aca="false">TblMili[[#This Row],[Networth (2)]]</f>
        <v>#VALUE!</v>
      </c>
      <c r="I117" s="69" t="n">
        <f aca="false">OFFSET(TblProd[[#This Row],[Platinum]],-1,0)+OFFSET(TblProd[[#This Row],[Plat/hr]],-1,0) - TblProd[[#This Row],[Expenses Platinum]] + IF(TblProd[[#This Row],[Plat Bonus]],TblPop[[#This Row],[Peasants]]*4) + SUM(TblConstr[[#This Row],[Dest Hom]:[Dest Doc]])*TblConstr[[#This Row],[CPA Platinum -DB]]*tech_3_3_2*TblTech[[#This Row],[3-3]]</f>
        <v>5670213</v>
      </c>
      <c r="J117" s="69" t="n">
        <f aca="false">OFFSET(TblProd[[#This Row],[Food]],-1,0)+OFFSET(TblProd[[#This Row],[Food/hr]],-1,0)+ROUNDUP((TblConstr[[#This Row],[Farms]]*80+TblConstr[[#This Row],[Docks]]*35)*(1+OFFSET(TblProd[[#This Row],[Bonus Food/hr]],-1,0)),0)</f>
        <v>301470</v>
      </c>
      <c r="K117" s="69" t="n">
        <f aca="false">OFFSET(TblProd[[#This Row],[Lumber]],-1,0)+OFFSET(TblProd[[#This Row],[Lumber/hr]],-1,0) - TblProd[[#This Row],[Expenses Lumber]] + SUM(TblConstr[[#This Row],[Dest Hom]:[Dest Doc]])*TblConstr[[#This Row],[CPA Lumber -DB]]*tech_3_3_2*TblTech[[#This Row],[3-3]]</f>
        <v>548760</v>
      </c>
      <c r="L117" s="69" t="n">
        <f aca="false">OFFSET(TblProd[[#This Row],[Mana]],-1,0)+OFFSET(TblProd[[#This Row],[Mana/hr]],-1,0)- TblProd[[#This Row],[Expenses Mana]]</f>
        <v>195301</v>
      </c>
      <c r="M117" s="69" t="n">
        <f aca="false">OFFSET(TblProd[[#This Row],[Ore]],-1,0)+OFFSET(TblProd[[#This Row],[Ore/hr]],-1,0) -TblProd[[#This Row],[Expenses Ore]]</f>
        <v>-357</v>
      </c>
      <c r="N117" s="69" t="n">
        <f aca="false">OFFSET(TblProd[[#This Row],[Gems]],-1,0)+OFFSET(TblProd[[#This Row],[Gems/hr]],-1,0) - TblProd[[#This Row],[Expenses Gems]]</f>
        <v>-1000</v>
      </c>
      <c r="O117" s="69" t="n">
        <f aca="false">OFFSET(TblProd[[#This Row],[Boats]],-1,0)+OFFSET(TblProd[[#This Row],[Boats/hr]],-1,0)</f>
        <v>77.4500000000001</v>
      </c>
      <c r="P117" s="69" t="n">
        <f aca="false">OFFSET(TblProd[[#This Row],[Prestige]],-1,0)</f>
        <v>250</v>
      </c>
      <c r="Q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7" s="69" t="n">
        <f aca="false">MAX(3750,_xlfn.CEILING.MATH(TblProd[[#This Row],[Land]]*2.5+OFFSET(TblTech[[#This Row],[Sum of tech]],-1,0)*150))</f>
        <v>3750</v>
      </c>
      <c r="S117" s="132"/>
      <c r="T117" s="69" t="n">
        <f aca="false">ROUNDDOWN(TblProd[[#This Row],[Raw Plat/hr]]*(1+TblProd[[#This Row],[Bonus Plat/hr]]),0)</f>
        <v>29752</v>
      </c>
      <c r="U117" s="69" t="n">
        <f aca="false">ROUND(TblProd[[#This Row],[Raw Food/hr]]*(1+TblProd[[#This Row],[Bonus Food/hr]])-TblProd[[#This Row],[Food decay]]-TblProd[[#This Row],[Food eaten]],0)</f>
        <v>-2815</v>
      </c>
      <c r="V117" s="69" t="n">
        <f aca="false">ROUND(TblProd[[#This Row],[Raw Lumber/hr]]*(1+TblProd[[#This Row],[Bonus Lumber/hr]])-TblProd[[#This Row],[Lumber rot]],0)</f>
        <v>-4363</v>
      </c>
      <c r="W117" s="69" t="n">
        <f aca="false">ROUND(TblProd[[#This Row],[Raw Mana/hr]]*(1+TblProd[[#This Row],[Bonus Mana/hr]])-TblProd[[#This Row],[Mana drain]],0)</f>
        <v>-3181</v>
      </c>
      <c r="X117" s="69" t="n">
        <f aca="false">ROUNDDOWN(TblProd[[#This Row],[Raw Ore/hr]]*(1+TblProd[[#This Row],[Bonux Ore/hr]]),0)</f>
        <v>0</v>
      </c>
      <c r="Y117" s="69" t="n">
        <f aca="false">ROUNDDOWN(TblProd[[#This Row],[Raw Gems/hr]]*(1+TblProd[[#This Row],[Bonus Gems/hr]]),0)</f>
        <v>0</v>
      </c>
      <c r="Z117" s="148" t="n">
        <f aca="false">OFFSET(TblConstr[[#This Row],[Tot Doc]],1,0)*dock_boats_hr * (1 + tech_4_1*TblTech[[#This Row],[4-1]])</f>
        <v>1.2</v>
      </c>
      <c r="AA117" s="146"/>
      <c r="AB117" s="69" t="n">
        <f aca="false">TblPop[[#This Row],[Peasants]]*tax*TblPop[[#This Row],[Employment]] + (Construction!AZ118+Construction!BX118)*(alch_plat+(Magic!AM117&gt;0)*alchemist_flame_bonus)</f>
        <v>29752.2</v>
      </c>
      <c r="AC117" s="69" t="n">
        <f aca="false">TblConstr[[#This Row],[Tot Farm]]*farm_food + TblConstr[[#This Row],[Tot Doc]]*dock_food</f>
        <v>3280</v>
      </c>
      <c r="AD117" s="69" t="n">
        <f aca="false">TblConstr[[#This Row],[Tot Ly]]*ly_lumber + TblConstr[[#This Row],[Tot Hav]]*fh_lumber</f>
        <v>1250</v>
      </c>
      <c r="AE117" s="69" t="n">
        <f aca="false">OFFSET(TblConstr[[#This Row],[Tot Tow]],1,0)*(tower_mana + tech_4_5*TblTech[[#This Row],[4-5]]) + OFFSET(TblConstr[[#This Row],[Tot WG]],1,0)*wg_mana_prod</f>
        <v>725</v>
      </c>
      <c r="AF117" s="69" t="n">
        <f aca="false">OFFSET(TblConstr[[#This Row],[Tot OM]],1,0)*om_ore+IF(race="Dwarf",ROUNDDOWN(TblMili[[#This Row],[Unit 2]]*0.4,0),)</f>
        <v>0</v>
      </c>
      <c r="AG117" s="69" t="n">
        <f aca="false">OFFSET(TblConstr[[#This Row],[Tot DM]],1,0)*dm_gems</f>
        <v>0</v>
      </c>
      <c r="AH117" s="132"/>
      <c r="AI117" s="149" t="n">
        <f aca="false">MIN(race_platinum_bonus + IF(TblMagic[[#This Row],[Active Alch Frost]]&gt;0,alch_frost_bonus,IF(Magic!AD117&gt;0,midas_bonus)) + TblImps[[#This Row],[Science]] - TblProd[[#This Row],[Guard]]*(0.02 + tech_5_7*TblTech[[#This Row],[5-7]]) + tech_1_5*TblTech[[#This Row],[1-5]] + tech_4_4*TblTech[[#This Row],[4-4]], 0.5)</f>
        <v>0</v>
      </c>
      <c r="AJ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7" s="149" t="n">
        <f aca="false">race_lumber_bonus+ IF(TblMagic[[#This Row],[Active Gaia''s Blessing]]&gt;0,gaias_blessing_lumber)+ tech_1_3*TblTech[[#This Row],[1-3]] + tech_1_6*TblTech[[#This Row],[1-6]] + tech_3_3*TblTech[[#This Row],[3-3]]</f>
        <v>-0.1</v>
      </c>
      <c r="AL117" s="149" t="n">
        <f aca="false">race_mana_bonus+ 0 + TblImps[[#This Row],[Towers]] + tech_1_2*TblTech[[#This Row],[1-2]] + tech_3_4*TblTech[[#This Row],[3-4]]</f>
        <v>0</v>
      </c>
      <c r="AM117" s="149" t="n">
        <f aca="false">race_ore_bonus + IF(TblMagic[[#This Row],[Active Miner''s Sight]]&gt;0,miners_sight_bonus,IF(TblMagic[[#This Row],[Active Mining Strength]]&gt;0,mining_strength_bonus)) +  tech_1_6*TblTech[[#This Row],[1-6]]</f>
        <v>0</v>
      </c>
      <c r="AN117" s="149" t="n">
        <f aca="false">race_gem_bonus+ tech_3_2*TblTech[[#This Row],[3-2]] + tech_4_3*TblTech[[#This Row],[4-3]] + tech_6_2*TblTech[[#This Row],[6-2]]</f>
        <v>0.15</v>
      </c>
      <c r="AO117" s="132"/>
      <c r="AP117" s="69" t="n">
        <f aca="false">TblProd[[#This Row],[Food]]*food_decay * (1 + tech_2_1*TblTech[[#This Row],[2-1]] + tech_2_8*TblTech[[#This Row],[2-8]])</f>
        <v>3014.7</v>
      </c>
      <c r="AQ117" s="69" t="n">
        <f aca="false">(1+race_food_consumption)*TblPop[[#This Row],[Total]]*food_per_person*(1+tech_1_10*TblTech[[#This Row],[1-10]]+tech_7_5*TblTech[[#This Row],[7-5]])</f>
        <v>3162.25</v>
      </c>
      <c r="AR117" s="69" t="n">
        <f aca="false">TblProd[[#This Row],[Lumber]]*lumber_rot * (1 + tech_2_1*TblTech[[#This Row],[2-1]] + tech_2_8*TblTech[[#This Row],[2-8]] + tech_5_2*TblTech[[#This Row],[5-2]])</f>
        <v>5487.6</v>
      </c>
      <c r="AS117" s="69" t="n">
        <f aca="false">TblProd[[#This Row],[Mana]]*mana_drain * (1 + tech_2_1*TblTech[[#This Row],[2-1]] + tech_2_8*TblTech[[#This Row],[2-8]])</f>
        <v>3906.02</v>
      </c>
      <c r="AT117" s="146"/>
      <c r="AU117" s="69" t="n">
        <f aca="false">TblExplore[[#This Row],[Platinum (2)]]+TblConstr[[#This Row],[Total Plat Cost]]+TblMili[[#This Row],[Plat Cost]]+TblRezone[[#This Row],[Platinum cost]]+TblImps[[#This Row],[P1]]-TblProd[[#This Row],[Bank Plat]]</f>
        <v>-65340</v>
      </c>
      <c r="AV117" s="69" t="n">
        <f aca="false">TblConstr[[#This Row],[Total Lum Cost]]+TblImps[[#This Row],[L1]]-TblProd[[#This Row],[Bank Lumber]] + Military!$CL$25*TblMili[[#This Row],[Sec. rec. Cost]]</f>
        <v>-10800</v>
      </c>
      <c r="AW117" s="69" t="n">
        <f aca="false">TblMagic[[#This Row],[Mana cost]] + Military!$CL$26*TblMili[[#This Row],[Sec. rec. Cost]]</f>
        <v>0</v>
      </c>
      <c r="AX117" s="69" t="n">
        <f aca="false">Military!$CL$24*TblMili[[#This Row],[Sec. rec. Cost]]+TblImps[[#This Row],[O1]]-TblProd[[#This Row],[Bank Ore]]</f>
        <v>0</v>
      </c>
      <c r="AY117" s="69" t="n">
        <f aca="false">TblImps[[#This Row],[G1]]-TblProd[[#This Row],[Bank Gems]]</f>
        <v>0</v>
      </c>
      <c r="AZ117" s="132"/>
      <c r="BA117" s="33" t="n">
        <f aca="false">IF(TblProd[[#This Row],[Set Guard]]&lt;&gt;"",TblProd[[#This Row],[Set Guard]],OFFSET(TblProd[[#This Row],[Guard]],-1,0))</f>
        <v>0</v>
      </c>
      <c r="BB117" s="145"/>
      <c r="BC117" s="151" t="n">
        <f aca="false">TblProd[[#This Row],[Hour]]</f>
        <v>42</v>
      </c>
      <c r="BD117" s="152" t="n">
        <f aca="false">-TblProd[[#This Row],[Bank Lumber]] / 2 + -TblProd[[#This Row],[Bank Gems]] * 2 + -TblProd[[#This Row],[Bank Ore]] / 2</f>
        <v>0</v>
      </c>
      <c r="BE117" s="152"/>
      <c r="BF117" s="152"/>
      <c r="BG117" s="152"/>
      <c r="BH117" s="153" t="n">
        <f aca="false">TblProd[[#This Row],[Time]]</f>
        <v>45434.4583333333</v>
      </c>
      <c r="BI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J117" s="69" t="n">
        <f aca="false">TblProd[[#This Row],[Platinum]]</f>
        <v>5670213</v>
      </c>
      <c r="BK117" s="69" t="n">
        <f aca="false">TblProd[[#This Row],[Food]]</f>
        <v>301470</v>
      </c>
      <c r="BL117" s="69" t="n">
        <f aca="false">TblProd[[#This Row],[Lumber]]</f>
        <v>548760</v>
      </c>
      <c r="BM117" s="69" t="n">
        <f aca="false">TblProd[[#This Row],[Mana]]</f>
        <v>195301</v>
      </c>
      <c r="BN117" s="69" t="n">
        <f aca="false">TblProd[[#This Row],[Ore]]</f>
        <v>-357</v>
      </c>
    </row>
    <row r="118" customFormat="false" ht="12.75" hidden="false" customHeight="false" outlineLevel="0" collapsed="false">
      <c r="A118" s="128" t="n">
        <v>43</v>
      </c>
      <c r="B118" s="144" t="n">
        <f aca="false">TblImps[[#This Row],[Time]]</f>
        <v>45434.5</v>
      </c>
      <c r="C118" s="145"/>
      <c r="D118" s="146"/>
      <c r="E118" s="69" t="n">
        <f aca="false">TblConstr[[#This Row],[Land]]</f>
        <v>646</v>
      </c>
      <c r="F118" s="69" t="n">
        <f aca="false">TblPop[[#This Row],[Peasants]]</f>
        <v>6372</v>
      </c>
      <c r="G118" s="69"/>
      <c r="H118" s="69" t="e">
        <f aca="false">TblMili[[#This Row],[Networth (2)]]</f>
        <v>#VALUE!</v>
      </c>
      <c r="I118" s="69" t="n">
        <f aca="false">OFFSET(TblProd[[#This Row],[Platinum]],-1,0)+OFFSET(TblProd[[#This Row],[Plat/hr]],-1,0) - TblProd[[#This Row],[Expenses Platinum]] + IF(TblProd[[#This Row],[Plat Bonus]],TblPop[[#This Row],[Peasants]]*4) + SUM(TblConstr[[#This Row],[Dest Hom]:[Dest Doc]])*TblConstr[[#This Row],[CPA Platinum -DB]]*tech_3_3_2*TblTech[[#This Row],[3-3]]</f>
        <v>5765305</v>
      </c>
      <c r="J118" s="69" t="n">
        <f aca="false">OFFSET(TblProd[[#This Row],[Food]],-1,0)+OFFSET(TblProd[[#This Row],[Food/hr]],-1,0)+ROUNDUP((TblConstr[[#This Row],[Farms]]*80+TblConstr[[#This Row],[Docks]]*35)*(1+OFFSET(TblProd[[#This Row],[Bonus Food/hr]],-1,0)),0)</f>
        <v>298655</v>
      </c>
      <c r="K118" s="69" t="n">
        <f aca="false">OFFSET(TblProd[[#This Row],[Lumber]],-1,0)+OFFSET(TblProd[[#This Row],[Lumber/hr]],-1,0) - TblProd[[#This Row],[Expenses Lumber]] + SUM(TblConstr[[#This Row],[Dest Hom]:[Dest Doc]])*TblConstr[[#This Row],[CPA Lumber -DB]]*tech_3_3_2*TblTech[[#This Row],[3-3]]</f>
        <v>555197</v>
      </c>
      <c r="L118" s="69" t="n">
        <f aca="false">OFFSET(TblProd[[#This Row],[Mana]],-1,0)+OFFSET(TblProd[[#This Row],[Mana/hr]],-1,0)- TblProd[[#This Row],[Expenses Mana]]</f>
        <v>192120</v>
      </c>
      <c r="M118" s="69" t="n">
        <f aca="false">OFFSET(TblProd[[#This Row],[Ore]],-1,0)+OFFSET(TblProd[[#This Row],[Ore/hr]],-1,0) -TblProd[[#This Row],[Expenses Ore]]</f>
        <v>-357</v>
      </c>
      <c r="N118" s="69" t="n">
        <f aca="false">OFFSET(TblProd[[#This Row],[Gems]],-1,0)+OFFSET(TblProd[[#This Row],[Gems/hr]],-1,0) - TblProd[[#This Row],[Expenses Gems]]</f>
        <v>-1000</v>
      </c>
      <c r="O118" s="69" t="n">
        <f aca="false">OFFSET(TblProd[[#This Row],[Boats]],-1,0)+OFFSET(TblProd[[#This Row],[Boats/hr]],-1,0)</f>
        <v>78.6500000000001</v>
      </c>
      <c r="P118" s="69" t="n">
        <f aca="false">OFFSET(TblProd[[#This Row],[Prestige]],-1,0)</f>
        <v>250</v>
      </c>
      <c r="Q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8" s="69" t="n">
        <f aca="false">MAX(3750,_xlfn.CEILING.MATH(TblProd[[#This Row],[Land]]*2.5+OFFSET(TblTech[[#This Row],[Sum of tech]],-1,0)*150))</f>
        <v>3750</v>
      </c>
      <c r="S118" s="132"/>
      <c r="T118" s="69" t="n">
        <f aca="false">ROUNDDOWN(TblProd[[#This Row],[Raw Plat/hr]]*(1+TblProd[[#This Row],[Bonus Plat/hr]]),0)</f>
        <v>29579</v>
      </c>
      <c r="U118" s="69" t="n">
        <f aca="false">ROUND(TblProd[[#This Row],[Raw Food/hr]]*(1+TblProd[[#This Row],[Bonus Food/hr]])-TblProd[[#This Row],[Food decay]]-TblProd[[#This Row],[Food eaten]],0)</f>
        <v>-2787</v>
      </c>
      <c r="V118" s="69" t="n">
        <f aca="false">ROUND(TblProd[[#This Row],[Raw Lumber/hr]]*(1+TblProd[[#This Row],[Bonus Lumber/hr]])-TblProd[[#This Row],[Lumber rot]],0)</f>
        <v>-4427</v>
      </c>
      <c r="W118" s="69" t="n">
        <f aca="false">ROUND(TblProd[[#This Row],[Raw Mana/hr]]*(1+TblProd[[#This Row],[Bonus Mana/hr]])-TblProd[[#This Row],[Mana drain]],0)</f>
        <v>-3117</v>
      </c>
      <c r="X118" s="69" t="n">
        <f aca="false">ROUNDDOWN(TblProd[[#This Row],[Raw Ore/hr]]*(1+TblProd[[#This Row],[Bonux Ore/hr]]),0)</f>
        <v>0</v>
      </c>
      <c r="Y118" s="69" t="n">
        <f aca="false">ROUNDDOWN(TblProd[[#This Row],[Raw Gems/hr]]*(1+TblProd[[#This Row],[Bonus Gems/hr]]),0)</f>
        <v>0</v>
      </c>
      <c r="Z118" s="148" t="n">
        <f aca="false">OFFSET(TblConstr[[#This Row],[Tot Doc]],1,0)*dock_boats_hr * (1 + tech_4_1*TblTech[[#This Row],[4-1]])</f>
        <v>1.2</v>
      </c>
      <c r="AA118" s="146"/>
      <c r="AB118" s="69" t="n">
        <f aca="false">TblPop[[#This Row],[Peasants]]*tax*TblPop[[#This Row],[Employment]] + (Construction!AZ119+Construction!BX119)*(alch_plat+(Magic!AM118&gt;0)*alchemist_flame_bonus)</f>
        <v>29579.4</v>
      </c>
      <c r="AC118" s="69" t="n">
        <f aca="false">TblConstr[[#This Row],[Tot Farm]]*farm_food + TblConstr[[#This Row],[Tot Doc]]*dock_food</f>
        <v>3280</v>
      </c>
      <c r="AD118" s="69" t="n">
        <f aca="false">TblConstr[[#This Row],[Tot Ly]]*ly_lumber + TblConstr[[#This Row],[Tot Hav]]*fh_lumber</f>
        <v>1250</v>
      </c>
      <c r="AE118" s="69" t="n">
        <f aca="false">OFFSET(TblConstr[[#This Row],[Tot Tow]],1,0)*(tower_mana + tech_4_5*TblTech[[#This Row],[4-5]]) + OFFSET(TblConstr[[#This Row],[Tot WG]],1,0)*wg_mana_prod</f>
        <v>725</v>
      </c>
      <c r="AF118" s="69" t="n">
        <f aca="false">OFFSET(TblConstr[[#This Row],[Tot OM]],1,0)*om_ore+IF(race="Dwarf",ROUNDDOWN(TblMili[[#This Row],[Unit 2]]*0.4,0),)</f>
        <v>0</v>
      </c>
      <c r="AG118" s="69" t="n">
        <f aca="false">OFFSET(TblConstr[[#This Row],[Tot DM]],1,0)*dm_gems</f>
        <v>0</v>
      </c>
      <c r="AH118" s="132"/>
      <c r="AI118" s="149" t="n">
        <f aca="false">MIN(race_platinum_bonus + IF(TblMagic[[#This Row],[Active Alch Frost]]&gt;0,alch_frost_bonus,IF(Magic!AD118&gt;0,midas_bonus)) + TblImps[[#This Row],[Science]] - TblProd[[#This Row],[Guard]]*(0.02 + tech_5_7*TblTech[[#This Row],[5-7]]) + tech_1_5*TblTech[[#This Row],[1-5]] + tech_4_4*TblTech[[#This Row],[4-4]], 0.5)</f>
        <v>0</v>
      </c>
      <c r="AJ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8" s="149" t="n">
        <f aca="false">race_lumber_bonus+ IF(TblMagic[[#This Row],[Active Gaia''s Blessing]]&gt;0,gaias_blessing_lumber)+ tech_1_3*TblTech[[#This Row],[1-3]] + tech_1_6*TblTech[[#This Row],[1-6]] + tech_3_3*TblTech[[#This Row],[3-3]]</f>
        <v>-0.1</v>
      </c>
      <c r="AL118" s="149" t="n">
        <f aca="false">race_mana_bonus+ 0 + TblImps[[#This Row],[Towers]] + tech_1_2*TblTech[[#This Row],[1-2]] + tech_3_4*TblTech[[#This Row],[3-4]]</f>
        <v>0</v>
      </c>
      <c r="AM118" s="149" t="n">
        <f aca="false">race_ore_bonus + IF(TblMagic[[#This Row],[Active Miner''s Sight]]&gt;0,miners_sight_bonus,IF(TblMagic[[#This Row],[Active Mining Strength]]&gt;0,mining_strength_bonus)) +  tech_1_6*TblTech[[#This Row],[1-6]]</f>
        <v>0</v>
      </c>
      <c r="AN118" s="149" t="n">
        <f aca="false">race_gem_bonus+ tech_3_2*TblTech[[#This Row],[3-2]] + tech_4_3*TblTech[[#This Row],[4-3]] + tech_6_2*TblTech[[#This Row],[6-2]]</f>
        <v>0.15</v>
      </c>
      <c r="AO118" s="132"/>
      <c r="AP118" s="69" t="n">
        <f aca="false">TblProd[[#This Row],[Food]]*food_decay * (1 + tech_2_1*TblTech[[#This Row],[2-1]] + tech_2_8*TblTech[[#This Row],[2-8]])</f>
        <v>2986.55</v>
      </c>
      <c r="AQ118" s="69" t="n">
        <f aca="false">(1+race_food_consumption)*TblPop[[#This Row],[Total]]*food_per_person*(1+tech_1_10*TblTech[[#This Row],[1-10]]+tech_7_5*TblTech[[#This Row],[7-5]])</f>
        <v>3162.25</v>
      </c>
      <c r="AR118" s="69" t="n">
        <f aca="false">TblProd[[#This Row],[Lumber]]*lumber_rot * (1 + tech_2_1*TblTech[[#This Row],[2-1]] + tech_2_8*TblTech[[#This Row],[2-8]] + tech_5_2*TblTech[[#This Row],[5-2]])</f>
        <v>5551.97</v>
      </c>
      <c r="AS118" s="69" t="n">
        <f aca="false">TblProd[[#This Row],[Mana]]*mana_drain * (1 + tech_2_1*TblTech[[#This Row],[2-1]] + tech_2_8*TblTech[[#This Row],[2-8]])</f>
        <v>3842.4</v>
      </c>
      <c r="AT118" s="146"/>
      <c r="AU118" s="69" t="n">
        <f aca="false">TblExplore[[#This Row],[Platinum (2)]]+TblConstr[[#This Row],[Total Plat Cost]]+TblMili[[#This Row],[Plat Cost]]+TblRezone[[#This Row],[Platinum cost]]+TblImps[[#This Row],[P1]]-TblProd[[#This Row],[Bank Plat]]</f>
        <v>-65340</v>
      </c>
      <c r="AV118" s="69" t="n">
        <f aca="false">TblConstr[[#This Row],[Total Lum Cost]]+TblImps[[#This Row],[L1]]-TblProd[[#This Row],[Bank Lumber]] + Military!$CL$25*TblMili[[#This Row],[Sec. rec. Cost]]</f>
        <v>-10800</v>
      </c>
      <c r="AW118" s="69" t="n">
        <f aca="false">TblMagic[[#This Row],[Mana cost]] + Military!$CL$26*TblMili[[#This Row],[Sec. rec. Cost]]</f>
        <v>0</v>
      </c>
      <c r="AX118" s="69" t="n">
        <f aca="false">Military!$CL$24*TblMili[[#This Row],[Sec. rec. Cost]]+TblImps[[#This Row],[O1]]-TblProd[[#This Row],[Bank Ore]]</f>
        <v>0</v>
      </c>
      <c r="AY118" s="69" t="n">
        <f aca="false">TblImps[[#This Row],[G1]]-TblProd[[#This Row],[Bank Gems]]</f>
        <v>0</v>
      </c>
      <c r="AZ118" s="132"/>
      <c r="BA118" s="33" t="n">
        <f aca="false">IF(TblProd[[#This Row],[Set Guard]]&lt;&gt;"",TblProd[[#This Row],[Set Guard]],OFFSET(TblProd[[#This Row],[Guard]],-1,0))</f>
        <v>0</v>
      </c>
      <c r="BB118" s="145"/>
      <c r="BC118" s="151" t="n">
        <f aca="false">TblProd[[#This Row],[Hour]]</f>
        <v>43</v>
      </c>
      <c r="BD118" s="152" t="n">
        <f aca="false">-TblProd[[#This Row],[Bank Lumber]] / 2 + -TblProd[[#This Row],[Bank Gems]] * 2 + -TblProd[[#This Row],[Bank Ore]] / 2</f>
        <v>0</v>
      </c>
      <c r="BE118" s="152"/>
      <c r="BF118" s="152"/>
      <c r="BG118" s="152"/>
      <c r="BH118" s="153" t="n">
        <f aca="false">TblProd[[#This Row],[Time]]</f>
        <v>45434.5</v>
      </c>
      <c r="BI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J118" s="69" t="n">
        <f aca="false">TblProd[[#This Row],[Platinum]]</f>
        <v>5765305</v>
      </c>
      <c r="BK118" s="69" t="n">
        <f aca="false">TblProd[[#This Row],[Food]]</f>
        <v>298655</v>
      </c>
      <c r="BL118" s="69" t="n">
        <f aca="false">TblProd[[#This Row],[Lumber]]</f>
        <v>555197</v>
      </c>
      <c r="BM118" s="69" t="n">
        <f aca="false">TblProd[[#This Row],[Mana]]</f>
        <v>192120</v>
      </c>
      <c r="BN118" s="69" t="n">
        <f aca="false">TblProd[[#This Row],[Ore]]</f>
        <v>-357</v>
      </c>
    </row>
    <row r="119" customFormat="false" ht="12.75" hidden="false" customHeight="false" outlineLevel="0" collapsed="false">
      <c r="A119" s="128" t="n">
        <v>44</v>
      </c>
      <c r="B119" s="144" t="n">
        <f aca="false">TblImps[[#This Row],[Time]]</f>
        <v>45434.5416666667</v>
      </c>
      <c r="C119" s="145"/>
      <c r="D119" s="146"/>
      <c r="E119" s="69" t="n">
        <f aca="false">TblConstr[[#This Row],[Land]]</f>
        <v>646</v>
      </c>
      <c r="F119" s="69" t="n">
        <f aca="false">TblPop[[#This Row],[Peasants]]</f>
        <v>6308</v>
      </c>
      <c r="G119" s="69"/>
      <c r="H119" s="69" t="e">
        <f aca="false">TblMili[[#This Row],[Networth (2)]]</f>
        <v>#VALUE!</v>
      </c>
      <c r="I119" s="69" t="n">
        <f aca="false">OFFSET(TblProd[[#This Row],[Platinum]],-1,0)+OFFSET(TblProd[[#This Row],[Plat/hr]],-1,0) - TblProd[[#This Row],[Expenses Platinum]] + IF(TblProd[[#This Row],[Plat Bonus]],TblPop[[#This Row],[Peasants]]*4) + SUM(TblConstr[[#This Row],[Dest Hom]:[Dest Doc]])*TblConstr[[#This Row],[CPA Platinum -DB]]*tech_3_3_2*TblTech[[#This Row],[3-3]]</f>
        <v>5860224</v>
      </c>
      <c r="J119" s="69" t="n">
        <f aca="false">OFFSET(TblProd[[#This Row],[Food]],-1,0)+OFFSET(TblProd[[#This Row],[Food/hr]],-1,0)+ROUNDUP((TblConstr[[#This Row],[Farms]]*80+TblConstr[[#This Row],[Docks]]*35)*(1+OFFSET(TblProd[[#This Row],[Bonus Food/hr]],-1,0)),0)</f>
        <v>295868</v>
      </c>
      <c r="K119" s="69" t="n">
        <f aca="false">OFFSET(TblProd[[#This Row],[Lumber]],-1,0)+OFFSET(TblProd[[#This Row],[Lumber/hr]],-1,0) - TblProd[[#This Row],[Expenses Lumber]] + SUM(TblConstr[[#This Row],[Dest Hom]:[Dest Doc]])*TblConstr[[#This Row],[CPA Lumber -DB]]*tech_3_3_2*TblTech[[#This Row],[3-3]]</f>
        <v>561570</v>
      </c>
      <c r="L119" s="69" t="n">
        <f aca="false">OFFSET(TblProd[[#This Row],[Mana]],-1,0)+OFFSET(TblProd[[#This Row],[Mana/hr]],-1,0)- TblProd[[#This Row],[Expenses Mana]]</f>
        <v>189003</v>
      </c>
      <c r="M119" s="69" t="n">
        <f aca="false">OFFSET(TblProd[[#This Row],[Ore]],-1,0)+OFFSET(TblProd[[#This Row],[Ore/hr]],-1,0) -TblProd[[#This Row],[Expenses Ore]]</f>
        <v>-357</v>
      </c>
      <c r="N119" s="69" t="n">
        <f aca="false">OFFSET(TblProd[[#This Row],[Gems]],-1,0)+OFFSET(TblProd[[#This Row],[Gems/hr]],-1,0) - TblProd[[#This Row],[Expenses Gems]]</f>
        <v>-1000</v>
      </c>
      <c r="O119" s="69" t="n">
        <f aca="false">OFFSET(TblProd[[#This Row],[Boats]],-1,0)+OFFSET(TblProd[[#This Row],[Boats/hr]],-1,0)</f>
        <v>79.8500000000001</v>
      </c>
      <c r="P119" s="69" t="n">
        <f aca="false">OFFSET(TblProd[[#This Row],[Prestige]],-1,0)</f>
        <v>250</v>
      </c>
      <c r="Q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19" s="69" t="n">
        <f aca="false">MAX(3750,_xlfn.CEILING.MATH(TblProd[[#This Row],[Land]]*2.5+OFFSET(TblTech[[#This Row],[Sum of tech]],-1,0)*150))</f>
        <v>3750</v>
      </c>
      <c r="S119" s="132"/>
      <c r="T119" s="69" t="n">
        <f aca="false">ROUNDDOWN(TblProd[[#This Row],[Raw Plat/hr]]*(1+TblProd[[#This Row],[Bonus Plat/hr]]),0)</f>
        <v>29406</v>
      </c>
      <c r="U119" s="69" t="n">
        <f aca="false">ROUND(TblProd[[#This Row],[Raw Food/hr]]*(1+TblProd[[#This Row],[Bonus Food/hr]])-TblProd[[#This Row],[Food decay]]-TblProd[[#This Row],[Food eaten]],0)</f>
        <v>-2759</v>
      </c>
      <c r="V119" s="69" t="n">
        <f aca="false">ROUND(TblProd[[#This Row],[Raw Lumber/hr]]*(1+TblProd[[#This Row],[Bonus Lumber/hr]])-TblProd[[#This Row],[Lumber rot]],0)</f>
        <v>-4491</v>
      </c>
      <c r="W119" s="69" t="n">
        <f aca="false">ROUND(TblProd[[#This Row],[Raw Mana/hr]]*(1+TblProd[[#This Row],[Bonus Mana/hr]])-TblProd[[#This Row],[Mana drain]],0)</f>
        <v>-3055</v>
      </c>
      <c r="X119" s="69" t="n">
        <f aca="false">ROUNDDOWN(TblProd[[#This Row],[Raw Ore/hr]]*(1+TblProd[[#This Row],[Bonux Ore/hr]]),0)</f>
        <v>0</v>
      </c>
      <c r="Y119" s="69" t="n">
        <f aca="false">ROUNDDOWN(TblProd[[#This Row],[Raw Gems/hr]]*(1+TblProd[[#This Row],[Bonus Gems/hr]]),0)</f>
        <v>0</v>
      </c>
      <c r="Z119" s="148" t="n">
        <f aca="false">OFFSET(TblConstr[[#This Row],[Tot Doc]],1,0)*dock_boats_hr * (1 + tech_4_1*TblTech[[#This Row],[4-1]])</f>
        <v>1.2</v>
      </c>
      <c r="AA119" s="146"/>
      <c r="AB119" s="69" t="n">
        <f aca="false">TblPop[[#This Row],[Peasants]]*tax*TblPop[[#This Row],[Employment]] + (Construction!AZ120+Construction!BX120)*(alch_plat+(Magic!AM119&gt;0)*alchemist_flame_bonus)</f>
        <v>29406.6</v>
      </c>
      <c r="AC119" s="69" t="n">
        <f aca="false">TblConstr[[#This Row],[Tot Farm]]*farm_food + TblConstr[[#This Row],[Tot Doc]]*dock_food</f>
        <v>3280</v>
      </c>
      <c r="AD119" s="69" t="n">
        <f aca="false">TblConstr[[#This Row],[Tot Ly]]*ly_lumber + TblConstr[[#This Row],[Tot Hav]]*fh_lumber</f>
        <v>1250</v>
      </c>
      <c r="AE119" s="69" t="n">
        <f aca="false">OFFSET(TblConstr[[#This Row],[Tot Tow]],1,0)*(tower_mana + tech_4_5*TblTech[[#This Row],[4-5]]) + OFFSET(TblConstr[[#This Row],[Tot WG]],1,0)*wg_mana_prod</f>
        <v>725</v>
      </c>
      <c r="AF119" s="69" t="n">
        <f aca="false">OFFSET(TblConstr[[#This Row],[Tot OM]],1,0)*om_ore+IF(race="Dwarf",ROUNDDOWN(TblMili[[#This Row],[Unit 2]]*0.4,0),)</f>
        <v>0</v>
      </c>
      <c r="AG119" s="69" t="n">
        <f aca="false">OFFSET(TblConstr[[#This Row],[Tot DM]],1,0)*dm_gems</f>
        <v>0</v>
      </c>
      <c r="AH119" s="132"/>
      <c r="AI119" s="149" t="n">
        <f aca="false">MIN(race_platinum_bonus + IF(TblMagic[[#This Row],[Active Alch Frost]]&gt;0,alch_frost_bonus,IF(Magic!AD119&gt;0,midas_bonus)) + TblImps[[#This Row],[Science]] - TblProd[[#This Row],[Guard]]*(0.02 + tech_5_7*TblTech[[#This Row],[5-7]]) + tech_1_5*TblTech[[#This Row],[1-5]] + tech_4_4*TblTech[[#This Row],[4-4]], 0.5)</f>
        <v>0</v>
      </c>
      <c r="AJ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19" s="149" t="n">
        <f aca="false">race_lumber_bonus+ IF(TblMagic[[#This Row],[Active Gaia''s Blessing]]&gt;0,gaias_blessing_lumber)+ tech_1_3*TblTech[[#This Row],[1-3]] + tech_1_6*TblTech[[#This Row],[1-6]] + tech_3_3*TblTech[[#This Row],[3-3]]</f>
        <v>-0.1</v>
      </c>
      <c r="AL119" s="149" t="n">
        <f aca="false">race_mana_bonus+ 0 + TblImps[[#This Row],[Towers]] + tech_1_2*TblTech[[#This Row],[1-2]] + tech_3_4*TblTech[[#This Row],[3-4]]</f>
        <v>0</v>
      </c>
      <c r="AM119" s="149" t="n">
        <f aca="false">race_ore_bonus + IF(TblMagic[[#This Row],[Active Miner''s Sight]]&gt;0,miners_sight_bonus,IF(TblMagic[[#This Row],[Active Mining Strength]]&gt;0,mining_strength_bonus)) +  tech_1_6*TblTech[[#This Row],[1-6]]</f>
        <v>0</v>
      </c>
      <c r="AN119" s="149" t="n">
        <f aca="false">race_gem_bonus+ tech_3_2*TblTech[[#This Row],[3-2]] + tech_4_3*TblTech[[#This Row],[4-3]] + tech_6_2*TblTech[[#This Row],[6-2]]</f>
        <v>0.15</v>
      </c>
      <c r="AO119" s="132"/>
      <c r="AP119" s="69" t="n">
        <f aca="false">TblProd[[#This Row],[Food]]*food_decay * (1 + tech_2_1*TblTech[[#This Row],[2-1]] + tech_2_8*TblTech[[#This Row],[2-8]])</f>
        <v>2958.68</v>
      </c>
      <c r="AQ119" s="69" t="n">
        <f aca="false">(1+race_food_consumption)*TblPop[[#This Row],[Total]]*food_per_person*(1+tech_1_10*TblTech[[#This Row],[1-10]]+tech_7_5*TblTech[[#This Row],[7-5]])</f>
        <v>3162.25</v>
      </c>
      <c r="AR119" s="69" t="n">
        <f aca="false">TblProd[[#This Row],[Lumber]]*lumber_rot * (1 + tech_2_1*TblTech[[#This Row],[2-1]] + tech_2_8*TblTech[[#This Row],[2-8]] + tech_5_2*TblTech[[#This Row],[5-2]])</f>
        <v>5615.7</v>
      </c>
      <c r="AS119" s="69" t="n">
        <f aca="false">TblProd[[#This Row],[Mana]]*mana_drain * (1 + tech_2_1*TblTech[[#This Row],[2-1]] + tech_2_8*TblTech[[#This Row],[2-8]])</f>
        <v>3780.06</v>
      </c>
      <c r="AT119" s="146"/>
      <c r="AU119" s="69" t="n">
        <f aca="false">TblExplore[[#This Row],[Platinum (2)]]+TblConstr[[#This Row],[Total Plat Cost]]+TblMili[[#This Row],[Plat Cost]]+TblRezone[[#This Row],[Platinum cost]]+TblImps[[#This Row],[P1]]-TblProd[[#This Row],[Bank Plat]]</f>
        <v>-65340</v>
      </c>
      <c r="AV119" s="69" t="n">
        <f aca="false">TblConstr[[#This Row],[Total Lum Cost]]+TblImps[[#This Row],[L1]]-TblProd[[#This Row],[Bank Lumber]] + Military!$CL$25*TblMili[[#This Row],[Sec. rec. Cost]]</f>
        <v>-10800</v>
      </c>
      <c r="AW119" s="69" t="n">
        <f aca="false">TblMagic[[#This Row],[Mana cost]] + Military!$CL$26*TblMili[[#This Row],[Sec. rec. Cost]]</f>
        <v>0</v>
      </c>
      <c r="AX119" s="69" t="n">
        <f aca="false">Military!$CL$24*TblMili[[#This Row],[Sec. rec. Cost]]+TblImps[[#This Row],[O1]]-TblProd[[#This Row],[Bank Ore]]</f>
        <v>0</v>
      </c>
      <c r="AY119" s="69" t="n">
        <f aca="false">TblImps[[#This Row],[G1]]-TblProd[[#This Row],[Bank Gems]]</f>
        <v>0</v>
      </c>
      <c r="AZ119" s="132"/>
      <c r="BA119" s="33" t="n">
        <f aca="false">IF(TblProd[[#This Row],[Set Guard]]&lt;&gt;"",TblProd[[#This Row],[Set Guard]],OFFSET(TblProd[[#This Row],[Guard]],-1,0))</f>
        <v>0</v>
      </c>
      <c r="BB119" s="145"/>
      <c r="BC119" s="151" t="n">
        <f aca="false">TblProd[[#This Row],[Hour]]</f>
        <v>44</v>
      </c>
      <c r="BD119" s="152" t="n">
        <f aca="false">-TblProd[[#This Row],[Bank Lumber]] / 2 + -TblProd[[#This Row],[Bank Gems]] * 2 + -TblProd[[#This Row],[Bank Ore]] / 2</f>
        <v>0</v>
      </c>
      <c r="BE119" s="152"/>
      <c r="BF119" s="152"/>
      <c r="BG119" s="152"/>
      <c r="BH119" s="153" t="n">
        <f aca="false">TblProd[[#This Row],[Time]]</f>
        <v>45434.5416666667</v>
      </c>
      <c r="BI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J119" s="69" t="n">
        <f aca="false">TblProd[[#This Row],[Platinum]]</f>
        <v>5860224</v>
      </c>
      <c r="BK119" s="69" t="n">
        <f aca="false">TblProd[[#This Row],[Food]]</f>
        <v>295868</v>
      </c>
      <c r="BL119" s="69" t="n">
        <f aca="false">TblProd[[#This Row],[Lumber]]</f>
        <v>561570</v>
      </c>
      <c r="BM119" s="69" t="n">
        <f aca="false">TblProd[[#This Row],[Mana]]</f>
        <v>189003</v>
      </c>
      <c r="BN119" s="69" t="n">
        <f aca="false">TblProd[[#This Row],[Ore]]</f>
        <v>-357</v>
      </c>
    </row>
    <row r="120" customFormat="false" ht="12.75" hidden="false" customHeight="false" outlineLevel="0" collapsed="false">
      <c r="A120" s="128" t="n">
        <v>45</v>
      </c>
      <c r="B120" s="144" t="n">
        <f aca="false">TblImps[[#This Row],[Time]]</f>
        <v>45434.5833333333</v>
      </c>
      <c r="C120" s="145"/>
      <c r="D120" s="146"/>
      <c r="E120" s="69" t="n">
        <f aca="false">TblConstr[[#This Row],[Land]]</f>
        <v>646</v>
      </c>
      <c r="F120" s="69" t="n">
        <f aca="false">TblPop[[#This Row],[Peasants]]</f>
        <v>6245</v>
      </c>
      <c r="G120" s="69"/>
      <c r="H120" s="69" t="e">
        <f aca="false">TblMili[[#This Row],[Networth (2)]]</f>
        <v>#VALUE!</v>
      </c>
      <c r="I120" s="69" t="n">
        <f aca="false">OFFSET(TblProd[[#This Row],[Platinum]],-1,0)+OFFSET(TblProd[[#This Row],[Plat/hr]],-1,0) - TblProd[[#This Row],[Expenses Platinum]] + IF(TblProd[[#This Row],[Plat Bonus]],TblPop[[#This Row],[Peasants]]*4) + SUM(TblConstr[[#This Row],[Dest Hom]:[Dest Doc]])*TblConstr[[#This Row],[CPA Platinum -DB]]*tech_3_3_2*TblTech[[#This Row],[3-3]]</f>
        <v>5954970</v>
      </c>
      <c r="J120" s="69" t="n">
        <f aca="false">OFFSET(TblProd[[#This Row],[Food]],-1,0)+OFFSET(TblProd[[#This Row],[Food/hr]],-1,0)+ROUNDUP((TblConstr[[#This Row],[Farms]]*80+TblConstr[[#This Row],[Docks]]*35)*(1+OFFSET(TblProd[[#This Row],[Bonus Food/hr]],-1,0)),0)</f>
        <v>293109</v>
      </c>
      <c r="K120" s="69" t="n">
        <f aca="false">OFFSET(TblProd[[#This Row],[Lumber]],-1,0)+OFFSET(TblProd[[#This Row],[Lumber/hr]],-1,0) - TblProd[[#This Row],[Expenses Lumber]] + SUM(TblConstr[[#This Row],[Dest Hom]:[Dest Doc]])*TblConstr[[#This Row],[CPA Lumber -DB]]*tech_3_3_2*TblTech[[#This Row],[3-3]]</f>
        <v>567879</v>
      </c>
      <c r="L120" s="69" t="n">
        <f aca="false">OFFSET(TblProd[[#This Row],[Mana]],-1,0)+OFFSET(TblProd[[#This Row],[Mana/hr]],-1,0)- TblProd[[#This Row],[Expenses Mana]]</f>
        <v>185948</v>
      </c>
      <c r="M120" s="69" t="n">
        <f aca="false">OFFSET(TblProd[[#This Row],[Ore]],-1,0)+OFFSET(TblProd[[#This Row],[Ore/hr]],-1,0) -TblProd[[#This Row],[Expenses Ore]]</f>
        <v>-357</v>
      </c>
      <c r="N120" s="69" t="n">
        <f aca="false">OFFSET(TblProd[[#This Row],[Gems]],-1,0)+OFFSET(TblProd[[#This Row],[Gems/hr]],-1,0) - TblProd[[#This Row],[Expenses Gems]]</f>
        <v>-1000</v>
      </c>
      <c r="O120" s="69" t="n">
        <f aca="false">OFFSET(TblProd[[#This Row],[Boats]],-1,0)+OFFSET(TblProd[[#This Row],[Boats/hr]],-1,0)</f>
        <v>81.0500000000001</v>
      </c>
      <c r="P120" s="69" t="n">
        <f aca="false">OFFSET(TblProd[[#This Row],[Prestige]],-1,0)</f>
        <v>250</v>
      </c>
      <c r="Q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0" s="69" t="n">
        <f aca="false">MAX(3750,_xlfn.CEILING.MATH(TblProd[[#This Row],[Land]]*2.5+OFFSET(TblTech[[#This Row],[Sum of tech]],-1,0)*150))</f>
        <v>3750</v>
      </c>
      <c r="S120" s="132"/>
      <c r="T120" s="69" t="n">
        <f aca="false">ROUNDDOWN(TblProd[[#This Row],[Raw Plat/hr]]*(1+TblProd[[#This Row],[Bonus Plat/hr]]),0)</f>
        <v>29236</v>
      </c>
      <c r="U120" s="69" t="n">
        <f aca="false">ROUND(TblProd[[#This Row],[Raw Food/hr]]*(1+TblProd[[#This Row],[Bonus Food/hr]])-TblProd[[#This Row],[Food decay]]-TblProd[[#This Row],[Food eaten]],0)</f>
        <v>-2731</v>
      </c>
      <c r="V120" s="69" t="n">
        <f aca="false">ROUND(TblProd[[#This Row],[Raw Lumber/hr]]*(1+TblProd[[#This Row],[Bonus Lumber/hr]])-TblProd[[#This Row],[Lumber rot]],0)</f>
        <v>-4554</v>
      </c>
      <c r="W120" s="69" t="n">
        <f aca="false">ROUND(TblProd[[#This Row],[Raw Mana/hr]]*(1+TblProd[[#This Row],[Bonus Mana/hr]])-TblProd[[#This Row],[Mana drain]],0)</f>
        <v>-2994</v>
      </c>
      <c r="X120" s="69" t="n">
        <f aca="false">ROUNDDOWN(TblProd[[#This Row],[Raw Ore/hr]]*(1+TblProd[[#This Row],[Bonux Ore/hr]]),0)</f>
        <v>0</v>
      </c>
      <c r="Y120" s="69" t="n">
        <f aca="false">ROUNDDOWN(TblProd[[#This Row],[Raw Gems/hr]]*(1+TblProd[[#This Row],[Bonus Gems/hr]]),0)</f>
        <v>0</v>
      </c>
      <c r="Z120" s="148" t="n">
        <f aca="false">OFFSET(TblConstr[[#This Row],[Tot Doc]],1,0)*dock_boats_hr * (1 + tech_4_1*TblTech[[#This Row],[4-1]])</f>
        <v>1.2</v>
      </c>
      <c r="AA120" s="146"/>
      <c r="AB120" s="69" t="n">
        <f aca="false">TblPop[[#This Row],[Peasants]]*tax*TblPop[[#This Row],[Employment]] + (Construction!AZ121+Construction!BX121)*(alch_plat+(Magic!AM120&gt;0)*alchemist_flame_bonus)</f>
        <v>29236.5</v>
      </c>
      <c r="AC120" s="69" t="n">
        <f aca="false">TblConstr[[#This Row],[Tot Farm]]*farm_food + TblConstr[[#This Row],[Tot Doc]]*dock_food</f>
        <v>3280</v>
      </c>
      <c r="AD120" s="69" t="n">
        <f aca="false">TblConstr[[#This Row],[Tot Ly]]*ly_lumber + TblConstr[[#This Row],[Tot Hav]]*fh_lumber</f>
        <v>1250</v>
      </c>
      <c r="AE120" s="69" t="n">
        <f aca="false">OFFSET(TblConstr[[#This Row],[Tot Tow]],1,0)*(tower_mana + tech_4_5*TblTech[[#This Row],[4-5]]) + OFFSET(TblConstr[[#This Row],[Tot WG]],1,0)*wg_mana_prod</f>
        <v>725</v>
      </c>
      <c r="AF120" s="69" t="n">
        <f aca="false">OFFSET(TblConstr[[#This Row],[Tot OM]],1,0)*om_ore+IF(race="Dwarf",ROUNDDOWN(TblMili[[#This Row],[Unit 2]]*0.4,0),)</f>
        <v>0</v>
      </c>
      <c r="AG120" s="69" t="n">
        <f aca="false">OFFSET(TblConstr[[#This Row],[Tot DM]],1,0)*dm_gems</f>
        <v>0</v>
      </c>
      <c r="AH120" s="132"/>
      <c r="AI120" s="149" t="n">
        <f aca="false">MIN(race_platinum_bonus + IF(TblMagic[[#This Row],[Active Alch Frost]]&gt;0,alch_frost_bonus,IF(Magic!AD120&gt;0,midas_bonus)) + TblImps[[#This Row],[Science]] - TblProd[[#This Row],[Guard]]*(0.02 + tech_5_7*TblTech[[#This Row],[5-7]]) + tech_1_5*TblTech[[#This Row],[1-5]] + tech_4_4*TblTech[[#This Row],[4-4]], 0.5)</f>
        <v>0</v>
      </c>
      <c r="AJ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0" s="149" t="n">
        <f aca="false">race_lumber_bonus+ IF(TblMagic[[#This Row],[Active Gaia''s Blessing]]&gt;0,gaias_blessing_lumber)+ tech_1_3*TblTech[[#This Row],[1-3]] + tech_1_6*TblTech[[#This Row],[1-6]] + tech_3_3*TblTech[[#This Row],[3-3]]</f>
        <v>-0.1</v>
      </c>
      <c r="AL120" s="149" t="n">
        <f aca="false">race_mana_bonus+ 0 + TblImps[[#This Row],[Towers]] + tech_1_2*TblTech[[#This Row],[1-2]] + tech_3_4*TblTech[[#This Row],[3-4]]</f>
        <v>0</v>
      </c>
      <c r="AM120" s="149" t="n">
        <f aca="false">race_ore_bonus + IF(TblMagic[[#This Row],[Active Miner''s Sight]]&gt;0,miners_sight_bonus,IF(TblMagic[[#This Row],[Active Mining Strength]]&gt;0,mining_strength_bonus)) +  tech_1_6*TblTech[[#This Row],[1-6]]</f>
        <v>0</v>
      </c>
      <c r="AN120" s="149" t="n">
        <f aca="false">race_gem_bonus+ tech_3_2*TblTech[[#This Row],[3-2]] + tech_4_3*TblTech[[#This Row],[4-3]] + tech_6_2*TblTech[[#This Row],[6-2]]</f>
        <v>0.15</v>
      </c>
      <c r="AO120" s="132"/>
      <c r="AP120" s="69" t="n">
        <f aca="false">TblProd[[#This Row],[Food]]*food_decay * (1 + tech_2_1*TblTech[[#This Row],[2-1]] + tech_2_8*TblTech[[#This Row],[2-8]])</f>
        <v>2931.09</v>
      </c>
      <c r="AQ120" s="69" t="n">
        <f aca="false">(1+race_food_consumption)*TblPop[[#This Row],[Total]]*food_per_person*(1+tech_1_10*TblTech[[#This Row],[1-10]]+tech_7_5*TblTech[[#This Row],[7-5]])</f>
        <v>3162.25</v>
      </c>
      <c r="AR120" s="69" t="n">
        <f aca="false">TblProd[[#This Row],[Lumber]]*lumber_rot * (1 + tech_2_1*TblTech[[#This Row],[2-1]] + tech_2_8*TblTech[[#This Row],[2-8]] + tech_5_2*TblTech[[#This Row],[5-2]])</f>
        <v>5678.79</v>
      </c>
      <c r="AS120" s="69" t="n">
        <f aca="false">TblProd[[#This Row],[Mana]]*mana_drain * (1 + tech_2_1*TblTech[[#This Row],[2-1]] + tech_2_8*TblTech[[#This Row],[2-8]])</f>
        <v>3718.96</v>
      </c>
      <c r="AT120" s="146"/>
      <c r="AU120" s="69" t="n">
        <f aca="false">TblExplore[[#This Row],[Platinum (2)]]+TblConstr[[#This Row],[Total Plat Cost]]+TblMili[[#This Row],[Plat Cost]]+TblRezone[[#This Row],[Platinum cost]]+TblImps[[#This Row],[P1]]-TblProd[[#This Row],[Bank Plat]]</f>
        <v>-65340</v>
      </c>
      <c r="AV120" s="69" t="n">
        <f aca="false">TblConstr[[#This Row],[Total Lum Cost]]+TblImps[[#This Row],[L1]]-TblProd[[#This Row],[Bank Lumber]] + Military!$CL$25*TblMili[[#This Row],[Sec. rec. Cost]]</f>
        <v>-10800</v>
      </c>
      <c r="AW120" s="69" t="n">
        <f aca="false">TblMagic[[#This Row],[Mana cost]] + Military!$CL$26*TblMili[[#This Row],[Sec. rec. Cost]]</f>
        <v>0</v>
      </c>
      <c r="AX120" s="69" t="n">
        <f aca="false">Military!$CL$24*TblMili[[#This Row],[Sec. rec. Cost]]+TblImps[[#This Row],[O1]]-TblProd[[#This Row],[Bank Ore]]</f>
        <v>0</v>
      </c>
      <c r="AY120" s="69" t="n">
        <f aca="false">TblImps[[#This Row],[G1]]-TblProd[[#This Row],[Bank Gems]]</f>
        <v>0</v>
      </c>
      <c r="AZ120" s="132"/>
      <c r="BA120" s="33" t="n">
        <f aca="false">IF(TblProd[[#This Row],[Set Guard]]&lt;&gt;"",TblProd[[#This Row],[Set Guard]],OFFSET(TblProd[[#This Row],[Guard]],-1,0))</f>
        <v>0</v>
      </c>
      <c r="BB120" s="145"/>
      <c r="BC120" s="151" t="n">
        <f aca="false">TblProd[[#This Row],[Hour]]</f>
        <v>45</v>
      </c>
      <c r="BD120" s="152" t="n">
        <f aca="false">-TblProd[[#This Row],[Bank Lumber]] / 2 + -TblProd[[#This Row],[Bank Gems]] * 2 + -TblProd[[#This Row],[Bank Ore]] / 2</f>
        <v>0</v>
      </c>
      <c r="BE120" s="152"/>
      <c r="BF120" s="152"/>
      <c r="BG120" s="152"/>
      <c r="BH120" s="153" t="n">
        <f aca="false">TblProd[[#This Row],[Time]]</f>
        <v>45434.5833333333</v>
      </c>
      <c r="BI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J120" s="69" t="n">
        <f aca="false">TblProd[[#This Row],[Platinum]]</f>
        <v>5954970</v>
      </c>
      <c r="BK120" s="69" t="n">
        <f aca="false">TblProd[[#This Row],[Food]]</f>
        <v>293109</v>
      </c>
      <c r="BL120" s="69" t="n">
        <f aca="false">TblProd[[#This Row],[Lumber]]</f>
        <v>567879</v>
      </c>
      <c r="BM120" s="69" t="n">
        <f aca="false">TblProd[[#This Row],[Mana]]</f>
        <v>185948</v>
      </c>
      <c r="BN120" s="69" t="n">
        <f aca="false">TblProd[[#This Row],[Ore]]</f>
        <v>-357</v>
      </c>
    </row>
    <row r="121" customFormat="false" ht="12.75" hidden="false" customHeight="false" outlineLevel="0" collapsed="false">
      <c r="A121" s="128" t="n">
        <v>46</v>
      </c>
      <c r="B121" s="144" t="n">
        <f aca="false">TblImps[[#This Row],[Time]]</f>
        <v>45434.625</v>
      </c>
      <c r="C121" s="145"/>
      <c r="D121" s="146"/>
      <c r="E121" s="69" t="n">
        <f aca="false">TblConstr[[#This Row],[Land]]</f>
        <v>646</v>
      </c>
      <c r="F121" s="69" t="n">
        <f aca="false">TblPop[[#This Row],[Peasants]]</f>
        <v>6183</v>
      </c>
      <c r="G121" s="69"/>
      <c r="H121" s="69" t="e">
        <f aca="false">TblMili[[#This Row],[Networth (2)]]</f>
        <v>#VALUE!</v>
      </c>
      <c r="I121" s="69" t="n">
        <f aca="false">OFFSET(TblProd[[#This Row],[Platinum]],-1,0)+OFFSET(TblProd[[#This Row],[Plat/hr]],-1,0) - TblProd[[#This Row],[Expenses Platinum]] + IF(TblProd[[#This Row],[Plat Bonus]],TblPop[[#This Row],[Peasants]]*4) + SUM(TblConstr[[#This Row],[Dest Hom]:[Dest Doc]])*TblConstr[[#This Row],[CPA Platinum -DB]]*tech_3_3_2*TblTech[[#This Row],[3-3]]</f>
        <v>6049546</v>
      </c>
      <c r="J121" s="69" t="n">
        <f aca="false">OFFSET(TblProd[[#This Row],[Food]],-1,0)+OFFSET(TblProd[[#This Row],[Food/hr]],-1,0)+ROUNDUP((TblConstr[[#This Row],[Farms]]*80+TblConstr[[#This Row],[Docks]]*35)*(1+OFFSET(TblProd[[#This Row],[Bonus Food/hr]],-1,0)),0)</f>
        <v>290378</v>
      </c>
      <c r="K121" s="69" t="n">
        <f aca="false">OFFSET(TblProd[[#This Row],[Lumber]],-1,0)+OFFSET(TblProd[[#This Row],[Lumber/hr]],-1,0) - TblProd[[#This Row],[Expenses Lumber]] + SUM(TblConstr[[#This Row],[Dest Hom]:[Dest Doc]])*TblConstr[[#This Row],[CPA Lumber -DB]]*tech_3_3_2*TblTech[[#This Row],[3-3]]</f>
        <v>574125</v>
      </c>
      <c r="L121" s="69" t="n">
        <f aca="false">OFFSET(TblProd[[#This Row],[Mana]],-1,0)+OFFSET(TblProd[[#This Row],[Mana/hr]],-1,0)- TblProd[[#This Row],[Expenses Mana]]</f>
        <v>182954</v>
      </c>
      <c r="M121" s="69" t="n">
        <f aca="false">OFFSET(TblProd[[#This Row],[Ore]],-1,0)+OFFSET(TblProd[[#This Row],[Ore/hr]],-1,0) -TblProd[[#This Row],[Expenses Ore]]</f>
        <v>-357</v>
      </c>
      <c r="N121" s="69" t="n">
        <f aca="false">OFFSET(TblProd[[#This Row],[Gems]],-1,0)+OFFSET(TblProd[[#This Row],[Gems/hr]],-1,0) - TblProd[[#This Row],[Expenses Gems]]</f>
        <v>-1000</v>
      </c>
      <c r="O121" s="69" t="n">
        <f aca="false">OFFSET(TblProd[[#This Row],[Boats]],-1,0)+OFFSET(TblProd[[#This Row],[Boats/hr]],-1,0)</f>
        <v>82.2500000000001</v>
      </c>
      <c r="P121" s="69" t="n">
        <f aca="false">OFFSET(TblProd[[#This Row],[Prestige]],-1,0)</f>
        <v>250</v>
      </c>
      <c r="Q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1" s="69" t="n">
        <f aca="false">MAX(3750,_xlfn.CEILING.MATH(TblProd[[#This Row],[Land]]*2.5+OFFSET(TblTech[[#This Row],[Sum of tech]],-1,0)*150))</f>
        <v>3750</v>
      </c>
      <c r="S121" s="132"/>
      <c r="T121" s="69" t="n">
        <f aca="false">ROUNDDOWN(TblProd[[#This Row],[Raw Plat/hr]]*(1+TblProd[[#This Row],[Bonus Plat/hr]]),0)</f>
        <v>29069</v>
      </c>
      <c r="U121" s="69" t="n">
        <f aca="false">ROUND(TblProd[[#This Row],[Raw Food/hr]]*(1+TblProd[[#This Row],[Bonus Food/hr]])-TblProd[[#This Row],[Food decay]]-TblProd[[#This Row],[Food eaten]],0)</f>
        <v>-2704</v>
      </c>
      <c r="V121" s="69" t="n">
        <f aca="false">ROUND(TblProd[[#This Row],[Raw Lumber/hr]]*(1+TblProd[[#This Row],[Bonus Lumber/hr]])-TblProd[[#This Row],[Lumber rot]],0)</f>
        <v>-4616</v>
      </c>
      <c r="W121" s="69" t="n">
        <f aca="false">ROUND(TblProd[[#This Row],[Raw Mana/hr]]*(1+TblProd[[#This Row],[Bonus Mana/hr]])-TblProd[[#This Row],[Mana drain]],0)</f>
        <v>-2934</v>
      </c>
      <c r="X121" s="69" t="n">
        <f aca="false">ROUNDDOWN(TblProd[[#This Row],[Raw Ore/hr]]*(1+TblProd[[#This Row],[Bonux Ore/hr]]),0)</f>
        <v>0</v>
      </c>
      <c r="Y121" s="69" t="n">
        <f aca="false">ROUNDDOWN(TblProd[[#This Row],[Raw Gems/hr]]*(1+TblProd[[#This Row],[Bonus Gems/hr]]),0)</f>
        <v>0</v>
      </c>
      <c r="Z121" s="148" t="n">
        <f aca="false">OFFSET(TblConstr[[#This Row],[Tot Doc]],1,0)*dock_boats_hr * (1 + tech_4_1*TblTech[[#This Row],[4-1]])</f>
        <v>1.2</v>
      </c>
      <c r="AA121" s="146"/>
      <c r="AB121" s="69" t="n">
        <f aca="false">TblPop[[#This Row],[Peasants]]*tax*TblPop[[#This Row],[Employment]] + (Construction!AZ122+Construction!BX122)*(alch_plat+(Magic!AM121&gt;0)*alchemist_flame_bonus)</f>
        <v>29069.1</v>
      </c>
      <c r="AC121" s="69" t="n">
        <f aca="false">TblConstr[[#This Row],[Tot Farm]]*farm_food + TblConstr[[#This Row],[Tot Doc]]*dock_food</f>
        <v>3280</v>
      </c>
      <c r="AD121" s="69" t="n">
        <f aca="false">TblConstr[[#This Row],[Tot Ly]]*ly_lumber + TblConstr[[#This Row],[Tot Hav]]*fh_lumber</f>
        <v>1250</v>
      </c>
      <c r="AE121" s="69" t="n">
        <f aca="false">OFFSET(TblConstr[[#This Row],[Tot Tow]],1,0)*(tower_mana + tech_4_5*TblTech[[#This Row],[4-5]]) + OFFSET(TblConstr[[#This Row],[Tot WG]],1,0)*wg_mana_prod</f>
        <v>725</v>
      </c>
      <c r="AF121" s="69" t="n">
        <f aca="false">OFFSET(TblConstr[[#This Row],[Tot OM]],1,0)*om_ore+IF(race="Dwarf",ROUNDDOWN(TblMili[[#This Row],[Unit 2]]*0.4,0),)</f>
        <v>0</v>
      </c>
      <c r="AG121" s="69" t="n">
        <f aca="false">OFFSET(TblConstr[[#This Row],[Tot DM]],1,0)*dm_gems</f>
        <v>0</v>
      </c>
      <c r="AH121" s="132"/>
      <c r="AI121" s="149" t="n">
        <f aca="false">MIN(race_platinum_bonus + IF(TblMagic[[#This Row],[Active Alch Frost]]&gt;0,alch_frost_bonus,IF(Magic!AD121&gt;0,midas_bonus)) + TblImps[[#This Row],[Science]] - TblProd[[#This Row],[Guard]]*(0.02 + tech_5_7*TblTech[[#This Row],[5-7]]) + tech_1_5*TblTech[[#This Row],[1-5]] + tech_4_4*TblTech[[#This Row],[4-4]], 0.5)</f>
        <v>0</v>
      </c>
      <c r="AJ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1" s="149" t="n">
        <f aca="false">race_lumber_bonus+ IF(TblMagic[[#This Row],[Active Gaia''s Blessing]]&gt;0,gaias_blessing_lumber)+ tech_1_3*TblTech[[#This Row],[1-3]] + tech_1_6*TblTech[[#This Row],[1-6]] + tech_3_3*TblTech[[#This Row],[3-3]]</f>
        <v>-0.1</v>
      </c>
      <c r="AL121" s="149" t="n">
        <f aca="false">race_mana_bonus+ 0 + TblImps[[#This Row],[Towers]] + tech_1_2*TblTech[[#This Row],[1-2]] + tech_3_4*TblTech[[#This Row],[3-4]]</f>
        <v>0</v>
      </c>
      <c r="AM121" s="149" t="n">
        <f aca="false">race_ore_bonus + IF(TblMagic[[#This Row],[Active Miner''s Sight]]&gt;0,miners_sight_bonus,IF(TblMagic[[#This Row],[Active Mining Strength]]&gt;0,mining_strength_bonus)) +  tech_1_6*TblTech[[#This Row],[1-6]]</f>
        <v>0</v>
      </c>
      <c r="AN121" s="149" t="n">
        <f aca="false">race_gem_bonus+ tech_3_2*TblTech[[#This Row],[3-2]] + tech_4_3*TblTech[[#This Row],[4-3]] + tech_6_2*TblTech[[#This Row],[6-2]]</f>
        <v>0.15</v>
      </c>
      <c r="AO121" s="132"/>
      <c r="AP121" s="69" t="n">
        <f aca="false">TblProd[[#This Row],[Food]]*food_decay * (1 + tech_2_1*TblTech[[#This Row],[2-1]] + tech_2_8*TblTech[[#This Row],[2-8]])</f>
        <v>2903.78</v>
      </c>
      <c r="AQ121" s="69" t="n">
        <f aca="false">(1+race_food_consumption)*TblPop[[#This Row],[Total]]*food_per_person*(1+tech_1_10*TblTech[[#This Row],[1-10]]+tech_7_5*TblTech[[#This Row],[7-5]])</f>
        <v>3162.25</v>
      </c>
      <c r="AR121" s="69" t="n">
        <f aca="false">TblProd[[#This Row],[Lumber]]*lumber_rot * (1 + tech_2_1*TblTech[[#This Row],[2-1]] + tech_2_8*TblTech[[#This Row],[2-8]] + tech_5_2*TblTech[[#This Row],[5-2]])</f>
        <v>5741.25</v>
      </c>
      <c r="AS121" s="69" t="n">
        <f aca="false">TblProd[[#This Row],[Mana]]*mana_drain * (1 + tech_2_1*TblTech[[#This Row],[2-1]] + tech_2_8*TblTech[[#This Row],[2-8]])</f>
        <v>3659.08</v>
      </c>
      <c r="AT121" s="146"/>
      <c r="AU121" s="69" t="n">
        <f aca="false">TblExplore[[#This Row],[Platinum (2)]]+TblConstr[[#This Row],[Total Plat Cost]]+TblMili[[#This Row],[Plat Cost]]+TblRezone[[#This Row],[Platinum cost]]+TblImps[[#This Row],[P1]]-TblProd[[#This Row],[Bank Plat]]</f>
        <v>-65340</v>
      </c>
      <c r="AV121" s="69" t="n">
        <f aca="false">TblConstr[[#This Row],[Total Lum Cost]]+TblImps[[#This Row],[L1]]-TblProd[[#This Row],[Bank Lumber]] + Military!$CL$25*TblMili[[#This Row],[Sec. rec. Cost]]</f>
        <v>-10800</v>
      </c>
      <c r="AW121" s="69" t="n">
        <f aca="false">TblMagic[[#This Row],[Mana cost]] + Military!$CL$26*TblMili[[#This Row],[Sec. rec. Cost]]</f>
        <v>0</v>
      </c>
      <c r="AX121" s="69" t="n">
        <f aca="false">Military!$CL$24*TblMili[[#This Row],[Sec. rec. Cost]]+TblImps[[#This Row],[O1]]-TblProd[[#This Row],[Bank Ore]]</f>
        <v>0</v>
      </c>
      <c r="AY121" s="69" t="n">
        <f aca="false">TblImps[[#This Row],[G1]]-TblProd[[#This Row],[Bank Gems]]</f>
        <v>0</v>
      </c>
      <c r="AZ121" s="132"/>
      <c r="BA121" s="33" t="n">
        <f aca="false">IF(TblProd[[#This Row],[Set Guard]]&lt;&gt;"",TblProd[[#This Row],[Set Guard]],OFFSET(TblProd[[#This Row],[Guard]],-1,0))</f>
        <v>0</v>
      </c>
      <c r="BB121" s="145"/>
      <c r="BC121" s="151" t="n">
        <f aca="false">TblProd[[#This Row],[Hour]]</f>
        <v>46</v>
      </c>
      <c r="BD121" s="152" t="n">
        <f aca="false">-TblProd[[#This Row],[Bank Lumber]] / 2 + -TblProd[[#This Row],[Bank Gems]] * 2 + -TblProd[[#This Row],[Bank Ore]] / 2</f>
        <v>0</v>
      </c>
      <c r="BE121" s="152"/>
      <c r="BF121" s="152"/>
      <c r="BG121" s="152"/>
      <c r="BH121" s="153" t="n">
        <f aca="false">TblProd[[#This Row],[Time]]</f>
        <v>45434.625</v>
      </c>
      <c r="BI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J121" s="69" t="n">
        <f aca="false">TblProd[[#This Row],[Platinum]]</f>
        <v>6049546</v>
      </c>
      <c r="BK121" s="69" t="n">
        <f aca="false">TblProd[[#This Row],[Food]]</f>
        <v>290378</v>
      </c>
      <c r="BL121" s="69" t="n">
        <f aca="false">TblProd[[#This Row],[Lumber]]</f>
        <v>574125</v>
      </c>
      <c r="BM121" s="69" t="n">
        <f aca="false">TblProd[[#This Row],[Mana]]</f>
        <v>182954</v>
      </c>
      <c r="BN121" s="69" t="n">
        <f aca="false">TblProd[[#This Row],[Ore]]</f>
        <v>-357</v>
      </c>
    </row>
    <row r="122" customFormat="false" ht="12.75" hidden="false" customHeight="false" outlineLevel="0" collapsed="false">
      <c r="A122" s="128" t="n">
        <v>47</v>
      </c>
      <c r="B122" s="144" t="n">
        <f aca="false">TblImps[[#This Row],[Time]]</f>
        <v>45434.6666666667</v>
      </c>
      <c r="C122" s="145"/>
      <c r="D122" s="146"/>
      <c r="E122" s="69" t="n">
        <f aca="false">TblConstr[[#This Row],[Land]]</f>
        <v>646</v>
      </c>
      <c r="F122" s="69" t="n">
        <f aca="false">TblPop[[#This Row],[Peasants]]</f>
        <v>6121</v>
      </c>
      <c r="G122" s="69"/>
      <c r="H122" s="69" t="e">
        <f aca="false">TblMili[[#This Row],[Networth (2)]]</f>
        <v>#VALUE!</v>
      </c>
      <c r="I122" s="69" t="n">
        <f aca="false">OFFSET(TblProd[[#This Row],[Platinum]],-1,0)+OFFSET(TblProd[[#This Row],[Plat/hr]],-1,0) - TblProd[[#This Row],[Expenses Platinum]] + IF(TblProd[[#This Row],[Plat Bonus]],TblPop[[#This Row],[Peasants]]*4) + SUM(TblConstr[[#This Row],[Dest Hom]:[Dest Doc]])*TblConstr[[#This Row],[CPA Platinum -DB]]*tech_3_3_2*TblTech[[#This Row],[3-3]]</f>
        <v>6143955</v>
      </c>
      <c r="J122" s="69" t="n">
        <f aca="false">OFFSET(TblProd[[#This Row],[Food]],-1,0)+OFFSET(TblProd[[#This Row],[Food/hr]],-1,0)+ROUNDUP((TblConstr[[#This Row],[Farms]]*80+TblConstr[[#This Row],[Docks]]*35)*(1+OFFSET(TblProd[[#This Row],[Bonus Food/hr]],-1,0)),0)</f>
        <v>287674</v>
      </c>
      <c r="K122" s="69" t="n">
        <f aca="false">OFFSET(TblProd[[#This Row],[Lumber]],-1,0)+OFFSET(TblProd[[#This Row],[Lumber/hr]],-1,0) - TblProd[[#This Row],[Expenses Lumber]] + SUM(TblConstr[[#This Row],[Dest Hom]:[Dest Doc]])*TblConstr[[#This Row],[CPA Lumber -DB]]*tech_3_3_2*TblTech[[#This Row],[3-3]]</f>
        <v>580309</v>
      </c>
      <c r="L122" s="69" t="n">
        <f aca="false">OFFSET(TblProd[[#This Row],[Mana]],-1,0)+OFFSET(TblProd[[#This Row],[Mana/hr]],-1,0)- TblProd[[#This Row],[Expenses Mana]]</f>
        <v>180020</v>
      </c>
      <c r="M122" s="69" t="n">
        <f aca="false">OFFSET(TblProd[[#This Row],[Ore]],-1,0)+OFFSET(TblProd[[#This Row],[Ore/hr]],-1,0) -TblProd[[#This Row],[Expenses Ore]]</f>
        <v>-357</v>
      </c>
      <c r="N122" s="69" t="n">
        <f aca="false">OFFSET(TblProd[[#This Row],[Gems]],-1,0)+OFFSET(TblProd[[#This Row],[Gems/hr]],-1,0) - TblProd[[#This Row],[Expenses Gems]]</f>
        <v>-1000</v>
      </c>
      <c r="O122" s="69" t="n">
        <f aca="false">OFFSET(TblProd[[#This Row],[Boats]],-1,0)+OFFSET(TblProd[[#This Row],[Boats/hr]],-1,0)</f>
        <v>83.4500000000001</v>
      </c>
      <c r="P122" s="69" t="n">
        <f aca="false">OFFSET(TblProd[[#This Row],[Prestige]],-1,0)</f>
        <v>250</v>
      </c>
      <c r="Q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2" s="69" t="n">
        <f aca="false">MAX(3750,_xlfn.CEILING.MATH(TblProd[[#This Row],[Land]]*2.5+OFFSET(TblTech[[#This Row],[Sum of tech]],-1,0)*150))</f>
        <v>3750</v>
      </c>
      <c r="S122" s="132"/>
      <c r="T122" s="69" t="n">
        <f aca="false">ROUNDDOWN(TblProd[[#This Row],[Raw Plat/hr]]*(1+TblProd[[#This Row],[Bonus Plat/hr]]),0)</f>
        <v>28901</v>
      </c>
      <c r="U122" s="69" t="n">
        <f aca="false">ROUND(TblProd[[#This Row],[Raw Food/hr]]*(1+TblProd[[#This Row],[Bonus Food/hr]])-TblProd[[#This Row],[Food decay]]-TblProd[[#This Row],[Food eaten]],0)</f>
        <v>-2677</v>
      </c>
      <c r="V122" s="69" t="n">
        <f aca="false">ROUND(TblProd[[#This Row],[Raw Lumber/hr]]*(1+TblProd[[#This Row],[Bonus Lumber/hr]])-TblProd[[#This Row],[Lumber rot]],0)</f>
        <v>-4678</v>
      </c>
      <c r="W122" s="69" t="n">
        <f aca="false">ROUND(TblProd[[#This Row],[Raw Mana/hr]]*(1+TblProd[[#This Row],[Bonus Mana/hr]])-TblProd[[#This Row],[Mana drain]],0)</f>
        <v>-2875</v>
      </c>
      <c r="X122" s="69" t="n">
        <f aca="false">ROUNDDOWN(TblProd[[#This Row],[Raw Ore/hr]]*(1+TblProd[[#This Row],[Bonux Ore/hr]]),0)</f>
        <v>0</v>
      </c>
      <c r="Y122" s="69" t="n">
        <f aca="false">ROUNDDOWN(TblProd[[#This Row],[Raw Gems/hr]]*(1+TblProd[[#This Row],[Bonus Gems/hr]]),0)</f>
        <v>0</v>
      </c>
      <c r="Z122" s="148" t="n">
        <f aca="false">OFFSET(TblConstr[[#This Row],[Tot Doc]],1,0)*dock_boats_hr * (1 + tech_4_1*TblTech[[#This Row],[4-1]])</f>
        <v>1.2</v>
      </c>
      <c r="AA122" s="146"/>
      <c r="AB122" s="69" t="n">
        <f aca="false">TblPop[[#This Row],[Peasants]]*tax*TblPop[[#This Row],[Employment]] + (Construction!AZ123+Construction!BX123)*(alch_plat+(Magic!AM122&gt;0)*alchemist_flame_bonus)</f>
        <v>28901.7</v>
      </c>
      <c r="AC122" s="69" t="n">
        <f aca="false">TblConstr[[#This Row],[Tot Farm]]*farm_food + TblConstr[[#This Row],[Tot Doc]]*dock_food</f>
        <v>3280</v>
      </c>
      <c r="AD122" s="69" t="n">
        <f aca="false">TblConstr[[#This Row],[Tot Ly]]*ly_lumber + TblConstr[[#This Row],[Tot Hav]]*fh_lumber</f>
        <v>1250</v>
      </c>
      <c r="AE122" s="69" t="n">
        <f aca="false">OFFSET(TblConstr[[#This Row],[Tot Tow]],1,0)*(tower_mana + tech_4_5*TblTech[[#This Row],[4-5]]) + OFFSET(TblConstr[[#This Row],[Tot WG]],1,0)*wg_mana_prod</f>
        <v>725</v>
      </c>
      <c r="AF122" s="69" t="n">
        <f aca="false">OFFSET(TblConstr[[#This Row],[Tot OM]],1,0)*om_ore+IF(race="Dwarf",ROUNDDOWN(TblMili[[#This Row],[Unit 2]]*0.4,0),)</f>
        <v>0</v>
      </c>
      <c r="AG122" s="69" t="n">
        <f aca="false">OFFSET(TblConstr[[#This Row],[Tot DM]],1,0)*dm_gems</f>
        <v>0</v>
      </c>
      <c r="AH122" s="132"/>
      <c r="AI122" s="149" t="n">
        <f aca="false">MIN(race_platinum_bonus + IF(TblMagic[[#This Row],[Active Alch Frost]]&gt;0,alch_frost_bonus,IF(Magic!AD122&gt;0,midas_bonus)) + TblImps[[#This Row],[Science]] - TblProd[[#This Row],[Guard]]*(0.02 + tech_5_7*TblTech[[#This Row],[5-7]]) + tech_1_5*TblTech[[#This Row],[1-5]] + tech_4_4*TblTech[[#This Row],[4-4]], 0.5)</f>
        <v>0</v>
      </c>
      <c r="AJ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2" s="149" t="n">
        <f aca="false">race_lumber_bonus+ IF(TblMagic[[#This Row],[Active Gaia''s Blessing]]&gt;0,gaias_blessing_lumber)+ tech_1_3*TblTech[[#This Row],[1-3]] + tech_1_6*TblTech[[#This Row],[1-6]] + tech_3_3*TblTech[[#This Row],[3-3]]</f>
        <v>-0.1</v>
      </c>
      <c r="AL122" s="149" t="n">
        <f aca="false">race_mana_bonus+ 0 + TblImps[[#This Row],[Towers]] + tech_1_2*TblTech[[#This Row],[1-2]] + tech_3_4*TblTech[[#This Row],[3-4]]</f>
        <v>0</v>
      </c>
      <c r="AM122" s="149" t="n">
        <f aca="false">race_ore_bonus + IF(TblMagic[[#This Row],[Active Miner''s Sight]]&gt;0,miners_sight_bonus,IF(TblMagic[[#This Row],[Active Mining Strength]]&gt;0,mining_strength_bonus)) +  tech_1_6*TblTech[[#This Row],[1-6]]</f>
        <v>0</v>
      </c>
      <c r="AN122" s="149" t="n">
        <f aca="false">race_gem_bonus+ tech_3_2*TblTech[[#This Row],[3-2]] + tech_4_3*TblTech[[#This Row],[4-3]] + tech_6_2*TblTech[[#This Row],[6-2]]</f>
        <v>0.15</v>
      </c>
      <c r="AO122" s="132"/>
      <c r="AP122" s="69" t="n">
        <f aca="false">TblProd[[#This Row],[Food]]*food_decay * (1 + tech_2_1*TblTech[[#This Row],[2-1]] + tech_2_8*TblTech[[#This Row],[2-8]])</f>
        <v>2876.74</v>
      </c>
      <c r="AQ122" s="69" t="n">
        <f aca="false">(1+race_food_consumption)*TblPop[[#This Row],[Total]]*food_per_person*(1+tech_1_10*TblTech[[#This Row],[1-10]]+tech_7_5*TblTech[[#This Row],[7-5]])</f>
        <v>3162.25</v>
      </c>
      <c r="AR122" s="69" t="n">
        <f aca="false">TblProd[[#This Row],[Lumber]]*lumber_rot * (1 + tech_2_1*TblTech[[#This Row],[2-1]] + tech_2_8*TblTech[[#This Row],[2-8]] + tech_5_2*TblTech[[#This Row],[5-2]])</f>
        <v>5803.09</v>
      </c>
      <c r="AS122" s="69" t="n">
        <f aca="false">TblProd[[#This Row],[Mana]]*mana_drain * (1 + tech_2_1*TblTech[[#This Row],[2-1]] + tech_2_8*TblTech[[#This Row],[2-8]])</f>
        <v>3600.4</v>
      </c>
      <c r="AT122" s="146"/>
      <c r="AU122" s="69" t="n">
        <f aca="false">TblExplore[[#This Row],[Platinum (2)]]+TblConstr[[#This Row],[Total Plat Cost]]+TblMili[[#This Row],[Plat Cost]]+TblRezone[[#This Row],[Platinum cost]]+TblImps[[#This Row],[P1]]-TblProd[[#This Row],[Bank Plat]]</f>
        <v>-65340</v>
      </c>
      <c r="AV122" s="69" t="n">
        <f aca="false">TblConstr[[#This Row],[Total Lum Cost]]+TblImps[[#This Row],[L1]]-TblProd[[#This Row],[Bank Lumber]] + Military!$CL$25*TblMili[[#This Row],[Sec. rec. Cost]]</f>
        <v>-10800</v>
      </c>
      <c r="AW122" s="69" t="n">
        <f aca="false">TblMagic[[#This Row],[Mana cost]] + Military!$CL$26*TblMili[[#This Row],[Sec. rec. Cost]]</f>
        <v>0</v>
      </c>
      <c r="AX122" s="69" t="n">
        <f aca="false">Military!$CL$24*TblMili[[#This Row],[Sec. rec. Cost]]+TblImps[[#This Row],[O1]]-TblProd[[#This Row],[Bank Ore]]</f>
        <v>0</v>
      </c>
      <c r="AY122" s="69" t="n">
        <f aca="false">TblImps[[#This Row],[G1]]-TblProd[[#This Row],[Bank Gems]]</f>
        <v>0</v>
      </c>
      <c r="AZ122" s="132"/>
      <c r="BA122" s="33" t="n">
        <f aca="false">IF(TblProd[[#This Row],[Set Guard]]&lt;&gt;"",TblProd[[#This Row],[Set Guard]],OFFSET(TblProd[[#This Row],[Guard]],-1,0))</f>
        <v>0</v>
      </c>
      <c r="BB122" s="145"/>
      <c r="BC122" s="151" t="n">
        <f aca="false">TblProd[[#This Row],[Hour]]</f>
        <v>47</v>
      </c>
      <c r="BD122" s="152" t="n">
        <f aca="false">-TblProd[[#This Row],[Bank Lumber]] / 2 + -TblProd[[#This Row],[Bank Gems]] * 2 + -TblProd[[#This Row],[Bank Ore]] / 2</f>
        <v>0</v>
      </c>
      <c r="BE122" s="152"/>
      <c r="BF122" s="152"/>
      <c r="BG122" s="152"/>
      <c r="BH122" s="153" t="n">
        <f aca="false">TblProd[[#This Row],[Time]]</f>
        <v>45434.6666666667</v>
      </c>
      <c r="BI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J122" s="69" t="n">
        <f aca="false">TblProd[[#This Row],[Platinum]]</f>
        <v>6143955</v>
      </c>
      <c r="BK122" s="69" t="n">
        <f aca="false">TblProd[[#This Row],[Food]]</f>
        <v>287674</v>
      </c>
      <c r="BL122" s="69" t="n">
        <f aca="false">TblProd[[#This Row],[Lumber]]</f>
        <v>580309</v>
      </c>
      <c r="BM122" s="69" t="n">
        <f aca="false">TblProd[[#This Row],[Mana]]</f>
        <v>180020</v>
      </c>
      <c r="BN122" s="69" t="n">
        <f aca="false">TblProd[[#This Row],[Ore]]</f>
        <v>-357</v>
      </c>
    </row>
    <row r="123" customFormat="false" ht="12.75" hidden="false" customHeight="false" outlineLevel="0" collapsed="false">
      <c r="A123" s="128" t="n">
        <v>48</v>
      </c>
      <c r="B123" s="144" t="n">
        <f aca="false">TblImps[[#This Row],[Time]]</f>
        <v>45434.7083333333</v>
      </c>
      <c r="C123" s="145"/>
      <c r="D123" s="146"/>
      <c r="E123" s="69" t="n">
        <f aca="false">TblConstr[[#This Row],[Land]]</f>
        <v>646</v>
      </c>
      <c r="F123" s="69" t="n">
        <f aca="false">TblPop[[#This Row],[Peasants]]</f>
        <v>6060</v>
      </c>
      <c r="G123" s="69"/>
      <c r="H123" s="69" t="e">
        <f aca="false">TblMili[[#This Row],[Networth (2)]]</f>
        <v>#VALUE!</v>
      </c>
      <c r="I123" s="69" t="n">
        <f aca="false">OFFSET(TblProd[[#This Row],[Platinum]],-1,0)+OFFSET(TblProd[[#This Row],[Plat/hr]],-1,0) - TblProd[[#This Row],[Expenses Platinum]] + IF(TblProd[[#This Row],[Plat Bonus]],TblPop[[#This Row],[Peasants]]*4) + SUM(TblConstr[[#This Row],[Dest Hom]:[Dest Doc]])*TblConstr[[#This Row],[CPA Platinum -DB]]*tech_3_3_2*TblTech[[#This Row],[3-3]]</f>
        <v>6238196</v>
      </c>
      <c r="J123" s="69" t="n">
        <f aca="false">OFFSET(TblProd[[#This Row],[Food]],-1,0)+OFFSET(TblProd[[#This Row],[Food/hr]],-1,0)+ROUNDUP((TblConstr[[#This Row],[Farms]]*80+TblConstr[[#This Row],[Docks]]*35)*(1+OFFSET(TblProd[[#This Row],[Bonus Food/hr]],-1,0)),0)</f>
        <v>284997</v>
      </c>
      <c r="K123" s="69" t="n">
        <f aca="false">OFFSET(TblProd[[#This Row],[Lumber]],-1,0)+OFFSET(TblProd[[#This Row],[Lumber/hr]],-1,0) - TblProd[[#This Row],[Expenses Lumber]] + SUM(TblConstr[[#This Row],[Dest Hom]:[Dest Doc]])*TblConstr[[#This Row],[CPA Lumber -DB]]*tech_3_3_2*TblTech[[#This Row],[3-3]]</f>
        <v>586431</v>
      </c>
      <c r="L123" s="69" t="n">
        <f aca="false">OFFSET(TblProd[[#This Row],[Mana]],-1,0)+OFFSET(TblProd[[#This Row],[Mana/hr]],-1,0)- TblProd[[#This Row],[Expenses Mana]]</f>
        <v>177145</v>
      </c>
      <c r="M123" s="69" t="n">
        <f aca="false">OFFSET(TblProd[[#This Row],[Ore]],-1,0)+OFFSET(TblProd[[#This Row],[Ore/hr]],-1,0) -TblProd[[#This Row],[Expenses Ore]]</f>
        <v>-357</v>
      </c>
      <c r="N123" s="69" t="n">
        <f aca="false">OFFSET(TblProd[[#This Row],[Gems]],-1,0)+OFFSET(TblProd[[#This Row],[Gems/hr]],-1,0) - TblProd[[#This Row],[Expenses Gems]]</f>
        <v>-1000</v>
      </c>
      <c r="O123" s="69" t="n">
        <f aca="false">OFFSET(TblProd[[#This Row],[Boats]],-1,0)+OFFSET(TblProd[[#This Row],[Boats/hr]],-1,0)</f>
        <v>84.6500000000001</v>
      </c>
      <c r="P123" s="69" t="n">
        <f aca="false">OFFSET(TblProd[[#This Row],[Prestige]],-1,0)</f>
        <v>250</v>
      </c>
      <c r="Q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3" s="69" t="n">
        <f aca="false">MAX(3750,_xlfn.CEILING.MATH(TblProd[[#This Row],[Land]]*2.5+OFFSET(TblTech[[#This Row],[Sum of tech]],-1,0)*150))</f>
        <v>3750</v>
      </c>
      <c r="S123" s="132"/>
      <c r="T123" s="69" t="n">
        <f aca="false">ROUNDDOWN(TblProd[[#This Row],[Raw Plat/hr]]*(1+TblProd[[#This Row],[Bonus Plat/hr]]),0)</f>
        <v>28737</v>
      </c>
      <c r="U123" s="69" t="n">
        <f aca="false">ROUND(TblProd[[#This Row],[Raw Food/hr]]*(1+TblProd[[#This Row],[Bonus Food/hr]])-TblProd[[#This Row],[Food decay]]-TblProd[[#This Row],[Food eaten]],0)</f>
        <v>-2650</v>
      </c>
      <c r="V123" s="69" t="n">
        <f aca="false">ROUND(TblProd[[#This Row],[Raw Lumber/hr]]*(1+TblProd[[#This Row],[Bonus Lumber/hr]])-TblProd[[#This Row],[Lumber rot]],0)</f>
        <v>-4739</v>
      </c>
      <c r="W123" s="69" t="n">
        <f aca="false">ROUND(TblProd[[#This Row],[Raw Mana/hr]]*(1+TblProd[[#This Row],[Bonus Mana/hr]])-TblProd[[#This Row],[Mana drain]],0)</f>
        <v>-2818</v>
      </c>
      <c r="X123" s="69" t="n">
        <f aca="false">ROUNDDOWN(TblProd[[#This Row],[Raw Ore/hr]]*(1+TblProd[[#This Row],[Bonux Ore/hr]]),0)</f>
        <v>0</v>
      </c>
      <c r="Y123" s="69" t="n">
        <f aca="false">ROUNDDOWN(TblProd[[#This Row],[Raw Gems/hr]]*(1+TblProd[[#This Row],[Bonus Gems/hr]]),0)</f>
        <v>0</v>
      </c>
      <c r="Z123" s="148" t="n">
        <f aca="false">OFFSET(TblConstr[[#This Row],[Tot Doc]],1,0)*dock_boats_hr * (1 + tech_4_1*TblTech[[#This Row],[4-1]])</f>
        <v>1.2</v>
      </c>
      <c r="AA123" s="146"/>
      <c r="AB123" s="69" t="n">
        <f aca="false">TblPop[[#This Row],[Peasants]]*tax*TblPop[[#This Row],[Employment]] + (Construction!AZ124+Construction!BX124)*(alch_plat+(Magic!AM123&gt;0)*alchemist_flame_bonus)</f>
        <v>28737</v>
      </c>
      <c r="AC123" s="69" t="n">
        <f aca="false">TblConstr[[#This Row],[Tot Farm]]*farm_food + TblConstr[[#This Row],[Tot Doc]]*dock_food</f>
        <v>3280</v>
      </c>
      <c r="AD123" s="69" t="n">
        <f aca="false">TblConstr[[#This Row],[Tot Ly]]*ly_lumber + TblConstr[[#This Row],[Tot Hav]]*fh_lumber</f>
        <v>1250</v>
      </c>
      <c r="AE123" s="69" t="n">
        <f aca="false">OFFSET(TblConstr[[#This Row],[Tot Tow]],1,0)*(tower_mana + tech_4_5*TblTech[[#This Row],[4-5]]) + OFFSET(TblConstr[[#This Row],[Tot WG]],1,0)*wg_mana_prod</f>
        <v>725</v>
      </c>
      <c r="AF123" s="69" t="n">
        <f aca="false">OFFSET(TblConstr[[#This Row],[Tot OM]],1,0)*om_ore+IF(race="Dwarf",ROUNDDOWN(TblMili[[#This Row],[Unit 2]]*0.4,0),)</f>
        <v>0</v>
      </c>
      <c r="AG123" s="69" t="n">
        <f aca="false">OFFSET(TblConstr[[#This Row],[Tot DM]],1,0)*dm_gems</f>
        <v>0</v>
      </c>
      <c r="AH123" s="132"/>
      <c r="AI123" s="149" t="n">
        <f aca="false">MIN(race_platinum_bonus + IF(TblMagic[[#This Row],[Active Alch Frost]]&gt;0,alch_frost_bonus,IF(Magic!AD123&gt;0,midas_bonus)) + TblImps[[#This Row],[Science]] - TblProd[[#This Row],[Guard]]*(0.02 + tech_5_7*TblTech[[#This Row],[5-7]]) + tech_1_5*TblTech[[#This Row],[1-5]] + tech_4_4*TblTech[[#This Row],[4-4]], 0.5)</f>
        <v>0</v>
      </c>
      <c r="AJ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3" s="149" t="n">
        <f aca="false">race_lumber_bonus+ IF(TblMagic[[#This Row],[Active Gaia''s Blessing]]&gt;0,gaias_blessing_lumber)+ tech_1_3*TblTech[[#This Row],[1-3]] + tech_1_6*TblTech[[#This Row],[1-6]] + tech_3_3*TblTech[[#This Row],[3-3]]</f>
        <v>-0.1</v>
      </c>
      <c r="AL123" s="149" t="n">
        <f aca="false">race_mana_bonus+ 0 + TblImps[[#This Row],[Towers]] + tech_1_2*TblTech[[#This Row],[1-2]] + tech_3_4*TblTech[[#This Row],[3-4]]</f>
        <v>0</v>
      </c>
      <c r="AM123" s="149" t="n">
        <f aca="false">race_ore_bonus + IF(TblMagic[[#This Row],[Active Miner''s Sight]]&gt;0,miners_sight_bonus,IF(TblMagic[[#This Row],[Active Mining Strength]]&gt;0,mining_strength_bonus)) +  tech_1_6*TblTech[[#This Row],[1-6]]</f>
        <v>0</v>
      </c>
      <c r="AN123" s="149" t="n">
        <f aca="false">race_gem_bonus+ tech_3_2*TblTech[[#This Row],[3-2]] + tech_4_3*TblTech[[#This Row],[4-3]] + tech_6_2*TblTech[[#This Row],[6-2]]</f>
        <v>0.15</v>
      </c>
      <c r="AO123" s="132"/>
      <c r="AP123" s="69" t="n">
        <f aca="false">TblProd[[#This Row],[Food]]*food_decay * (1 + tech_2_1*TblTech[[#This Row],[2-1]] + tech_2_8*TblTech[[#This Row],[2-8]])</f>
        <v>2849.97</v>
      </c>
      <c r="AQ123" s="69" t="n">
        <f aca="false">(1+race_food_consumption)*TblPop[[#This Row],[Total]]*food_per_person*(1+tech_1_10*TblTech[[#This Row],[1-10]]+tech_7_5*TblTech[[#This Row],[7-5]])</f>
        <v>3162.25</v>
      </c>
      <c r="AR123" s="69" t="n">
        <f aca="false">TblProd[[#This Row],[Lumber]]*lumber_rot * (1 + tech_2_1*TblTech[[#This Row],[2-1]] + tech_2_8*TblTech[[#This Row],[2-8]] + tech_5_2*TblTech[[#This Row],[5-2]])</f>
        <v>5864.31</v>
      </c>
      <c r="AS123" s="69" t="n">
        <f aca="false">TblProd[[#This Row],[Mana]]*mana_drain * (1 + tech_2_1*TblTech[[#This Row],[2-1]] + tech_2_8*TblTech[[#This Row],[2-8]])</f>
        <v>3542.9</v>
      </c>
      <c r="AT123" s="146"/>
      <c r="AU123" s="69" t="n">
        <f aca="false">TblExplore[[#This Row],[Platinum (2)]]+TblConstr[[#This Row],[Total Plat Cost]]+TblMili[[#This Row],[Plat Cost]]+TblRezone[[#This Row],[Platinum cost]]+TblImps[[#This Row],[P1]]-TblProd[[#This Row],[Bank Plat]]</f>
        <v>-65340</v>
      </c>
      <c r="AV123" s="69" t="n">
        <f aca="false">TblConstr[[#This Row],[Total Lum Cost]]+TblImps[[#This Row],[L1]]-TblProd[[#This Row],[Bank Lumber]] + Military!$CL$25*TblMili[[#This Row],[Sec. rec. Cost]]</f>
        <v>-10800</v>
      </c>
      <c r="AW123" s="69" t="n">
        <f aca="false">TblMagic[[#This Row],[Mana cost]] + Military!$CL$26*TblMili[[#This Row],[Sec. rec. Cost]]</f>
        <v>0</v>
      </c>
      <c r="AX123" s="69" t="n">
        <f aca="false">Military!$CL$24*TblMili[[#This Row],[Sec. rec. Cost]]+TblImps[[#This Row],[O1]]-TblProd[[#This Row],[Bank Ore]]</f>
        <v>0</v>
      </c>
      <c r="AY123" s="69" t="n">
        <f aca="false">TblImps[[#This Row],[G1]]-TblProd[[#This Row],[Bank Gems]]</f>
        <v>0</v>
      </c>
      <c r="AZ123" s="132"/>
      <c r="BA123" s="33" t="n">
        <f aca="false">IF(TblProd[[#This Row],[Set Guard]]&lt;&gt;"",TblProd[[#This Row],[Set Guard]],OFFSET(TblProd[[#This Row],[Guard]],-1,0))</f>
        <v>0</v>
      </c>
      <c r="BB123" s="145"/>
      <c r="BC123" s="151" t="n">
        <f aca="false">TblProd[[#This Row],[Hour]]</f>
        <v>48</v>
      </c>
      <c r="BD123" s="152" t="n">
        <f aca="false">-TblProd[[#This Row],[Bank Lumber]] / 2 + -TblProd[[#This Row],[Bank Gems]] * 2 + -TblProd[[#This Row],[Bank Ore]] / 2</f>
        <v>0</v>
      </c>
      <c r="BE123" s="152"/>
      <c r="BF123" s="152"/>
      <c r="BG123" s="152"/>
      <c r="BH123" s="153" t="n">
        <f aca="false">TblProd[[#This Row],[Time]]</f>
        <v>45434.7083333333</v>
      </c>
      <c r="BI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J123" s="69" t="n">
        <f aca="false">TblProd[[#This Row],[Platinum]]</f>
        <v>6238196</v>
      </c>
      <c r="BK123" s="69" t="n">
        <f aca="false">TblProd[[#This Row],[Food]]</f>
        <v>284997</v>
      </c>
      <c r="BL123" s="69" t="n">
        <f aca="false">TblProd[[#This Row],[Lumber]]</f>
        <v>586431</v>
      </c>
      <c r="BM123" s="69" t="n">
        <f aca="false">TblProd[[#This Row],[Mana]]</f>
        <v>177145</v>
      </c>
      <c r="BN123" s="69" t="n">
        <f aca="false">TblProd[[#This Row],[Ore]]</f>
        <v>-357</v>
      </c>
    </row>
    <row r="124" customFormat="false" ht="12.75" hidden="false" customHeight="false" outlineLevel="0" collapsed="false">
      <c r="A124" s="128" t="n">
        <v>49</v>
      </c>
      <c r="B124" s="144" t="n">
        <f aca="false">TblImps[[#This Row],[Time]]</f>
        <v>45434.75</v>
      </c>
      <c r="C124" s="145"/>
      <c r="D124" s="146"/>
      <c r="E124" s="69" t="n">
        <f aca="false">TblConstr[[#This Row],[Land]]</f>
        <v>646</v>
      </c>
      <c r="F124" s="69" t="n">
        <f aca="false">TblPop[[#This Row],[Peasants]]</f>
        <v>5999</v>
      </c>
      <c r="G124" s="69"/>
      <c r="H124" s="69" t="e">
        <f aca="false">TblMili[[#This Row],[Networth (2)]]</f>
        <v>#VALUE!</v>
      </c>
      <c r="I124" s="69" t="n">
        <f aca="false">OFFSET(TblProd[[#This Row],[Platinum]],-1,0)+OFFSET(TblProd[[#This Row],[Plat/hr]],-1,0) - TblProd[[#This Row],[Expenses Platinum]] + IF(TblProd[[#This Row],[Plat Bonus]],TblPop[[#This Row],[Peasants]]*4) + SUM(TblConstr[[#This Row],[Dest Hom]:[Dest Doc]])*TblConstr[[#This Row],[CPA Platinum -DB]]*tech_3_3_2*TblTech[[#This Row],[3-3]]</f>
        <v>6332273</v>
      </c>
      <c r="J124" s="69" t="n">
        <f aca="false">OFFSET(TblProd[[#This Row],[Food]],-1,0)+OFFSET(TblProd[[#This Row],[Food/hr]],-1,0)+ROUNDUP((TblConstr[[#This Row],[Farms]]*80+TblConstr[[#This Row],[Docks]]*35)*(1+OFFSET(TblProd[[#This Row],[Bonus Food/hr]],-1,0)),0)</f>
        <v>282347</v>
      </c>
      <c r="K124" s="69" t="n">
        <f aca="false">OFFSET(TblProd[[#This Row],[Lumber]],-1,0)+OFFSET(TblProd[[#This Row],[Lumber/hr]],-1,0) - TblProd[[#This Row],[Expenses Lumber]] + SUM(TblConstr[[#This Row],[Dest Hom]:[Dest Doc]])*TblConstr[[#This Row],[CPA Lumber -DB]]*tech_3_3_2*TblTech[[#This Row],[3-3]]</f>
        <v>592492</v>
      </c>
      <c r="L124" s="69" t="n">
        <f aca="false">OFFSET(TblProd[[#This Row],[Mana]],-1,0)+OFFSET(TblProd[[#This Row],[Mana/hr]],-1,0)- TblProd[[#This Row],[Expenses Mana]]</f>
        <v>174327</v>
      </c>
      <c r="M124" s="69" t="n">
        <f aca="false">OFFSET(TblProd[[#This Row],[Ore]],-1,0)+OFFSET(TblProd[[#This Row],[Ore/hr]],-1,0) -TblProd[[#This Row],[Expenses Ore]]</f>
        <v>-357</v>
      </c>
      <c r="N124" s="69" t="n">
        <f aca="false">OFFSET(TblProd[[#This Row],[Gems]],-1,0)+OFFSET(TblProd[[#This Row],[Gems/hr]],-1,0) - TblProd[[#This Row],[Expenses Gems]]</f>
        <v>-1000</v>
      </c>
      <c r="O124" s="69" t="n">
        <f aca="false">OFFSET(TblProd[[#This Row],[Boats]],-1,0)+OFFSET(TblProd[[#This Row],[Boats/hr]],-1,0)</f>
        <v>85.8500000000001</v>
      </c>
      <c r="P124" s="69" t="n">
        <f aca="false">OFFSET(TblProd[[#This Row],[Prestige]],-1,0)</f>
        <v>250</v>
      </c>
      <c r="Q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4" s="69" t="n">
        <f aca="false">MAX(3750,_xlfn.CEILING.MATH(TblProd[[#This Row],[Land]]*2.5+OFFSET(TblTech[[#This Row],[Sum of tech]],-1,0)*150))</f>
        <v>3750</v>
      </c>
      <c r="S124" s="132"/>
      <c r="T124" s="69" t="n">
        <f aca="false">ROUNDDOWN(TblProd[[#This Row],[Raw Plat/hr]]*(1+TblProd[[#This Row],[Bonus Plat/hr]]),0)</f>
        <v>28572</v>
      </c>
      <c r="U124" s="69" t="n">
        <f aca="false">ROUND(TblProd[[#This Row],[Raw Food/hr]]*(1+TblProd[[#This Row],[Bonus Food/hr]])-TblProd[[#This Row],[Food decay]]-TblProd[[#This Row],[Food eaten]],0)</f>
        <v>-2624</v>
      </c>
      <c r="V124" s="69" t="n">
        <f aca="false">ROUND(TblProd[[#This Row],[Raw Lumber/hr]]*(1+TblProd[[#This Row],[Bonus Lumber/hr]])-TblProd[[#This Row],[Lumber rot]],0)</f>
        <v>-4800</v>
      </c>
      <c r="W124" s="69" t="n">
        <f aca="false">ROUND(TblProd[[#This Row],[Raw Mana/hr]]*(1+TblProd[[#This Row],[Bonus Mana/hr]])-TblProd[[#This Row],[Mana drain]],0)</f>
        <v>-2762</v>
      </c>
      <c r="X124" s="69" t="n">
        <f aca="false">ROUNDDOWN(TblProd[[#This Row],[Raw Ore/hr]]*(1+TblProd[[#This Row],[Bonux Ore/hr]]),0)</f>
        <v>0</v>
      </c>
      <c r="Y124" s="69" t="n">
        <f aca="false">ROUNDDOWN(TblProd[[#This Row],[Raw Gems/hr]]*(1+TblProd[[#This Row],[Bonus Gems/hr]]),0)</f>
        <v>0</v>
      </c>
      <c r="Z124" s="148" t="n">
        <f aca="false">OFFSET(TblConstr[[#This Row],[Tot Doc]],1,0)*dock_boats_hr * (1 + tech_4_1*TblTech[[#This Row],[4-1]])</f>
        <v>1.2</v>
      </c>
      <c r="AA124" s="146"/>
      <c r="AB124" s="69" t="n">
        <f aca="false">TblPop[[#This Row],[Peasants]]*tax*TblPop[[#This Row],[Employment]] + (Construction!AZ125+Construction!BX125)*(alch_plat+(Magic!AM124&gt;0)*alchemist_flame_bonus)</f>
        <v>28572.3</v>
      </c>
      <c r="AC124" s="69" t="n">
        <f aca="false">TblConstr[[#This Row],[Tot Farm]]*farm_food + TblConstr[[#This Row],[Tot Doc]]*dock_food</f>
        <v>3280</v>
      </c>
      <c r="AD124" s="69" t="n">
        <f aca="false">TblConstr[[#This Row],[Tot Ly]]*ly_lumber + TblConstr[[#This Row],[Tot Hav]]*fh_lumber</f>
        <v>1250</v>
      </c>
      <c r="AE124" s="69" t="n">
        <f aca="false">OFFSET(TblConstr[[#This Row],[Tot Tow]],1,0)*(tower_mana + tech_4_5*TblTech[[#This Row],[4-5]]) + OFFSET(TblConstr[[#This Row],[Tot WG]],1,0)*wg_mana_prod</f>
        <v>725</v>
      </c>
      <c r="AF124" s="69" t="n">
        <f aca="false">OFFSET(TblConstr[[#This Row],[Tot OM]],1,0)*om_ore+IF(race="Dwarf",ROUNDDOWN(TblMili[[#This Row],[Unit 2]]*0.4,0),)</f>
        <v>0</v>
      </c>
      <c r="AG124" s="69" t="n">
        <f aca="false">OFFSET(TblConstr[[#This Row],[Tot DM]],1,0)*dm_gems</f>
        <v>0</v>
      </c>
      <c r="AH124" s="132"/>
      <c r="AI124" s="149" t="n">
        <f aca="false">MIN(race_platinum_bonus + IF(TblMagic[[#This Row],[Active Alch Frost]]&gt;0,alch_frost_bonus,IF(Magic!AD124&gt;0,midas_bonus)) + TblImps[[#This Row],[Science]] - TblProd[[#This Row],[Guard]]*(0.02 + tech_5_7*TblTech[[#This Row],[5-7]]) + tech_1_5*TblTech[[#This Row],[1-5]] + tech_4_4*TblTech[[#This Row],[4-4]], 0.5)</f>
        <v>0</v>
      </c>
      <c r="AJ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4" s="149" t="n">
        <f aca="false">race_lumber_bonus+ IF(TblMagic[[#This Row],[Active Gaia''s Blessing]]&gt;0,gaias_blessing_lumber)+ tech_1_3*TblTech[[#This Row],[1-3]] + tech_1_6*TblTech[[#This Row],[1-6]] + tech_3_3*TblTech[[#This Row],[3-3]]</f>
        <v>-0.1</v>
      </c>
      <c r="AL124" s="149" t="n">
        <f aca="false">race_mana_bonus+ 0 + TblImps[[#This Row],[Towers]] + tech_1_2*TblTech[[#This Row],[1-2]] + tech_3_4*TblTech[[#This Row],[3-4]]</f>
        <v>0</v>
      </c>
      <c r="AM124" s="149" t="n">
        <f aca="false">race_ore_bonus + IF(TblMagic[[#This Row],[Active Miner''s Sight]]&gt;0,miners_sight_bonus,IF(TblMagic[[#This Row],[Active Mining Strength]]&gt;0,mining_strength_bonus)) +  tech_1_6*TblTech[[#This Row],[1-6]]</f>
        <v>0</v>
      </c>
      <c r="AN124" s="149" t="n">
        <f aca="false">race_gem_bonus+ tech_3_2*TblTech[[#This Row],[3-2]] + tech_4_3*TblTech[[#This Row],[4-3]] + tech_6_2*TblTech[[#This Row],[6-2]]</f>
        <v>0.15</v>
      </c>
      <c r="AO124" s="132"/>
      <c r="AP124" s="69" t="n">
        <f aca="false">TblProd[[#This Row],[Food]]*food_decay * (1 + tech_2_1*TblTech[[#This Row],[2-1]] + tech_2_8*TblTech[[#This Row],[2-8]])</f>
        <v>2823.47</v>
      </c>
      <c r="AQ124" s="69" t="n">
        <f aca="false">(1+race_food_consumption)*TblPop[[#This Row],[Total]]*food_per_person*(1+tech_1_10*TblTech[[#This Row],[1-10]]+tech_7_5*TblTech[[#This Row],[7-5]])</f>
        <v>3162.25</v>
      </c>
      <c r="AR124" s="69" t="n">
        <f aca="false">TblProd[[#This Row],[Lumber]]*lumber_rot * (1 + tech_2_1*TblTech[[#This Row],[2-1]] + tech_2_8*TblTech[[#This Row],[2-8]] + tech_5_2*TblTech[[#This Row],[5-2]])</f>
        <v>5924.92</v>
      </c>
      <c r="AS124" s="69" t="n">
        <f aca="false">TblProd[[#This Row],[Mana]]*mana_drain * (1 + tech_2_1*TblTech[[#This Row],[2-1]] + tech_2_8*TblTech[[#This Row],[2-8]])</f>
        <v>3486.54</v>
      </c>
      <c r="AT124" s="146"/>
      <c r="AU124" s="69" t="n">
        <f aca="false">TblExplore[[#This Row],[Platinum (2)]]+TblConstr[[#This Row],[Total Plat Cost]]+TblMili[[#This Row],[Plat Cost]]+TblRezone[[#This Row],[Platinum cost]]+TblImps[[#This Row],[P1]]-TblProd[[#This Row],[Bank Plat]]</f>
        <v>-65340</v>
      </c>
      <c r="AV124" s="69" t="n">
        <f aca="false">TblConstr[[#This Row],[Total Lum Cost]]+TblImps[[#This Row],[L1]]-TblProd[[#This Row],[Bank Lumber]] + Military!$CL$25*TblMili[[#This Row],[Sec. rec. Cost]]</f>
        <v>-10800</v>
      </c>
      <c r="AW124" s="69" t="n">
        <f aca="false">TblMagic[[#This Row],[Mana cost]] + Military!$CL$26*TblMili[[#This Row],[Sec. rec. Cost]]</f>
        <v>0</v>
      </c>
      <c r="AX124" s="69" t="n">
        <f aca="false">Military!$CL$24*TblMili[[#This Row],[Sec. rec. Cost]]+TblImps[[#This Row],[O1]]-TblProd[[#This Row],[Bank Ore]]</f>
        <v>0</v>
      </c>
      <c r="AY124" s="69" t="n">
        <f aca="false">TblImps[[#This Row],[G1]]-TblProd[[#This Row],[Bank Gems]]</f>
        <v>0</v>
      </c>
      <c r="AZ124" s="132"/>
      <c r="BA124" s="33" t="n">
        <f aca="false">IF(TblProd[[#This Row],[Set Guard]]&lt;&gt;"",TblProd[[#This Row],[Set Guard]],OFFSET(TblProd[[#This Row],[Guard]],-1,0))</f>
        <v>0</v>
      </c>
      <c r="BB124" s="145"/>
      <c r="BC124" s="151" t="n">
        <f aca="false">TblProd[[#This Row],[Hour]]</f>
        <v>49</v>
      </c>
      <c r="BD124" s="152" t="n">
        <f aca="false">-TblProd[[#This Row],[Bank Lumber]] / 2 + -TblProd[[#This Row],[Bank Gems]] * 2 + -TblProd[[#This Row],[Bank Ore]] / 2</f>
        <v>0</v>
      </c>
      <c r="BE124" s="152"/>
      <c r="BF124" s="152"/>
      <c r="BG124" s="152"/>
      <c r="BH124" s="153" t="n">
        <f aca="false">TblProd[[#This Row],[Time]]</f>
        <v>45434.75</v>
      </c>
      <c r="BI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J124" s="69" t="n">
        <f aca="false">TblProd[[#This Row],[Platinum]]</f>
        <v>6332273</v>
      </c>
      <c r="BK124" s="69" t="n">
        <f aca="false">TblProd[[#This Row],[Food]]</f>
        <v>282347</v>
      </c>
      <c r="BL124" s="69" t="n">
        <f aca="false">TblProd[[#This Row],[Lumber]]</f>
        <v>592492</v>
      </c>
      <c r="BM124" s="69" t="n">
        <f aca="false">TblProd[[#This Row],[Mana]]</f>
        <v>174327</v>
      </c>
      <c r="BN124" s="69" t="n">
        <f aca="false">TblProd[[#This Row],[Ore]]</f>
        <v>-357</v>
      </c>
    </row>
    <row r="125" customFormat="false" ht="12.75" hidden="false" customHeight="false" outlineLevel="0" collapsed="false">
      <c r="A125" s="128" t="n">
        <v>50</v>
      </c>
      <c r="B125" s="144" t="n">
        <f aca="false">TblImps[[#This Row],[Time]]</f>
        <v>45434.7916666667</v>
      </c>
      <c r="C125" s="145"/>
      <c r="D125" s="146"/>
      <c r="E125" s="69" t="n">
        <f aca="false">TblConstr[[#This Row],[Land]]</f>
        <v>646</v>
      </c>
      <c r="F125" s="69" t="n">
        <f aca="false">TblPop[[#This Row],[Peasants]]</f>
        <v>5939</v>
      </c>
      <c r="G125" s="69"/>
      <c r="H125" s="69" t="e">
        <f aca="false">TblMili[[#This Row],[Networth (2)]]</f>
        <v>#VALUE!</v>
      </c>
      <c r="I125" s="69" t="n">
        <f aca="false">OFFSET(TblProd[[#This Row],[Platinum]],-1,0)+OFFSET(TblProd[[#This Row],[Plat/hr]],-1,0) - TblProd[[#This Row],[Expenses Platinum]] + IF(TblProd[[#This Row],[Plat Bonus]],TblPop[[#This Row],[Peasants]]*4) + SUM(TblConstr[[#This Row],[Dest Hom]:[Dest Doc]])*TblConstr[[#This Row],[CPA Platinum -DB]]*tech_3_3_2*TblTech[[#This Row],[3-3]]</f>
        <v>6426185</v>
      </c>
      <c r="J125" s="69" t="n">
        <f aca="false">OFFSET(TblProd[[#This Row],[Food]],-1,0)+OFFSET(TblProd[[#This Row],[Food/hr]],-1,0)+ROUNDUP((TblConstr[[#This Row],[Farms]]*80+TblConstr[[#This Row],[Docks]]*35)*(1+OFFSET(TblProd[[#This Row],[Bonus Food/hr]],-1,0)),0)</f>
        <v>279723</v>
      </c>
      <c r="K125" s="69" t="n">
        <f aca="false">OFFSET(TblProd[[#This Row],[Lumber]],-1,0)+OFFSET(TblProd[[#This Row],[Lumber/hr]],-1,0) - TblProd[[#This Row],[Expenses Lumber]] + SUM(TblConstr[[#This Row],[Dest Hom]:[Dest Doc]])*TblConstr[[#This Row],[CPA Lumber -DB]]*tech_3_3_2*TblTech[[#This Row],[3-3]]</f>
        <v>598492</v>
      </c>
      <c r="L125" s="69" t="n">
        <f aca="false">OFFSET(TblProd[[#This Row],[Mana]],-1,0)+OFFSET(TblProd[[#This Row],[Mana/hr]],-1,0)- TblProd[[#This Row],[Expenses Mana]]</f>
        <v>171565</v>
      </c>
      <c r="M125" s="69" t="n">
        <f aca="false">OFFSET(TblProd[[#This Row],[Ore]],-1,0)+OFFSET(TblProd[[#This Row],[Ore/hr]],-1,0) -TblProd[[#This Row],[Expenses Ore]]</f>
        <v>-357</v>
      </c>
      <c r="N125" s="69" t="n">
        <f aca="false">OFFSET(TblProd[[#This Row],[Gems]],-1,0)+OFFSET(TblProd[[#This Row],[Gems/hr]],-1,0) - TblProd[[#This Row],[Expenses Gems]]</f>
        <v>-1000</v>
      </c>
      <c r="O125" s="69" t="n">
        <f aca="false">OFFSET(TblProd[[#This Row],[Boats]],-1,0)+OFFSET(TblProd[[#This Row],[Boats/hr]],-1,0)</f>
        <v>87.0500000000001</v>
      </c>
      <c r="P125" s="69" t="n">
        <f aca="false">OFFSET(TblProd[[#This Row],[Prestige]],-1,0)</f>
        <v>250</v>
      </c>
      <c r="Q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5" s="69" t="n">
        <f aca="false">MAX(3750,_xlfn.CEILING.MATH(TblProd[[#This Row],[Land]]*2.5+OFFSET(TblTech[[#This Row],[Sum of tech]],-1,0)*150))</f>
        <v>3750</v>
      </c>
      <c r="S125" s="132"/>
      <c r="T125" s="69" t="n">
        <f aca="false">ROUNDDOWN(TblProd[[#This Row],[Raw Plat/hr]]*(1+TblProd[[#This Row],[Bonus Plat/hr]]),0)</f>
        <v>28410</v>
      </c>
      <c r="U125" s="69" t="n">
        <f aca="false">ROUND(TblProd[[#This Row],[Raw Food/hr]]*(1+TblProd[[#This Row],[Bonus Food/hr]])-TblProd[[#This Row],[Food decay]]-TblProd[[#This Row],[Food eaten]],0)</f>
        <v>-2597</v>
      </c>
      <c r="V125" s="69" t="n">
        <f aca="false">ROUND(TblProd[[#This Row],[Raw Lumber/hr]]*(1+TblProd[[#This Row],[Bonus Lumber/hr]])-TblProd[[#This Row],[Lumber rot]],0)</f>
        <v>-4860</v>
      </c>
      <c r="W125" s="69" t="n">
        <f aca="false">ROUND(TblProd[[#This Row],[Raw Mana/hr]]*(1+TblProd[[#This Row],[Bonus Mana/hr]])-TblProd[[#This Row],[Mana drain]],0)</f>
        <v>-2706</v>
      </c>
      <c r="X125" s="69" t="n">
        <f aca="false">ROUNDDOWN(TblProd[[#This Row],[Raw Ore/hr]]*(1+TblProd[[#This Row],[Bonux Ore/hr]]),0)</f>
        <v>0</v>
      </c>
      <c r="Y125" s="69" t="n">
        <f aca="false">ROUNDDOWN(TblProd[[#This Row],[Raw Gems/hr]]*(1+TblProd[[#This Row],[Bonus Gems/hr]]),0)</f>
        <v>0</v>
      </c>
      <c r="Z125" s="148" t="n">
        <f aca="false">OFFSET(TblConstr[[#This Row],[Tot Doc]],1,0)*dock_boats_hr * (1 + tech_4_1*TblTech[[#This Row],[4-1]])</f>
        <v>1.2</v>
      </c>
      <c r="AA125" s="146"/>
      <c r="AB125" s="69" t="n">
        <f aca="false">TblPop[[#This Row],[Peasants]]*tax*TblPop[[#This Row],[Employment]] + (Construction!AZ126+Construction!BX126)*(alch_plat+(Magic!AM125&gt;0)*alchemist_flame_bonus)</f>
        <v>28410.3</v>
      </c>
      <c r="AC125" s="69" t="n">
        <f aca="false">TblConstr[[#This Row],[Tot Farm]]*farm_food + TblConstr[[#This Row],[Tot Doc]]*dock_food</f>
        <v>3280</v>
      </c>
      <c r="AD125" s="69" t="n">
        <f aca="false">TblConstr[[#This Row],[Tot Ly]]*ly_lumber + TblConstr[[#This Row],[Tot Hav]]*fh_lumber</f>
        <v>1250</v>
      </c>
      <c r="AE125" s="69" t="n">
        <f aca="false">OFFSET(TblConstr[[#This Row],[Tot Tow]],1,0)*(tower_mana + tech_4_5*TblTech[[#This Row],[4-5]]) + OFFSET(TblConstr[[#This Row],[Tot WG]],1,0)*wg_mana_prod</f>
        <v>725</v>
      </c>
      <c r="AF125" s="69" t="n">
        <f aca="false">OFFSET(TblConstr[[#This Row],[Tot OM]],1,0)*om_ore+IF(race="Dwarf",ROUNDDOWN(TblMili[[#This Row],[Unit 2]]*0.4,0),)</f>
        <v>0</v>
      </c>
      <c r="AG125" s="69" t="n">
        <f aca="false">OFFSET(TblConstr[[#This Row],[Tot DM]],1,0)*dm_gems</f>
        <v>0</v>
      </c>
      <c r="AH125" s="132"/>
      <c r="AI125" s="149" t="n">
        <f aca="false">MIN(race_platinum_bonus + IF(TblMagic[[#This Row],[Active Alch Frost]]&gt;0,alch_frost_bonus,IF(Magic!AD125&gt;0,midas_bonus)) + TblImps[[#This Row],[Science]] - TblProd[[#This Row],[Guard]]*(0.02 + tech_5_7*TblTech[[#This Row],[5-7]]) + tech_1_5*TblTech[[#This Row],[1-5]] + tech_4_4*TblTech[[#This Row],[4-4]], 0.5)</f>
        <v>0</v>
      </c>
      <c r="AJ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5" s="149" t="n">
        <f aca="false">race_lumber_bonus+ IF(TblMagic[[#This Row],[Active Gaia''s Blessing]]&gt;0,gaias_blessing_lumber)+ tech_1_3*TblTech[[#This Row],[1-3]] + tech_1_6*TblTech[[#This Row],[1-6]] + tech_3_3*TblTech[[#This Row],[3-3]]</f>
        <v>-0.1</v>
      </c>
      <c r="AL125" s="149" t="n">
        <f aca="false">race_mana_bonus+ 0 + TblImps[[#This Row],[Towers]] + tech_1_2*TblTech[[#This Row],[1-2]] + tech_3_4*TblTech[[#This Row],[3-4]]</f>
        <v>0</v>
      </c>
      <c r="AM125" s="149" t="n">
        <f aca="false">race_ore_bonus + IF(TblMagic[[#This Row],[Active Miner''s Sight]]&gt;0,miners_sight_bonus,IF(TblMagic[[#This Row],[Active Mining Strength]]&gt;0,mining_strength_bonus)) +  tech_1_6*TblTech[[#This Row],[1-6]]</f>
        <v>0</v>
      </c>
      <c r="AN125" s="149" t="n">
        <f aca="false">race_gem_bonus+ tech_3_2*TblTech[[#This Row],[3-2]] + tech_4_3*TblTech[[#This Row],[4-3]] + tech_6_2*TblTech[[#This Row],[6-2]]</f>
        <v>0.15</v>
      </c>
      <c r="AO125" s="132"/>
      <c r="AP125" s="69" t="n">
        <f aca="false">TblProd[[#This Row],[Food]]*food_decay * (1 + tech_2_1*TblTech[[#This Row],[2-1]] + tech_2_8*TblTech[[#This Row],[2-8]])</f>
        <v>2797.23</v>
      </c>
      <c r="AQ125" s="69" t="n">
        <f aca="false">(1+race_food_consumption)*TblPop[[#This Row],[Total]]*food_per_person*(1+tech_1_10*TblTech[[#This Row],[1-10]]+tech_7_5*TblTech[[#This Row],[7-5]])</f>
        <v>3162.25</v>
      </c>
      <c r="AR125" s="69" t="n">
        <f aca="false">TblProd[[#This Row],[Lumber]]*lumber_rot * (1 + tech_2_1*TblTech[[#This Row],[2-1]] + tech_2_8*TblTech[[#This Row],[2-8]] + tech_5_2*TblTech[[#This Row],[5-2]])</f>
        <v>5984.92</v>
      </c>
      <c r="AS125" s="69" t="n">
        <f aca="false">TblProd[[#This Row],[Mana]]*mana_drain * (1 + tech_2_1*TblTech[[#This Row],[2-1]] + tech_2_8*TblTech[[#This Row],[2-8]])</f>
        <v>3431.3</v>
      </c>
      <c r="AT125" s="146"/>
      <c r="AU125" s="69" t="n">
        <f aca="false">TblExplore[[#This Row],[Platinum (2)]]+TblConstr[[#This Row],[Total Plat Cost]]+TblMili[[#This Row],[Plat Cost]]+TblRezone[[#This Row],[Platinum cost]]+TblImps[[#This Row],[P1]]-TblProd[[#This Row],[Bank Plat]]</f>
        <v>-65340</v>
      </c>
      <c r="AV125" s="69" t="n">
        <f aca="false">TblConstr[[#This Row],[Total Lum Cost]]+TblImps[[#This Row],[L1]]-TblProd[[#This Row],[Bank Lumber]] + Military!$CL$25*TblMili[[#This Row],[Sec. rec. Cost]]</f>
        <v>-10800</v>
      </c>
      <c r="AW125" s="69" t="n">
        <f aca="false">TblMagic[[#This Row],[Mana cost]] + Military!$CL$26*TblMili[[#This Row],[Sec. rec. Cost]]</f>
        <v>0</v>
      </c>
      <c r="AX125" s="69" t="n">
        <f aca="false">Military!$CL$24*TblMili[[#This Row],[Sec. rec. Cost]]+TblImps[[#This Row],[O1]]-TblProd[[#This Row],[Bank Ore]]</f>
        <v>0</v>
      </c>
      <c r="AY125" s="69" t="n">
        <f aca="false">TblImps[[#This Row],[G1]]-TblProd[[#This Row],[Bank Gems]]</f>
        <v>0</v>
      </c>
      <c r="AZ125" s="132"/>
      <c r="BA125" s="33" t="n">
        <f aca="false">IF(TblProd[[#This Row],[Set Guard]]&lt;&gt;"",TblProd[[#This Row],[Set Guard]],OFFSET(TblProd[[#This Row],[Guard]],-1,0))</f>
        <v>0</v>
      </c>
      <c r="BB125" s="145"/>
      <c r="BC125" s="151" t="n">
        <f aca="false">TblProd[[#This Row],[Hour]]</f>
        <v>50</v>
      </c>
      <c r="BD125" s="152" t="n">
        <f aca="false">-TblProd[[#This Row],[Bank Lumber]] / 2 + -TblProd[[#This Row],[Bank Gems]] * 2 + -TblProd[[#This Row],[Bank Ore]] / 2</f>
        <v>0</v>
      </c>
      <c r="BE125" s="152"/>
      <c r="BF125" s="152"/>
      <c r="BG125" s="152"/>
      <c r="BH125" s="153" t="n">
        <f aca="false">TblProd[[#This Row],[Time]]</f>
        <v>45434.7916666667</v>
      </c>
      <c r="BI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J125" s="69" t="n">
        <f aca="false">TblProd[[#This Row],[Platinum]]</f>
        <v>6426185</v>
      </c>
      <c r="BK125" s="69" t="n">
        <f aca="false">TblProd[[#This Row],[Food]]</f>
        <v>279723</v>
      </c>
      <c r="BL125" s="69" t="n">
        <f aca="false">TblProd[[#This Row],[Lumber]]</f>
        <v>598492</v>
      </c>
      <c r="BM125" s="69" t="n">
        <f aca="false">TblProd[[#This Row],[Mana]]</f>
        <v>171565</v>
      </c>
      <c r="BN125" s="69" t="n">
        <f aca="false">TblProd[[#This Row],[Ore]]</f>
        <v>-357</v>
      </c>
    </row>
    <row r="126" customFormat="false" ht="12.75" hidden="false" customHeight="false" outlineLevel="0" collapsed="false">
      <c r="A126" s="128" t="n">
        <v>51</v>
      </c>
      <c r="B126" s="144" t="n">
        <f aca="false">TblImps[[#This Row],[Time]]</f>
        <v>45434.8333333333</v>
      </c>
      <c r="C126" s="145"/>
      <c r="D126" s="146"/>
      <c r="E126" s="69" t="n">
        <f aca="false">TblConstr[[#This Row],[Land]]</f>
        <v>646</v>
      </c>
      <c r="F126" s="69" t="n">
        <f aca="false">TblPop[[#This Row],[Peasants]]</f>
        <v>5880</v>
      </c>
      <c r="G126" s="69"/>
      <c r="H126" s="69" t="e">
        <f aca="false">TblMili[[#This Row],[Networth (2)]]</f>
        <v>#VALUE!</v>
      </c>
      <c r="I126" s="69" t="n">
        <f aca="false">OFFSET(TblProd[[#This Row],[Platinum]],-1,0)+OFFSET(TblProd[[#This Row],[Plat/hr]],-1,0) - TblProd[[#This Row],[Expenses Platinum]] + IF(TblProd[[#This Row],[Plat Bonus]],TblPop[[#This Row],[Peasants]]*4) + SUM(TblConstr[[#This Row],[Dest Hom]:[Dest Doc]])*TblConstr[[#This Row],[CPA Platinum -DB]]*tech_3_3_2*TblTech[[#This Row],[3-3]]</f>
        <v>6519935</v>
      </c>
      <c r="J126" s="69" t="n">
        <f aca="false">OFFSET(TblProd[[#This Row],[Food]],-1,0)+OFFSET(TblProd[[#This Row],[Food/hr]],-1,0)+ROUNDUP((TblConstr[[#This Row],[Farms]]*80+TblConstr[[#This Row],[Docks]]*35)*(1+OFFSET(TblProd[[#This Row],[Bonus Food/hr]],-1,0)),0)</f>
        <v>277126</v>
      </c>
      <c r="K126" s="69" t="n">
        <f aca="false">OFFSET(TblProd[[#This Row],[Lumber]],-1,0)+OFFSET(TblProd[[#This Row],[Lumber/hr]],-1,0) - TblProd[[#This Row],[Expenses Lumber]] + SUM(TblConstr[[#This Row],[Dest Hom]:[Dest Doc]])*TblConstr[[#This Row],[CPA Lumber -DB]]*tech_3_3_2*TblTech[[#This Row],[3-3]]</f>
        <v>604432</v>
      </c>
      <c r="L126" s="69" t="n">
        <f aca="false">OFFSET(TblProd[[#This Row],[Mana]],-1,0)+OFFSET(TblProd[[#This Row],[Mana/hr]],-1,0)- TblProd[[#This Row],[Expenses Mana]]</f>
        <v>168859</v>
      </c>
      <c r="M126" s="69" t="n">
        <f aca="false">OFFSET(TblProd[[#This Row],[Ore]],-1,0)+OFFSET(TblProd[[#This Row],[Ore/hr]],-1,0) -TblProd[[#This Row],[Expenses Ore]]</f>
        <v>-357</v>
      </c>
      <c r="N126" s="69" t="n">
        <f aca="false">OFFSET(TblProd[[#This Row],[Gems]],-1,0)+OFFSET(TblProd[[#This Row],[Gems/hr]],-1,0) - TblProd[[#This Row],[Expenses Gems]]</f>
        <v>-1000</v>
      </c>
      <c r="O126" s="69" t="n">
        <f aca="false">OFFSET(TblProd[[#This Row],[Boats]],-1,0)+OFFSET(TblProd[[#This Row],[Boats/hr]],-1,0)</f>
        <v>88.2500000000001</v>
      </c>
      <c r="P126" s="69" t="n">
        <f aca="false">OFFSET(TblProd[[#This Row],[Prestige]],-1,0)</f>
        <v>250</v>
      </c>
      <c r="Q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6" s="69" t="n">
        <f aca="false">MAX(3750,_xlfn.CEILING.MATH(TblProd[[#This Row],[Land]]*2.5+OFFSET(TblTech[[#This Row],[Sum of tech]],-1,0)*150))</f>
        <v>3750</v>
      </c>
      <c r="S126" s="132"/>
      <c r="T126" s="69" t="n">
        <f aca="false">ROUNDDOWN(TblProd[[#This Row],[Raw Plat/hr]]*(1+TblProd[[#This Row],[Bonus Plat/hr]]),0)</f>
        <v>28251</v>
      </c>
      <c r="U126" s="69" t="n">
        <f aca="false">ROUND(TblProd[[#This Row],[Raw Food/hr]]*(1+TblProd[[#This Row],[Bonus Food/hr]])-TblProd[[#This Row],[Food decay]]-TblProd[[#This Row],[Food eaten]],0)</f>
        <v>-2572</v>
      </c>
      <c r="V126" s="69" t="n">
        <f aca="false">ROUND(TblProd[[#This Row],[Raw Lumber/hr]]*(1+TblProd[[#This Row],[Bonus Lumber/hr]])-TblProd[[#This Row],[Lumber rot]],0)</f>
        <v>-4919</v>
      </c>
      <c r="W126" s="69" t="n">
        <f aca="false">ROUND(TblProd[[#This Row],[Raw Mana/hr]]*(1+TblProd[[#This Row],[Bonus Mana/hr]])-TblProd[[#This Row],[Mana drain]],0)</f>
        <v>-2652</v>
      </c>
      <c r="X126" s="69" t="n">
        <f aca="false">ROUNDDOWN(TblProd[[#This Row],[Raw Ore/hr]]*(1+TblProd[[#This Row],[Bonux Ore/hr]]),0)</f>
        <v>0</v>
      </c>
      <c r="Y126" s="69" t="n">
        <f aca="false">ROUNDDOWN(TblProd[[#This Row],[Raw Gems/hr]]*(1+TblProd[[#This Row],[Bonus Gems/hr]]),0)</f>
        <v>0</v>
      </c>
      <c r="Z126" s="148" t="n">
        <f aca="false">OFFSET(TblConstr[[#This Row],[Tot Doc]],1,0)*dock_boats_hr * (1 + tech_4_1*TblTech[[#This Row],[4-1]])</f>
        <v>1.2</v>
      </c>
      <c r="AA126" s="146"/>
      <c r="AB126" s="69" t="n">
        <f aca="false">TblPop[[#This Row],[Peasants]]*tax*TblPop[[#This Row],[Employment]] + (Construction!AZ127+Construction!BX127)*(alch_plat+(Magic!AM126&gt;0)*alchemist_flame_bonus)</f>
        <v>28251</v>
      </c>
      <c r="AC126" s="69" t="n">
        <f aca="false">TblConstr[[#This Row],[Tot Farm]]*farm_food + TblConstr[[#This Row],[Tot Doc]]*dock_food</f>
        <v>3280</v>
      </c>
      <c r="AD126" s="69" t="n">
        <f aca="false">TblConstr[[#This Row],[Tot Ly]]*ly_lumber + TblConstr[[#This Row],[Tot Hav]]*fh_lumber</f>
        <v>1250</v>
      </c>
      <c r="AE126" s="69" t="n">
        <f aca="false">OFFSET(TblConstr[[#This Row],[Tot Tow]],1,0)*(tower_mana + tech_4_5*TblTech[[#This Row],[4-5]]) + OFFSET(TblConstr[[#This Row],[Tot WG]],1,0)*wg_mana_prod</f>
        <v>725</v>
      </c>
      <c r="AF126" s="69" t="n">
        <f aca="false">OFFSET(TblConstr[[#This Row],[Tot OM]],1,0)*om_ore+IF(race="Dwarf",ROUNDDOWN(TblMili[[#This Row],[Unit 2]]*0.4,0),)</f>
        <v>0</v>
      </c>
      <c r="AG126" s="69" t="n">
        <f aca="false">OFFSET(TblConstr[[#This Row],[Tot DM]],1,0)*dm_gems</f>
        <v>0</v>
      </c>
      <c r="AH126" s="132"/>
      <c r="AI126" s="149" t="n">
        <f aca="false">MIN(race_platinum_bonus + IF(TblMagic[[#This Row],[Active Alch Frost]]&gt;0,alch_frost_bonus,IF(Magic!AD126&gt;0,midas_bonus)) + TblImps[[#This Row],[Science]] - TblProd[[#This Row],[Guard]]*(0.02 + tech_5_7*TblTech[[#This Row],[5-7]]) + tech_1_5*TblTech[[#This Row],[1-5]] + tech_4_4*TblTech[[#This Row],[4-4]], 0.5)</f>
        <v>0</v>
      </c>
      <c r="AJ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6" s="149" t="n">
        <f aca="false">race_lumber_bonus+ IF(TblMagic[[#This Row],[Active Gaia''s Blessing]]&gt;0,gaias_blessing_lumber)+ tech_1_3*TblTech[[#This Row],[1-3]] + tech_1_6*TblTech[[#This Row],[1-6]] + tech_3_3*TblTech[[#This Row],[3-3]]</f>
        <v>-0.1</v>
      </c>
      <c r="AL126" s="149" t="n">
        <f aca="false">race_mana_bonus+ 0 + TblImps[[#This Row],[Towers]] + tech_1_2*TblTech[[#This Row],[1-2]] + tech_3_4*TblTech[[#This Row],[3-4]]</f>
        <v>0</v>
      </c>
      <c r="AM126" s="149" t="n">
        <f aca="false">race_ore_bonus + IF(TblMagic[[#This Row],[Active Miner''s Sight]]&gt;0,miners_sight_bonus,IF(TblMagic[[#This Row],[Active Mining Strength]]&gt;0,mining_strength_bonus)) +  tech_1_6*TblTech[[#This Row],[1-6]]</f>
        <v>0</v>
      </c>
      <c r="AN126" s="149" t="n">
        <f aca="false">race_gem_bonus+ tech_3_2*TblTech[[#This Row],[3-2]] + tech_4_3*TblTech[[#This Row],[4-3]] + tech_6_2*TblTech[[#This Row],[6-2]]</f>
        <v>0.15</v>
      </c>
      <c r="AO126" s="132"/>
      <c r="AP126" s="69" t="n">
        <f aca="false">TblProd[[#This Row],[Food]]*food_decay * (1 + tech_2_1*TblTech[[#This Row],[2-1]] + tech_2_8*TblTech[[#This Row],[2-8]])</f>
        <v>2771.26</v>
      </c>
      <c r="AQ126" s="69" t="n">
        <f aca="false">(1+race_food_consumption)*TblPop[[#This Row],[Total]]*food_per_person*(1+tech_1_10*TblTech[[#This Row],[1-10]]+tech_7_5*TblTech[[#This Row],[7-5]])</f>
        <v>3162.25</v>
      </c>
      <c r="AR126" s="69" t="n">
        <f aca="false">TblProd[[#This Row],[Lumber]]*lumber_rot * (1 + tech_2_1*TblTech[[#This Row],[2-1]] + tech_2_8*TblTech[[#This Row],[2-8]] + tech_5_2*TblTech[[#This Row],[5-2]])</f>
        <v>6044.32</v>
      </c>
      <c r="AS126" s="69" t="n">
        <f aca="false">TblProd[[#This Row],[Mana]]*mana_drain * (1 + tech_2_1*TblTech[[#This Row],[2-1]] + tech_2_8*TblTech[[#This Row],[2-8]])</f>
        <v>3377.18</v>
      </c>
      <c r="AT126" s="146"/>
      <c r="AU126" s="69" t="n">
        <f aca="false">TblExplore[[#This Row],[Platinum (2)]]+TblConstr[[#This Row],[Total Plat Cost]]+TblMili[[#This Row],[Plat Cost]]+TblRezone[[#This Row],[Platinum cost]]+TblImps[[#This Row],[P1]]-TblProd[[#This Row],[Bank Plat]]</f>
        <v>-65340</v>
      </c>
      <c r="AV126" s="69" t="n">
        <f aca="false">TblConstr[[#This Row],[Total Lum Cost]]+TblImps[[#This Row],[L1]]-TblProd[[#This Row],[Bank Lumber]] + Military!$CL$25*TblMili[[#This Row],[Sec. rec. Cost]]</f>
        <v>-10800</v>
      </c>
      <c r="AW126" s="69" t="n">
        <f aca="false">TblMagic[[#This Row],[Mana cost]] + Military!$CL$26*TblMili[[#This Row],[Sec. rec. Cost]]</f>
        <v>0</v>
      </c>
      <c r="AX126" s="69" t="n">
        <f aca="false">Military!$CL$24*TblMili[[#This Row],[Sec. rec. Cost]]+TblImps[[#This Row],[O1]]-TblProd[[#This Row],[Bank Ore]]</f>
        <v>0</v>
      </c>
      <c r="AY126" s="69" t="n">
        <f aca="false">TblImps[[#This Row],[G1]]-TblProd[[#This Row],[Bank Gems]]</f>
        <v>0</v>
      </c>
      <c r="AZ126" s="132"/>
      <c r="BA126" s="33" t="n">
        <f aca="false">IF(TblProd[[#This Row],[Set Guard]]&lt;&gt;"",TblProd[[#This Row],[Set Guard]],OFFSET(TblProd[[#This Row],[Guard]],-1,0))</f>
        <v>0</v>
      </c>
      <c r="BB126" s="145"/>
      <c r="BC126" s="151" t="n">
        <f aca="false">TblProd[[#This Row],[Hour]]</f>
        <v>51</v>
      </c>
      <c r="BD126" s="152" t="n">
        <f aca="false">-TblProd[[#This Row],[Bank Lumber]] / 2 + -TblProd[[#This Row],[Bank Gems]] * 2 + -TblProd[[#This Row],[Bank Ore]] / 2</f>
        <v>0</v>
      </c>
      <c r="BE126" s="152"/>
      <c r="BF126" s="152"/>
      <c r="BG126" s="152"/>
      <c r="BH126" s="153" t="n">
        <f aca="false">TblProd[[#This Row],[Time]]</f>
        <v>45434.8333333333</v>
      </c>
      <c r="BI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J126" s="69" t="n">
        <f aca="false">TblProd[[#This Row],[Platinum]]</f>
        <v>6519935</v>
      </c>
      <c r="BK126" s="69" t="n">
        <f aca="false">TblProd[[#This Row],[Food]]</f>
        <v>277126</v>
      </c>
      <c r="BL126" s="69" t="n">
        <f aca="false">TblProd[[#This Row],[Lumber]]</f>
        <v>604432</v>
      </c>
      <c r="BM126" s="69" t="n">
        <f aca="false">TblProd[[#This Row],[Mana]]</f>
        <v>168859</v>
      </c>
      <c r="BN126" s="69" t="n">
        <f aca="false">TblProd[[#This Row],[Ore]]</f>
        <v>-357</v>
      </c>
    </row>
    <row r="127" customFormat="false" ht="12.75" hidden="false" customHeight="false" outlineLevel="0" collapsed="false">
      <c r="A127" s="128" t="n">
        <v>52</v>
      </c>
      <c r="B127" s="144" t="n">
        <f aca="false">TblImps[[#This Row],[Time]]</f>
        <v>45434.875</v>
      </c>
      <c r="C127" s="145"/>
      <c r="D127" s="146"/>
      <c r="E127" s="69" t="n">
        <f aca="false">TblConstr[[#This Row],[Land]]</f>
        <v>646</v>
      </c>
      <c r="F127" s="69" t="n">
        <f aca="false">TblPop[[#This Row],[Peasants]]</f>
        <v>5821</v>
      </c>
      <c r="G127" s="69"/>
      <c r="H127" s="69" t="e">
        <f aca="false">TblMili[[#This Row],[Networth (2)]]</f>
        <v>#VALUE!</v>
      </c>
      <c r="I127" s="69" t="n">
        <f aca="false">OFFSET(TblProd[[#This Row],[Platinum]],-1,0)+OFFSET(TblProd[[#This Row],[Plat/hr]],-1,0) - TblProd[[#This Row],[Expenses Platinum]] + IF(TblProd[[#This Row],[Plat Bonus]],TblPop[[#This Row],[Peasants]]*4) + SUM(TblConstr[[#This Row],[Dest Hom]:[Dest Doc]])*TblConstr[[#This Row],[CPA Platinum -DB]]*tech_3_3_2*TblTech[[#This Row],[3-3]]</f>
        <v>6613526</v>
      </c>
      <c r="J127" s="69" t="n">
        <f aca="false">OFFSET(TblProd[[#This Row],[Food]],-1,0)+OFFSET(TblProd[[#This Row],[Food/hr]],-1,0)+ROUNDUP((TblConstr[[#This Row],[Farms]]*80+TblConstr[[#This Row],[Docks]]*35)*(1+OFFSET(TblProd[[#This Row],[Bonus Food/hr]],-1,0)),0)</f>
        <v>274554</v>
      </c>
      <c r="K127" s="69" t="n">
        <f aca="false">OFFSET(TblProd[[#This Row],[Lumber]],-1,0)+OFFSET(TblProd[[#This Row],[Lumber/hr]],-1,0) - TblProd[[#This Row],[Expenses Lumber]] + SUM(TblConstr[[#This Row],[Dest Hom]:[Dest Doc]])*TblConstr[[#This Row],[CPA Lumber -DB]]*tech_3_3_2*TblTech[[#This Row],[3-3]]</f>
        <v>610313</v>
      </c>
      <c r="L127" s="69" t="n">
        <f aca="false">OFFSET(TblProd[[#This Row],[Mana]],-1,0)+OFFSET(TblProd[[#This Row],[Mana/hr]],-1,0)- TblProd[[#This Row],[Expenses Mana]]</f>
        <v>166207</v>
      </c>
      <c r="M127" s="69" t="n">
        <f aca="false">OFFSET(TblProd[[#This Row],[Ore]],-1,0)+OFFSET(TblProd[[#This Row],[Ore/hr]],-1,0) -TblProd[[#This Row],[Expenses Ore]]</f>
        <v>-357</v>
      </c>
      <c r="N127" s="69" t="n">
        <f aca="false">OFFSET(TblProd[[#This Row],[Gems]],-1,0)+OFFSET(TblProd[[#This Row],[Gems/hr]],-1,0) - TblProd[[#This Row],[Expenses Gems]]</f>
        <v>-1000</v>
      </c>
      <c r="O127" s="69" t="n">
        <f aca="false">OFFSET(TblProd[[#This Row],[Boats]],-1,0)+OFFSET(TblProd[[#This Row],[Boats/hr]],-1,0)</f>
        <v>89.4500000000001</v>
      </c>
      <c r="P127" s="69" t="n">
        <f aca="false">OFFSET(TblProd[[#This Row],[Prestige]],-1,0)</f>
        <v>250</v>
      </c>
      <c r="Q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7" s="69" t="n">
        <f aca="false">MAX(3750,_xlfn.CEILING.MATH(TblProd[[#This Row],[Land]]*2.5+OFFSET(TblTech[[#This Row],[Sum of tech]],-1,0)*150))</f>
        <v>3750</v>
      </c>
      <c r="S127" s="132"/>
      <c r="T127" s="69" t="n">
        <f aca="false">ROUNDDOWN(TblProd[[#This Row],[Raw Plat/hr]]*(1+TblProd[[#This Row],[Bonus Plat/hr]]),0)</f>
        <v>28091</v>
      </c>
      <c r="U127" s="69" t="n">
        <f aca="false">ROUND(TblProd[[#This Row],[Raw Food/hr]]*(1+TblProd[[#This Row],[Bonus Food/hr]])-TblProd[[#This Row],[Food decay]]-TblProd[[#This Row],[Food eaten]],0)</f>
        <v>-2546</v>
      </c>
      <c r="V127" s="69" t="n">
        <f aca="false">ROUND(TblProd[[#This Row],[Raw Lumber/hr]]*(1+TblProd[[#This Row],[Bonus Lumber/hr]])-TblProd[[#This Row],[Lumber rot]],0)</f>
        <v>-4978</v>
      </c>
      <c r="W127" s="69" t="n">
        <f aca="false">ROUND(TblProd[[#This Row],[Raw Mana/hr]]*(1+TblProd[[#This Row],[Bonus Mana/hr]])-TblProd[[#This Row],[Mana drain]],0)</f>
        <v>-2599</v>
      </c>
      <c r="X127" s="69" t="n">
        <f aca="false">ROUNDDOWN(TblProd[[#This Row],[Raw Ore/hr]]*(1+TblProd[[#This Row],[Bonux Ore/hr]]),0)</f>
        <v>0</v>
      </c>
      <c r="Y127" s="69" t="n">
        <f aca="false">ROUNDDOWN(TblProd[[#This Row],[Raw Gems/hr]]*(1+TblProd[[#This Row],[Bonus Gems/hr]]),0)</f>
        <v>0</v>
      </c>
      <c r="Z127" s="148" t="n">
        <f aca="false">OFFSET(TblConstr[[#This Row],[Tot Doc]],1,0)*dock_boats_hr * (1 + tech_4_1*TblTech[[#This Row],[4-1]])</f>
        <v>1.2</v>
      </c>
      <c r="AA127" s="146"/>
      <c r="AB127" s="69" t="n">
        <f aca="false">TblPop[[#This Row],[Peasants]]*tax*TblPop[[#This Row],[Employment]] + (Construction!AZ128+Construction!BX128)*(alch_plat+(Magic!AM127&gt;0)*alchemist_flame_bonus)</f>
        <v>28091.7</v>
      </c>
      <c r="AC127" s="69" t="n">
        <f aca="false">TblConstr[[#This Row],[Tot Farm]]*farm_food + TblConstr[[#This Row],[Tot Doc]]*dock_food</f>
        <v>3280</v>
      </c>
      <c r="AD127" s="69" t="n">
        <f aca="false">TblConstr[[#This Row],[Tot Ly]]*ly_lumber + TblConstr[[#This Row],[Tot Hav]]*fh_lumber</f>
        <v>1250</v>
      </c>
      <c r="AE127" s="69" t="n">
        <f aca="false">OFFSET(TblConstr[[#This Row],[Tot Tow]],1,0)*(tower_mana + tech_4_5*TblTech[[#This Row],[4-5]]) + OFFSET(TblConstr[[#This Row],[Tot WG]],1,0)*wg_mana_prod</f>
        <v>725</v>
      </c>
      <c r="AF127" s="69" t="n">
        <f aca="false">OFFSET(TblConstr[[#This Row],[Tot OM]],1,0)*om_ore+IF(race="Dwarf",ROUNDDOWN(TblMili[[#This Row],[Unit 2]]*0.4,0),)</f>
        <v>0</v>
      </c>
      <c r="AG127" s="69" t="n">
        <f aca="false">OFFSET(TblConstr[[#This Row],[Tot DM]],1,0)*dm_gems</f>
        <v>0</v>
      </c>
      <c r="AH127" s="132"/>
      <c r="AI127" s="149" t="n">
        <f aca="false">MIN(race_platinum_bonus + IF(TblMagic[[#This Row],[Active Alch Frost]]&gt;0,alch_frost_bonus,IF(Magic!AD127&gt;0,midas_bonus)) + TblImps[[#This Row],[Science]] - TblProd[[#This Row],[Guard]]*(0.02 + tech_5_7*TblTech[[#This Row],[5-7]]) + tech_1_5*TblTech[[#This Row],[1-5]] + tech_4_4*TblTech[[#This Row],[4-4]], 0.5)</f>
        <v>0</v>
      </c>
      <c r="AJ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7" s="149" t="n">
        <f aca="false">race_lumber_bonus+ IF(TblMagic[[#This Row],[Active Gaia''s Blessing]]&gt;0,gaias_blessing_lumber)+ tech_1_3*TblTech[[#This Row],[1-3]] + tech_1_6*TblTech[[#This Row],[1-6]] + tech_3_3*TblTech[[#This Row],[3-3]]</f>
        <v>-0.1</v>
      </c>
      <c r="AL127" s="149" t="n">
        <f aca="false">race_mana_bonus+ 0 + TblImps[[#This Row],[Towers]] + tech_1_2*TblTech[[#This Row],[1-2]] + tech_3_4*TblTech[[#This Row],[3-4]]</f>
        <v>0</v>
      </c>
      <c r="AM127" s="149" t="n">
        <f aca="false">race_ore_bonus + IF(TblMagic[[#This Row],[Active Miner''s Sight]]&gt;0,miners_sight_bonus,IF(TblMagic[[#This Row],[Active Mining Strength]]&gt;0,mining_strength_bonus)) +  tech_1_6*TblTech[[#This Row],[1-6]]</f>
        <v>0</v>
      </c>
      <c r="AN127" s="149" t="n">
        <f aca="false">race_gem_bonus+ tech_3_2*TblTech[[#This Row],[3-2]] + tech_4_3*TblTech[[#This Row],[4-3]] + tech_6_2*TblTech[[#This Row],[6-2]]</f>
        <v>0.15</v>
      </c>
      <c r="AO127" s="132"/>
      <c r="AP127" s="69" t="n">
        <f aca="false">TblProd[[#This Row],[Food]]*food_decay * (1 + tech_2_1*TblTech[[#This Row],[2-1]] + tech_2_8*TblTech[[#This Row],[2-8]])</f>
        <v>2745.54</v>
      </c>
      <c r="AQ127" s="69" t="n">
        <f aca="false">(1+race_food_consumption)*TblPop[[#This Row],[Total]]*food_per_person*(1+tech_1_10*TblTech[[#This Row],[1-10]]+tech_7_5*TblTech[[#This Row],[7-5]])</f>
        <v>3162.25</v>
      </c>
      <c r="AR127" s="69" t="n">
        <f aca="false">TblProd[[#This Row],[Lumber]]*lumber_rot * (1 + tech_2_1*TblTech[[#This Row],[2-1]] + tech_2_8*TblTech[[#This Row],[2-8]] + tech_5_2*TblTech[[#This Row],[5-2]])</f>
        <v>6103.13</v>
      </c>
      <c r="AS127" s="69" t="n">
        <f aca="false">TblProd[[#This Row],[Mana]]*mana_drain * (1 + tech_2_1*TblTech[[#This Row],[2-1]] + tech_2_8*TblTech[[#This Row],[2-8]])</f>
        <v>3324.14</v>
      </c>
      <c r="AT127" s="146"/>
      <c r="AU127" s="69" t="n">
        <f aca="false">TblExplore[[#This Row],[Platinum (2)]]+TblConstr[[#This Row],[Total Plat Cost]]+TblMili[[#This Row],[Plat Cost]]+TblRezone[[#This Row],[Platinum cost]]+TblImps[[#This Row],[P1]]-TblProd[[#This Row],[Bank Plat]]</f>
        <v>-65340</v>
      </c>
      <c r="AV127" s="69" t="n">
        <f aca="false">TblConstr[[#This Row],[Total Lum Cost]]+TblImps[[#This Row],[L1]]-TblProd[[#This Row],[Bank Lumber]] + Military!$CL$25*TblMili[[#This Row],[Sec. rec. Cost]]</f>
        <v>-10800</v>
      </c>
      <c r="AW127" s="69" t="n">
        <f aca="false">TblMagic[[#This Row],[Mana cost]] + Military!$CL$26*TblMili[[#This Row],[Sec. rec. Cost]]</f>
        <v>0</v>
      </c>
      <c r="AX127" s="69" t="n">
        <f aca="false">Military!$CL$24*TblMili[[#This Row],[Sec. rec. Cost]]+TblImps[[#This Row],[O1]]-TblProd[[#This Row],[Bank Ore]]</f>
        <v>0</v>
      </c>
      <c r="AY127" s="69" t="n">
        <f aca="false">TblImps[[#This Row],[G1]]-TblProd[[#This Row],[Bank Gems]]</f>
        <v>0</v>
      </c>
      <c r="AZ127" s="132"/>
      <c r="BA127" s="33" t="n">
        <f aca="false">IF(TblProd[[#This Row],[Set Guard]]&lt;&gt;"",TblProd[[#This Row],[Set Guard]],OFFSET(TblProd[[#This Row],[Guard]],-1,0))</f>
        <v>0</v>
      </c>
      <c r="BB127" s="145"/>
      <c r="BC127" s="151" t="n">
        <f aca="false">TblProd[[#This Row],[Hour]]</f>
        <v>52</v>
      </c>
      <c r="BD127" s="152" t="n">
        <f aca="false">-TblProd[[#This Row],[Bank Lumber]] / 2 + -TblProd[[#This Row],[Bank Gems]] * 2 + -TblProd[[#This Row],[Bank Ore]] / 2</f>
        <v>0</v>
      </c>
      <c r="BE127" s="152"/>
      <c r="BF127" s="152"/>
      <c r="BG127" s="152"/>
      <c r="BH127" s="153" t="n">
        <f aca="false">TblProd[[#This Row],[Time]]</f>
        <v>45434.875</v>
      </c>
      <c r="BI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J127" s="69" t="n">
        <f aca="false">TblProd[[#This Row],[Platinum]]</f>
        <v>6613526</v>
      </c>
      <c r="BK127" s="69" t="n">
        <f aca="false">TblProd[[#This Row],[Food]]</f>
        <v>274554</v>
      </c>
      <c r="BL127" s="69" t="n">
        <f aca="false">TblProd[[#This Row],[Lumber]]</f>
        <v>610313</v>
      </c>
      <c r="BM127" s="69" t="n">
        <f aca="false">TblProd[[#This Row],[Mana]]</f>
        <v>166207</v>
      </c>
      <c r="BN127" s="69" t="n">
        <f aca="false">TblProd[[#This Row],[Ore]]</f>
        <v>-357</v>
      </c>
    </row>
    <row r="128" customFormat="false" ht="12.75" hidden="false" customHeight="false" outlineLevel="0" collapsed="false">
      <c r="A128" s="128" t="n">
        <v>53</v>
      </c>
      <c r="B128" s="144" t="n">
        <f aca="false">TblImps[[#This Row],[Time]]</f>
        <v>45434.9166666667</v>
      </c>
      <c r="C128" s="145"/>
      <c r="D128" s="146"/>
      <c r="E128" s="69" t="n">
        <f aca="false">TblConstr[[#This Row],[Land]]</f>
        <v>646</v>
      </c>
      <c r="F128" s="69" t="n">
        <f aca="false">TblPop[[#This Row],[Peasants]]</f>
        <v>5763</v>
      </c>
      <c r="G128" s="69"/>
      <c r="H128" s="69" t="e">
        <f aca="false">TblMili[[#This Row],[Networth (2)]]</f>
        <v>#VALUE!</v>
      </c>
      <c r="I128" s="69" t="n">
        <f aca="false">OFFSET(TblProd[[#This Row],[Platinum]],-1,0)+OFFSET(TblProd[[#This Row],[Plat/hr]],-1,0) - TblProd[[#This Row],[Expenses Platinum]] + IF(TblProd[[#This Row],[Plat Bonus]],TblPop[[#This Row],[Peasants]]*4) + SUM(TblConstr[[#This Row],[Dest Hom]:[Dest Doc]])*TblConstr[[#This Row],[CPA Platinum -DB]]*tech_3_3_2*TblTech[[#This Row],[3-3]]</f>
        <v>6706957</v>
      </c>
      <c r="J128" s="69" t="n">
        <f aca="false">OFFSET(TblProd[[#This Row],[Food]],-1,0)+OFFSET(TblProd[[#This Row],[Food/hr]],-1,0)+ROUNDUP((TblConstr[[#This Row],[Farms]]*80+TblConstr[[#This Row],[Docks]]*35)*(1+OFFSET(TblProd[[#This Row],[Bonus Food/hr]],-1,0)),0)</f>
        <v>272008</v>
      </c>
      <c r="K128" s="69" t="n">
        <f aca="false">OFFSET(TblProd[[#This Row],[Lumber]],-1,0)+OFFSET(TblProd[[#This Row],[Lumber/hr]],-1,0) - TblProd[[#This Row],[Expenses Lumber]] + SUM(TblConstr[[#This Row],[Dest Hom]:[Dest Doc]])*TblConstr[[#This Row],[CPA Lumber -DB]]*tech_3_3_2*TblTech[[#This Row],[3-3]]</f>
        <v>616135</v>
      </c>
      <c r="L128" s="69" t="n">
        <f aca="false">OFFSET(TblProd[[#This Row],[Mana]],-1,0)+OFFSET(TblProd[[#This Row],[Mana/hr]],-1,0)- TblProd[[#This Row],[Expenses Mana]]</f>
        <v>163608</v>
      </c>
      <c r="M128" s="69" t="n">
        <f aca="false">OFFSET(TblProd[[#This Row],[Ore]],-1,0)+OFFSET(TblProd[[#This Row],[Ore/hr]],-1,0) -TblProd[[#This Row],[Expenses Ore]]</f>
        <v>-357</v>
      </c>
      <c r="N128" s="69" t="n">
        <f aca="false">OFFSET(TblProd[[#This Row],[Gems]],-1,0)+OFFSET(TblProd[[#This Row],[Gems/hr]],-1,0) - TblProd[[#This Row],[Expenses Gems]]</f>
        <v>-1000</v>
      </c>
      <c r="O128" s="69" t="n">
        <f aca="false">OFFSET(TblProd[[#This Row],[Boats]],-1,0)+OFFSET(TblProd[[#This Row],[Boats/hr]],-1,0)</f>
        <v>90.6500000000001</v>
      </c>
      <c r="P128" s="69" t="n">
        <f aca="false">OFFSET(TblProd[[#This Row],[Prestige]],-1,0)</f>
        <v>250</v>
      </c>
      <c r="Q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8" s="69" t="n">
        <f aca="false">MAX(3750,_xlfn.CEILING.MATH(TblProd[[#This Row],[Land]]*2.5+OFFSET(TblTech[[#This Row],[Sum of tech]],-1,0)*150))</f>
        <v>3750</v>
      </c>
      <c r="S128" s="132"/>
      <c r="T128" s="69" t="n">
        <f aca="false">ROUNDDOWN(TblProd[[#This Row],[Raw Plat/hr]]*(1+TblProd[[#This Row],[Bonus Plat/hr]]),0)</f>
        <v>27935</v>
      </c>
      <c r="U128" s="69" t="n">
        <f aca="false">ROUND(TblProd[[#This Row],[Raw Food/hr]]*(1+TblProd[[#This Row],[Bonus Food/hr]])-TblProd[[#This Row],[Food decay]]-TblProd[[#This Row],[Food eaten]],0)</f>
        <v>-2520</v>
      </c>
      <c r="V128" s="69" t="n">
        <f aca="false">ROUND(TblProd[[#This Row],[Raw Lumber/hr]]*(1+TblProd[[#This Row],[Bonus Lumber/hr]])-TblProd[[#This Row],[Lumber rot]],0)</f>
        <v>-5036</v>
      </c>
      <c r="W128" s="69" t="n">
        <f aca="false">ROUND(TblProd[[#This Row],[Raw Mana/hr]]*(1+TblProd[[#This Row],[Bonus Mana/hr]])-TblProd[[#This Row],[Mana drain]],0)</f>
        <v>-2547</v>
      </c>
      <c r="X128" s="69" t="n">
        <f aca="false">ROUNDDOWN(TblProd[[#This Row],[Raw Ore/hr]]*(1+TblProd[[#This Row],[Bonux Ore/hr]]),0)</f>
        <v>0</v>
      </c>
      <c r="Y128" s="69" t="n">
        <f aca="false">ROUNDDOWN(TblProd[[#This Row],[Raw Gems/hr]]*(1+TblProd[[#This Row],[Bonus Gems/hr]]),0)</f>
        <v>0</v>
      </c>
      <c r="Z128" s="148" t="n">
        <f aca="false">OFFSET(TblConstr[[#This Row],[Tot Doc]],1,0)*dock_boats_hr * (1 + tech_4_1*TblTech[[#This Row],[4-1]])</f>
        <v>1.2</v>
      </c>
      <c r="AA128" s="146"/>
      <c r="AB128" s="69" t="n">
        <f aca="false">TblPop[[#This Row],[Peasants]]*tax*TblPop[[#This Row],[Employment]] + (Construction!AZ129+Construction!BX129)*(alch_plat+(Magic!AM128&gt;0)*alchemist_flame_bonus)</f>
        <v>27935.1</v>
      </c>
      <c r="AC128" s="69" t="n">
        <f aca="false">TblConstr[[#This Row],[Tot Farm]]*farm_food + TblConstr[[#This Row],[Tot Doc]]*dock_food</f>
        <v>3280</v>
      </c>
      <c r="AD128" s="69" t="n">
        <f aca="false">TblConstr[[#This Row],[Tot Ly]]*ly_lumber + TblConstr[[#This Row],[Tot Hav]]*fh_lumber</f>
        <v>1250</v>
      </c>
      <c r="AE128" s="69" t="n">
        <f aca="false">OFFSET(TblConstr[[#This Row],[Tot Tow]],1,0)*(tower_mana + tech_4_5*TblTech[[#This Row],[4-5]]) + OFFSET(TblConstr[[#This Row],[Tot WG]],1,0)*wg_mana_prod</f>
        <v>725</v>
      </c>
      <c r="AF128" s="69" t="n">
        <f aca="false">OFFSET(TblConstr[[#This Row],[Tot OM]],1,0)*om_ore+IF(race="Dwarf",ROUNDDOWN(TblMili[[#This Row],[Unit 2]]*0.4,0),)</f>
        <v>0</v>
      </c>
      <c r="AG128" s="69" t="n">
        <f aca="false">OFFSET(TblConstr[[#This Row],[Tot DM]],1,0)*dm_gems</f>
        <v>0</v>
      </c>
      <c r="AH128" s="132"/>
      <c r="AI128" s="149" t="n">
        <f aca="false">MIN(race_platinum_bonus + IF(TblMagic[[#This Row],[Active Alch Frost]]&gt;0,alch_frost_bonus,IF(Magic!AD128&gt;0,midas_bonus)) + TblImps[[#This Row],[Science]] - TblProd[[#This Row],[Guard]]*(0.02 + tech_5_7*TblTech[[#This Row],[5-7]]) + tech_1_5*TblTech[[#This Row],[1-5]] + tech_4_4*TblTech[[#This Row],[4-4]], 0.5)</f>
        <v>0</v>
      </c>
      <c r="AJ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8" s="149" t="n">
        <f aca="false">race_lumber_bonus+ IF(TblMagic[[#This Row],[Active Gaia''s Blessing]]&gt;0,gaias_blessing_lumber)+ tech_1_3*TblTech[[#This Row],[1-3]] + tech_1_6*TblTech[[#This Row],[1-6]] + tech_3_3*TblTech[[#This Row],[3-3]]</f>
        <v>-0.1</v>
      </c>
      <c r="AL128" s="149" t="n">
        <f aca="false">race_mana_bonus+ 0 + TblImps[[#This Row],[Towers]] + tech_1_2*TblTech[[#This Row],[1-2]] + tech_3_4*TblTech[[#This Row],[3-4]]</f>
        <v>0</v>
      </c>
      <c r="AM128" s="149" t="n">
        <f aca="false">race_ore_bonus + IF(TblMagic[[#This Row],[Active Miner''s Sight]]&gt;0,miners_sight_bonus,IF(TblMagic[[#This Row],[Active Mining Strength]]&gt;0,mining_strength_bonus)) +  tech_1_6*TblTech[[#This Row],[1-6]]</f>
        <v>0</v>
      </c>
      <c r="AN128" s="149" t="n">
        <f aca="false">race_gem_bonus+ tech_3_2*TblTech[[#This Row],[3-2]] + tech_4_3*TblTech[[#This Row],[4-3]] + tech_6_2*TblTech[[#This Row],[6-2]]</f>
        <v>0.15</v>
      </c>
      <c r="AO128" s="132"/>
      <c r="AP128" s="69" t="n">
        <f aca="false">TblProd[[#This Row],[Food]]*food_decay * (1 + tech_2_1*TblTech[[#This Row],[2-1]] + tech_2_8*TblTech[[#This Row],[2-8]])</f>
        <v>2720.08</v>
      </c>
      <c r="AQ128" s="69" t="n">
        <f aca="false">(1+race_food_consumption)*TblPop[[#This Row],[Total]]*food_per_person*(1+tech_1_10*TblTech[[#This Row],[1-10]]+tech_7_5*TblTech[[#This Row],[7-5]])</f>
        <v>3162.25</v>
      </c>
      <c r="AR128" s="69" t="n">
        <f aca="false">TblProd[[#This Row],[Lumber]]*lumber_rot * (1 + tech_2_1*TblTech[[#This Row],[2-1]] + tech_2_8*TblTech[[#This Row],[2-8]] + tech_5_2*TblTech[[#This Row],[5-2]])</f>
        <v>6161.35</v>
      </c>
      <c r="AS128" s="69" t="n">
        <f aca="false">TblProd[[#This Row],[Mana]]*mana_drain * (1 + tech_2_1*TblTech[[#This Row],[2-1]] + tech_2_8*TblTech[[#This Row],[2-8]])</f>
        <v>3272.16</v>
      </c>
      <c r="AT128" s="146"/>
      <c r="AU128" s="69" t="n">
        <f aca="false">TblExplore[[#This Row],[Platinum (2)]]+TblConstr[[#This Row],[Total Plat Cost]]+TblMili[[#This Row],[Plat Cost]]+TblRezone[[#This Row],[Platinum cost]]+TblImps[[#This Row],[P1]]-TblProd[[#This Row],[Bank Plat]]</f>
        <v>-65340</v>
      </c>
      <c r="AV128" s="69" t="n">
        <f aca="false">TblConstr[[#This Row],[Total Lum Cost]]+TblImps[[#This Row],[L1]]-TblProd[[#This Row],[Bank Lumber]] + Military!$CL$25*TblMili[[#This Row],[Sec. rec. Cost]]</f>
        <v>-10800</v>
      </c>
      <c r="AW128" s="69" t="n">
        <f aca="false">TblMagic[[#This Row],[Mana cost]] + Military!$CL$26*TblMili[[#This Row],[Sec. rec. Cost]]</f>
        <v>0</v>
      </c>
      <c r="AX128" s="69" t="n">
        <f aca="false">Military!$CL$24*TblMili[[#This Row],[Sec. rec. Cost]]+TblImps[[#This Row],[O1]]-TblProd[[#This Row],[Bank Ore]]</f>
        <v>0</v>
      </c>
      <c r="AY128" s="69" t="n">
        <f aca="false">TblImps[[#This Row],[G1]]-TblProd[[#This Row],[Bank Gems]]</f>
        <v>0</v>
      </c>
      <c r="AZ128" s="132"/>
      <c r="BA128" s="33" t="n">
        <f aca="false">IF(TblProd[[#This Row],[Set Guard]]&lt;&gt;"",TblProd[[#This Row],[Set Guard]],OFFSET(TblProd[[#This Row],[Guard]],-1,0))</f>
        <v>0</v>
      </c>
      <c r="BB128" s="145"/>
      <c r="BC128" s="151" t="n">
        <f aca="false">TblProd[[#This Row],[Hour]]</f>
        <v>53</v>
      </c>
      <c r="BD128" s="152" t="n">
        <f aca="false">-TblProd[[#This Row],[Bank Lumber]] / 2 + -TblProd[[#This Row],[Bank Gems]] * 2 + -TblProd[[#This Row],[Bank Ore]] / 2</f>
        <v>0</v>
      </c>
      <c r="BE128" s="152"/>
      <c r="BF128" s="152"/>
      <c r="BG128" s="152"/>
      <c r="BH128" s="153" t="n">
        <f aca="false">TblProd[[#This Row],[Time]]</f>
        <v>45434.9166666667</v>
      </c>
      <c r="BI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J128" s="69" t="n">
        <f aca="false">TblProd[[#This Row],[Platinum]]</f>
        <v>6706957</v>
      </c>
      <c r="BK128" s="69" t="n">
        <f aca="false">TblProd[[#This Row],[Food]]</f>
        <v>272008</v>
      </c>
      <c r="BL128" s="69" t="n">
        <f aca="false">TblProd[[#This Row],[Lumber]]</f>
        <v>616135</v>
      </c>
      <c r="BM128" s="69" t="n">
        <f aca="false">TblProd[[#This Row],[Mana]]</f>
        <v>163608</v>
      </c>
      <c r="BN128" s="69" t="n">
        <f aca="false">TblProd[[#This Row],[Ore]]</f>
        <v>-357</v>
      </c>
    </row>
    <row r="129" customFormat="false" ht="12.75" hidden="false" customHeight="false" outlineLevel="0" collapsed="false">
      <c r="A129" s="128" t="n">
        <v>54</v>
      </c>
      <c r="B129" s="144" t="n">
        <f aca="false">TblImps[[#This Row],[Time]]</f>
        <v>45434.9583333333</v>
      </c>
      <c r="C129" s="145"/>
      <c r="D129" s="146"/>
      <c r="E129" s="69" t="n">
        <f aca="false">TblConstr[[#This Row],[Land]]</f>
        <v>646</v>
      </c>
      <c r="F129" s="69" t="n">
        <f aca="false">TblPop[[#This Row],[Peasants]]</f>
        <v>5705</v>
      </c>
      <c r="G129" s="69"/>
      <c r="H129" s="69" t="e">
        <f aca="false">TblMili[[#This Row],[Networth (2)]]</f>
        <v>#VALUE!</v>
      </c>
      <c r="I129" s="69" t="n">
        <f aca="false">OFFSET(TblProd[[#This Row],[Platinum]],-1,0)+OFFSET(TblProd[[#This Row],[Plat/hr]],-1,0) - TblProd[[#This Row],[Expenses Platinum]] + IF(TblProd[[#This Row],[Plat Bonus]],TblPop[[#This Row],[Peasants]]*4) + SUM(TblConstr[[#This Row],[Dest Hom]:[Dest Doc]])*TblConstr[[#This Row],[CPA Platinum -DB]]*tech_3_3_2*TblTech[[#This Row],[3-3]]</f>
        <v>6800232</v>
      </c>
      <c r="J129" s="69" t="n">
        <f aca="false">OFFSET(TblProd[[#This Row],[Food]],-1,0)+OFFSET(TblProd[[#This Row],[Food/hr]],-1,0)+ROUNDUP((TblConstr[[#This Row],[Farms]]*80+TblConstr[[#This Row],[Docks]]*35)*(1+OFFSET(TblProd[[#This Row],[Bonus Food/hr]],-1,0)),0)</f>
        <v>269488</v>
      </c>
      <c r="K129" s="69" t="n">
        <f aca="false">OFFSET(TblProd[[#This Row],[Lumber]],-1,0)+OFFSET(TblProd[[#This Row],[Lumber/hr]],-1,0) - TblProd[[#This Row],[Expenses Lumber]] + SUM(TblConstr[[#This Row],[Dest Hom]:[Dest Doc]])*TblConstr[[#This Row],[CPA Lumber -DB]]*tech_3_3_2*TblTech[[#This Row],[3-3]]</f>
        <v>621899</v>
      </c>
      <c r="L129" s="69" t="n">
        <f aca="false">OFFSET(TblProd[[#This Row],[Mana]],-1,0)+OFFSET(TblProd[[#This Row],[Mana/hr]],-1,0)- TblProd[[#This Row],[Expenses Mana]]</f>
        <v>161061</v>
      </c>
      <c r="M129" s="69" t="n">
        <f aca="false">OFFSET(TblProd[[#This Row],[Ore]],-1,0)+OFFSET(TblProd[[#This Row],[Ore/hr]],-1,0) -TblProd[[#This Row],[Expenses Ore]]</f>
        <v>-357</v>
      </c>
      <c r="N129" s="69" t="n">
        <f aca="false">OFFSET(TblProd[[#This Row],[Gems]],-1,0)+OFFSET(TblProd[[#This Row],[Gems/hr]],-1,0) - TblProd[[#This Row],[Expenses Gems]]</f>
        <v>-1000</v>
      </c>
      <c r="O129" s="69" t="n">
        <f aca="false">OFFSET(TblProd[[#This Row],[Boats]],-1,0)+OFFSET(TblProd[[#This Row],[Boats/hr]],-1,0)</f>
        <v>91.8500000000001</v>
      </c>
      <c r="P129" s="69" t="n">
        <f aca="false">OFFSET(TblProd[[#This Row],[Prestige]],-1,0)</f>
        <v>250</v>
      </c>
      <c r="Q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29" s="69" t="n">
        <f aca="false">MAX(3750,_xlfn.CEILING.MATH(TblProd[[#This Row],[Land]]*2.5+OFFSET(TblTech[[#This Row],[Sum of tech]],-1,0)*150))</f>
        <v>3750</v>
      </c>
      <c r="S129" s="132"/>
      <c r="T129" s="69" t="n">
        <f aca="false">ROUNDDOWN(TblProd[[#This Row],[Raw Plat/hr]]*(1+TblProd[[#This Row],[Bonus Plat/hr]]),0)</f>
        <v>27778</v>
      </c>
      <c r="U129" s="69" t="n">
        <f aca="false">ROUND(TblProd[[#This Row],[Raw Food/hr]]*(1+TblProd[[#This Row],[Bonus Food/hr]])-TblProd[[#This Row],[Food decay]]-TblProd[[#This Row],[Food eaten]],0)</f>
        <v>-2495</v>
      </c>
      <c r="V129" s="69" t="n">
        <f aca="false">ROUND(TblProd[[#This Row],[Raw Lumber/hr]]*(1+TblProd[[#This Row],[Bonus Lumber/hr]])-TblProd[[#This Row],[Lumber rot]],0)</f>
        <v>-5094</v>
      </c>
      <c r="W129" s="69" t="n">
        <f aca="false">ROUND(TblProd[[#This Row],[Raw Mana/hr]]*(1+TblProd[[#This Row],[Bonus Mana/hr]])-TblProd[[#This Row],[Mana drain]],0)</f>
        <v>-2496</v>
      </c>
      <c r="X129" s="69" t="n">
        <f aca="false">ROUNDDOWN(TblProd[[#This Row],[Raw Ore/hr]]*(1+TblProd[[#This Row],[Bonux Ore/hr]]),0)</f>
        <v>0</v>
      </c>
      <c r="Y129" s="69" t="n">
        <f aca="false">ROUNDDOWN(TblProd[[#This Row],[Raw Gems/hr]]*(1+TblProd[[#This Row],[Bonus Gems/hr]]),0)</f>
        <v>0</v>
      </c>
      <c r="Z129" s="148" t="n">
        <f aca="false">OFFSET(TblConstr[[#This Row],[Tot Doc]],1,0)*dock_boats_hr * (1 + tech_4_1*TblTech[[#This Row],[4-1]])</f>
        <v>1.2</v>
      </c>
      <c r="AA129" s="146"/>
      <c r="AB129" s="69" t="n">
        <f aca="false">TblPop[[#This Row],[Peasants]]*tax*TblPop[[#This Row],[Employment]] + (Construction!AZ130+Construction!BX130)*(alch_plat+(Magic!AM129&gt;0)*alchemist_flame_bonus)</f>
        <v>27778.5</v>
      </c>
      <c r="AC129" s="69" t="n">
        <f aca="false">TblConstr[[#This Row],[Tot Farm]]*farm_food + TblConstr[[#This Row],[Tot Doc]]*dock_food</f>
        <v>3280</v>
      </c>
      <c r="AD129" s="69" t="n">
        <f aca="false">TblConstr[[#This Row],[Tot Ly]]*ly_lumber + TblConstr[[#This Row],[Tot Hav]]*fh_lumber</f>
        <v>1250</v>
      </c>
      <c r="AE129" s="69" t="n">
        <f aca="false">OFFSET(TblConstr[[#This Row],[Tot Tow]],1,0)*(tower_mana + tech_4_5*TblTech[[#This Row],[4-5]]) + OFFSET(TblConstr[[#This Row],[Tot WG]],1,0)*wg_mana_prod</f>
        <v>725</v>
      </c>
      <c r="AF129" s="69" t="n">
        <f aca="false">OFFSET(TblConstr[[#This Row],[Tot OM]],1,0)*om_ore+IF(race="Dwarf",ROUNDDOWN(TblMili[[#This Row],[Unit 2]]*0.4,0),)</f>
        <v>0</v>
      </c>
      <c r="AG129" s="69" t="n">
        <f aca="false">OFFSET(TblConstr[[#This Row],[Tot DM]],1,0)*dm_gems</f>
        <v>0</v>
      </c>
      <c r="AH129" s="132"/>
      <c r="AI129" s="149" t="n">
        <f aca="false">MIN(race_platinum_bonus + IF(TblMagic[[#This Row],[Active Alch Frost]]&gt;0,alch_frost_bonus,IF(Magic!AD129&gt;0,midas_bonus)) + TblImps[[#This Row],[Science]] - TblProd[[#This Row],[Guard]]*(0.02 + tech_5_7*TblTech[[#This Row],[5-7]]) + tech_1_5*TblTech[[#This Row],[1-5]] + tech_4_4*TblTech[[#This Row],[4-4]], 0.5)</f>
        <v>0</v>
      </c>
      <c r="AJ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29" s="149" t="n">
        <f aca="false">race_lumber_bonus+ IF(TblMagic[[#This Row],[Active Gaia''s Blessing]]&gt;0,gaias_blessing_lumber)+ tech_1_3*TblTech[[#This Row],[1-3]] + tech_1_6*TblTech[[#This Row],[1-6]] + tech_3_3*TblTech[[#This Row],[3-3]]</f>
        <v>-0.1</v>
      </c>
      <c r="AL129" s="149" t="n">
        <f aca="false">race_mana_bonus+ 0 + TblImps[[#This Row],[Towers]] + tech_1_2*TblTech[[#This Row],[1-2]] + tech_3_4*TblTech[[#This Row],[3-4]]</f>
        <v>0</v>
      </c>
      <c r="AM129" s="149" t="n">
        <f aca="false">race_ore_bonus + IF(TblMagic[[#This Row],[Active Miner''s Sight]]&gt;0,miners_sight_bonus,IF(TblMagic[[#This Row],[Active Mining Strength]]&gt;0,mining_strength_bonus)) +  tech_1_6*TblTech[[#This Row],[1-6]]</f>
        <v>0</v>
      </c>
      <c r="AN129" s="149" t="n">
        <f aca="false">race_gem_bonus+ tech_3_2*TblTech[[#This Row],[3-2]] + tech_4_3*TblTech[[#This Row],[4-3]] + tech_6_2*TblTech[[#This Row],[6-2]]</f>
        <v>0.15</v>
      </c>
      <c r="AO129" s="132"/>
      <c r="AP129" s="69" t="n">
        <f aca="false">TblProd[[#This Row],[Food]]*food_decay * (1 + tech_2_1*TblTech[[#This Row],[2-1]] + tech_2_8*TblTech[[#This Row],[2-8]])</f>
        <v>2694.88</v>
      </c>
      <c r="AQ129" s="69" t="n">
        <f aca="false">(1+race_food_consumption)*TblPop[[#This Row],[Total]]*food_per_person*(1+tech_1_10*TblTech[[#This Row],[1-10]]+tech_7_5*TblTech[[#This Row],[7-5]])</f>
        <v>3162.25</v>
      </c>
      <c r="AR129" s="69" t="n">
        <f aca="false">TblProd[[#This Row],[Lumber]]*lumber_rot * (1 + tech_2_1*TblTech[[#This Row],[2-1]] + tech_2_8*TblTech[[#This Row],[2-8]] + tech_5_2*TblTech[[#This Row],[5-2]])</f>
        <v>6218.99</v>
      </c>
      <c r="AS129" s="69" t="n">
        <f aca="false">TblProd[[#This Row],[Mana]]*mana_drain * (1 + tech_2_1*TblTech[[#This Row],[2-1]] + tech_2_8*TblTech[[#This Row],[2-8]])</f>
        <v>3221.22</v>
      </c>
      <c r="AT129" s="146"/>
      <c r="AU129" s="69" t="n">
        <f aca="false">TblExplore[[#This Row],[Platinum (2)]]+TblConstr[[#This Row],[Total Plat Cost]]+TblMili[[#This Row],[Plat Cost]]+TblRezone[[#This Row],[Platinum cost]]+TblImps[[#This Row],[P1]]-TblProd[[#This Row],[Bank Plat]]</f>
        <v>-65340</v>
      </c>
      <c r="AV129" s="69" t="n">
        <f aca="false">TblConstr[[#This Row],[Total Lum Cost]]+TblImps[[#This Row],[L1]]-TblProd[[#This Row],[Bank Lumber]] + Military!$CL$25*TblMili[[#This Row],[Sec. rec. Cost]]</f>
        <v>-10800</v>
      </c>
      <c r="AW129" s="69" t="n">
        <f aca="false">TblMagic[[#This Row],[Mana cost]] + Military!$CL$26*TblMili[[#This Row],[Sec. rec. Cost]]</f>
        <v>0</v>
      </c>
      <c r="AX129" s="69" t="n">
        <f aca="false">Military!$CL$24*TblMili[[#This Row],[Sec. rec. Cost]]+TblImps[[#This Row],[O1]]-TblProd[[#This Row],[Bank Ore]]</f>
        <v>0</v>
      </c>
      <c r="AY129" s="69" t="n">
        <f aca="false">TblImps[[#This Row],[G1]]-TblProd[[#This Row],[Bank Gems]]</f>
        <v>0</v>
      </c>
      <c r="AZ129" s="132"/>
      <c r="BA129" s="33" t="n">
        <f aca="false">IF(TblProd[[#This Row],[Set Guard]]&lt;&gt;"",TblProd[[#This Row],[Set Guard]],OFFSET(TblProd[[#This Row],[Guard]],-1,0))</f>
        <v>0</v>
      </c>
      <c r="BB129" s="145"/>
      <c r="BC129" s="151" t="n">
        <f aca="false">TblProd[[#This Row],[Hour]]</f>
        <v>54</v>
      </c>
      <c r="BD129" s="152" t="n">
        <f aca="false">-TblProd[[#This Row],[Bank Lumber]] / 2 + -TblProd[[#This Row],[Bank Gems]] * 2 + -TblProd[[#This Row],[Bank Ore]] / 2</f>
        <v>0</v>
      </c>
      <c r="BE129" s="152"/>
      <c r="BF129" s="152"/>
      <c r="BG129" s="152"/>
      <c r="BH129" s="153" t="n">
        <f aca="false">TblProd[[#This Row],[Time]]</f>
        <v>45434.9583333333</v>
      </c>
      <c r="BI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J129" s="69" t="n">
        <f aca="false">TblProd[[#This Row],[Platinum]]</f>
        <v>6800232</v>
      </c>
      <c r="BK129" s="69" t="n">
        <f aca="false">TblProd[[#This Row],[Food]]</f>
        <v>269488</v>
      </c>
      <c r="BL129" s="69" t="n">
        <f aca="false">TblProd[[#This Row],[Lumber]]</f>
        <v>621899</v>
      </c>
      <c r="BM129" s="69" t="n">
        <f aca="false">TblProd[[#This Row],[Mana]]</f>
        <v>161061</v>
      </c>
      <c r="BN129" s="69" t="n">
        <f aca="false">TblProd[[#This Row],[Ore]]</f>
        <v>-357</v>
      </c>
    </row>
    <row r="130" customFormat="false" ht="12.75" hidden="false" customHeight="false" outlineLevel="0" collapsed="false">
      <c r="A130" s="128" t="n">
        <v>55</v>
      </c>
      <c r="B130" s="144" t="n">
        <f aca="false">TblImps[[#This Row],[Time]]</f>
        <v>45435</v>
      </c>
      <c r="C130" s="145"/>
      <c r="D130" s="146"/>
      <c r="E130" s="69" t="n">
        <f aca="false">TblConstr[[#This Row],[Land]]</f>
        <v>646</v>
      </c>
      <c r="F130" s="69" t="n">
        <f aca="false">TblPop[[#This Row],[Peasants]]</f>
        <v>5648</v>
      </c>
      <c r="G130" s="69"/>
      <c r="H130" s="69" t="e">
        <f aca="false">TblMili[[#This Row],[Networth (2)]]</f>
        <v>#VALUE!</v>
      </c>
      <c r="I130" s="69" t="n">
        <f aca="false">OFFSET(TblProd[[#This Row],[Platinum]],-1,0)+OFFSET(TblProd[[#This Row],[Plat/hr]],-1,0) - TblProd[[#This Row],[Expenses Platinum]] + IF(TblProd[[#This Row],[Plat Bonus]],TblPop[[#This Row],[Peasants]]*4) + SUM(TblConstr[[#This Row],[Dest Hom]:[Dest Doc]])*TblConstr[[#This Row],[CPA Platinum -DB]]*tech_3_3_2*TblTech[[#This Row],[3-3]]</f>
        <v>6893350</v>
      </c>
      <c r="J130" s="69" t="n">
        <f aca="false">OFFSET(TblProd[[#This Row],[Food]],-1,0)+OFFSET(TblProd[[#This Row],[Food/hr]],-1,0)+ROUNDUP((TblConstr[[#This Row],[Farms]]*80+TblConstr[[#This Row],[Docks]]*35)*(1+OFFSET(TblProd[[#This Row],[Bonus Food/hr]],-1,0)),0)</f>
        <v>266993</v>
      </c>
      <c r="K130" s="69" t="n">
        <f aca="false">OFFSET(TblProd[[#This Row],[Lumber]],-1,0)+OFFSET(TblProd[[#This Row],[Lumber/hr]],-1,0) - TblProd[[#This Row],[Expenses Lumber]] + SUM(TblConstr[[#This Row],[Dest Hom]:[Dest Doc]])*TblConstr[[#This Row],[CPA Lumber -DB]]*tech_3_3_2*TblTech[[#This Row],[3-3]]</f>
        <v>627605</v>
      </c>
      <c r="L130" s="69" t="n">
        <f aca="false">OFFSET(TblProd[[#This Row],[Mana]],-1,0)+OFFSET(TblProd[[#This Row],[Mana/hr]],-1,0)- TblProd[[#This Row],[Expenses Mana]]</f>
        <v>158565</v>
      </c>
      <c r="M130" s="69" t="n">
        <f aca="false">OFFSET(TblProd[[#This Row],[Ore]],-1,0)+OFFSET(TblProd[[#This Row],[Ore/hr]],-1,0) -TblProd[[#This Row],[Expenses Ore]]</f>
        <v>-357</v>
      </c>
      <c r="N130" s="69" t="n">
        <f aca="false">OFFSET(TblProd[[#This Row],[Gems]],-1,0)+OFFSET(TblProd[[#This Row],[Gems/hr]],-1,0) - TblProd[[#This Row],[Expenses Gems]]</f>
        <v>-1000</v>
      </c>
      <c r="O130" s="69" t="n">
        <f aca="false">OFFSET(TblProd[[#This Row],[Boats]],-1,0)+OFFSET(TblProd[[#This Row],[Boats/hr]],-1,0)</f>
        <v>93.0500000000001</v>
      </c>
      <c r="P130" s="69" t="n">
        <f aca="false">OFFSET(TblProd[[#This Row],[Prestige]],-1,0)</f>
        <v>250</v>
      </c>
      <c r="Q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0" s="69" t="n">
        <f aca="false">MAX(3750,_xlfn.CEILING.MATH(TblProd[[#This Row],[Land]]*2.5+OFFSET(TblTech[[#This Row],[Sum of tech]],-1,0)*150))</f>
        <v>3750</v>
      </c>
      <c r="S130" s="132"/>
      <c r="T130" s="69" t="n">
        <f aca="false">ROUNDDOWN(TblProd[[#This Row],[Raw Plat/hr]]*(1+TblProd[[#This Row],[Bonus Plat/hr]]),0)</f>
        <v>27624</v>
      </c>
      <c r="U130" s="69" t="n">
        <f aca="false">ROUND(TblProd[[#This Row],[Raw Food/hr]]*(1+TblProd[[#This Row],[Bonus Food/hr]])-TblProd[[#This Row],[Food decay]]-TblProd[[#This Row],[Food eaten]],0)</f>
        <v>-2470</v>
      </c>
      <c r="V130" s="69" t="n">
        <f aca="false">ROUND(TblProd[[#This Row],[Raw Lumber/hr]]*(1+TblProd[[#This Row],[Bonus Lumber/hr]])-TblProd[[#This Row],[Lumber rot]],0)</f>
        <v>-5151</v>
      </c>
      <c r="W130" s="69" t="n">
        <f aca="false">ROUND(TblProd[[#This Row],[Raw Mana/hr]]*(1+TblProd[[#This Row],[Bonus Mana/hr]])-TblProd[[#This Row],[Mana drain]],0)</f>
        <v>-2446</v>
      </c>
      <c r="X130" s="69" t="n">
        <f aca="false">ROUNDDOWN(TblProd[[#This Row],[Raw Ore/hr]]*(1+TblProd[[#This Row],[Bonux Ore/hr]]),0)</f>
        <v>0</v>
      </c>
      <c r="Y130" s="69" t="n">
        <f aca="false">ROUNDDOWN(TblProd[[#This Row],[Raw Gems/hr]]*(1+TblProd[[#This Row],[Bonus Gems/hr]]),0)</f>
        <v>0</v>
      </c>
      <c r="Z130" s="148" t="n">
        <f aca="false">OFFSET(TblConstr[[#This Row],[Tot Doc]],1,0)*dock_boats_hr * (1 + tech_4_1*TblTech[[#This Row],[4-1]])</f>
        <v>1.2</v>
      </c>
      <c r="AA130" s="146"/>
      <c r="AB130" s="69" t="n">
        <f aca="false">TblPop[[#This Row],[Peasants]]*tax*TblPop[[#This Row],[Employment]] + (Construction!AZ131+Construction!BX131)*(alch_plat+(Magic!AM130&gt;0)*alchemist_flame_bonus)</f>
        <v>27624.6</v>
      </c>
      <c r="AC130" s="69" t="n">
        <f aca="false">TblConstr[[#This Row],[Tot Farm]]*farm_food + TblConstr[[#This Row],[Tot Doc]]*dock_food</f>
        <v>3280</v>
      </c>
      <c r="AD130" s="69" t="n">
        <f aca="false">TblConstr[[#This Row],[Tot Ly]]*ly_lumber + TblConstr[[#This Row],[Tot Hav]]*fh_lumber</f>
        <v>1250</v>
      </c>
      <c r="AE130" s="69" t="n">
        <f aca="false">OFFSET(TblConstr[[#This Row],[Tot Tow]],1,0)*(tower_mana + tech_4_5*TblTech[[#This Row],[4-5]]) + OFFSET(TblConstr[[#This Row],[Tot WG]],1,0)*wg_mana_prod</f>
        <v>725</v>
      </c>
      <c r="AF130" s="69" t="n">
        <f aca="false">OFFSET(TblConstr[[#This Row],[Tot OM]],1,0)*om_ore+IF(race="Dwarf",ROUNDDOWN(TblMili[[#This Row],[Unit 2]]*0.4,0),)</f>
        <v>0</v>
      </c>
      <c r="AG130" s="69" t="n">
        <f aca="false">OFFSET(TblConstr[[#This Row],[Tot DM]],1,0)*dm_gems</f>
        <v>0</v>
      </c>
      <c r="AH130" s="132"/>
      <c r="AI130" s="149" t="n">
        <f aca="false">MIN(race_platinum_bonus + IF(TblMagic[[#This Row],[Active Alch Frost]]&gt;0,alch_frost_bonus,IF(Magic!AD130&gt;0,midas_bonus)) + TblImps[[#This Row],[Science]] - TblProd[[#This Row],[Guard]]*(0.02 + tech_5_7*TblTech[[#This Row],[5-7]]) + tech_1_5*TblTech[[#This Row],[1-5]] + tech_4_4*TblTech[[#This Row],[4-4]], 0.5)</f>
        <v>0</v>
      </c>
      <c r="AJ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0" s="149" t="n">
        <f aca="false">race_lumber_bonus+ IF(TblMagic[[#This Row],[Active Gaia''s Blessing]]&gt;0,gaias_blessing_lumber)+ tech_1_3*TblTech[[#This Row],[1-3]] + tech_1_6*TblTech[[#This Row],[1-6]] + tech_3_3*TblTech[[#This Row],[3-3]]</f>
        <v>-0.1</v>
      </c>
      <c r="AL130" s="149" t="n">
        <f aca="false">race_mana_bonus+ 0 + TblImps[[#This Row],[Towers]] + tech_1_2*TblTech[[#This Row],[1-2]] + tech_3_4*TblTech[[#This Row],[3-4]]</f>
        <v>0</v>
      </c>
      <c r="AM130" s="149" t="n">
        <f aca="false">race_ore_bonus + IF(TblMagic[[#This Row],[Active Miner''s Sight]]&gt;0,miners_sight_bonus,IF(TblMagic[[#This Row],[Active Mining Strength]]&gt;0,mining_strength_bonus)) +  tech_1_6*TblTech[[#This Row],[1-6]]</f>
        <v>0</v>
      </c>
      <c r="AN130" s="149" t="n">
        <f aca="false">race_gem_bonus+ tech_3_2*TblTech[[#This Row],[3-2]] + tech_4_3*TblTech[[#This Row],[4-3]] + tech_6_2*TblTech[[#This Row],[6-2]]</f>
        <v>0.15</v>
      </c>
      <c r="AO130" s="132"/>
      <c r="AP130" s="69" t="n">
        <f aca="false">TblProd[[#This Row],[Food]]*food_decay * (1 + tech_2_1*TblTech[[#This Row],[2-1]] + tech_2_8*TblTech[[#This Row],[2-8]])</f>
        <v>2669.93</v>
      </c>
      <c r="AQ130" s="69" t="n">
        <f aca="false">(1+race_food_consumption)*TblPop[[#This Row],[Total]]*food_per_person*(1+tech_1_10*TblTech[[#This Row],[1-10]]+tech_7_5*TblTech[[#This Row],[7-5]])</f>
        <v>3162.25</v>
      </c>
      <c r="AR130" s="69" t="n">
        <f aca="false">TblProd[[#This Row],[Lumber]]*lumber_rot * (1 + tech_2_1*TblTech[[#This Row],[2-1]] + tech_2_8*TblTech[[#This Row],[2-8]] + tech_5_2*TblTech[[#This Row],[5-2]])</f>
        <v>6276.05</v>
      </c>
      <c r="AS130" s="69" t="n">
        <f aca="false">TblProd[[#This Row],[Mana]]*mana_drain * (1 + tech_2_1*TblTech[[#This Row],[2-1]] + tech_2_8*TblTech[[#This Row],[2-8]])</f>
        <v>3171.3</v>
      </c>
      <c r="AT130" s="146"/>
      <c r="AU130" s="69" t="n">
        <f aca="false">TblExplore[[#This Row],[Platinum (2)]]+TblConstr[[#This Row],[Total Plat Cost]]+TblMili[[#This Row],[Plat Cost]]+TblRezone[[#This Row],[Platinum cost]]+TblImps[[#This Row],[P1]]-TblProd[[#This Row],[Bank Plat]]</f>
        <v>-65340</v>
      </c>
      <c r="AV130" s="69" t="n">
        <f aca="false">TblConstr[[#This Row],[Total Lum Cost]]+TblImps[[#This Row],[L1]]-TblProd[[#This Row],[Bank Lumber]] + Military!$CL$25*TblMili[[#This Row],[Sec. rec. Cost]]</f>
        <v>-10800</v>
      </c>
      <c r="AW130" s="69" t="n">
        <f aca="false">TblMagic[[#This Row],[Mana cost]] + Military!$CL$26*TblMili[[#This Row],[Sec. rec. Cost]]</f>
        <v>0</v>
      </c>
      <c r="AX130" s="69" t="n">
        <f aca="false">Military!$CL$24*TblMili[[#This Row],[Sec. rec. Cost]]+TblImps[[#This Row],[O1]]-TblProd[[#This Row],[Bank Ore]]</f>
        <v>0</v>
      </c>
      <c r="AY130" s="69" t="n">
        <f aca="false">TblImps[[#This Row],[G1]]-TblProd[[#This Row],[Bank Gems]]</f>
        <v>0</v>
      </c>
      <c r="AZ130" s="132"/>
      <c r="BA130" s="33" t="n">
        <f aca="false">IF(TblProd[[#This Row],[Set Guard]]&lt;&gt;"",TblProd[[#This Row],[Set Guard]],OFFSET(TblProd[[#This Row],[Guard]],-1,0))</f>
        <v>0</v>
      </c>
      <c r="BB130" s="145"/>
      <c r="BC130" s="151" t="n">
        <f aca="false">TblProd[[#This Row],[Hour]]</f>
        <v>55</v>
      </c>
      <c r="BD130" s="152" t="n">
        <f aca="false">-TblProd[[#This Row],[Bank Lumber]] / 2 + -TblProd[[#This Row],[Bank Gems]] * 2 + -TblProd[[#This Row],[Bank Ore]] / 2</f>
        <v>0</v>
      </c>
      <c r="BE130" s="152"/>
      <c r="BF130" s="152"/>
      <c r="BG130" s="152"/>
      <c r="BH130" s="153" t="n">
        <f aca="false">TblProd[[#This Row],[Time]]</f>
        <v>45435</v>
      </c>
      <c r="BI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J130" s="69" t="n">
        <f aca="false">TblProd[[#This Row],[Platinum]]</f>
        <v>6893350</v>
      </c>
      <c r="BK130" s="69" t="n">
        <f aca="false">TblProd[[#This Row],[Food]]</f>
        <v>266993</v>
      </c>
      <c r="BL130" s="69" t="n">
        <f aca="false">TblProd[[#This Row],[Lumber]]</f>
        <v>627605</v>
      </c>
      <c r="BM130" s="69" t="n">
        <f aca="false">TblProd[[#This Row],[Mana]]</f>
        <v>158565</v>
      </c>
      <c r="BN130" s="69" t="n">
        <f aca="false">TblProd[[#This Row],[Ore]]</f>
        <v>-357</v>
      </c>
    </row>
    <row r="131" customFormat="false" ht="12.75" hidden="false" customHeight="false" outlineLevel="0" collapsed="false">
      <c r="A131" s="128" t="n">
        <v>56</v>
      </c>
      <c r="B131" s="144" t="n">
        <f aca="false">TblImps[[#This Row],[Time]]</f>
        <v>45435.0416666667</v>
      </c>
      <c r="C131" s="145"/>
      <c r="D131" s="146"/>
      <c r="E131" s="69" t="n">
        <f aca="false">TblConstr[[#This Row],[Land]]</f>
        <v>646</v>
      </c>
      <c r="F131" s="69" t="n">
        <f aca="false">TblPop[[#This Row],[Peasants]]</f>
        <v>5592</v>
      </c>
      <c r="G131" s="69"/>
      <c r="H131" s="69" t="e">
        <f aca="false">TblMili[[#This Row],[Networth (2)]]</f>
        <v>#VALUE!</v>
      </c>
      <c r="I131" s="69" t="n">
        <f aca="false">OFFSET(TblProd[[#This Row],[Platinum]],-1,0)+OFFSET(TblProd[[#This Row],[Plat/hr]],-1,0) - TblProd[[#This Row],[Expenses Platinum]] + IF(TblProd[[#This Row],[Plat Bonus]],TblPop[[#This Row],[Peasants]]*4) + SUM(TblConstr[[#This Row],[Dest Hom]:[Dest Doc]])*TblConstr[[#This Row],[CPA Platinum -DB]]*tech_3_3_2*TblTech[[#This Row],[3-3]]</f>
        <v>6986314</v>
      </c>
      <c r="J131" s="69" t="n">
        <f aca="false">OFFSET(TblProd[[#This Row],[Food]],-1,0)+OFFSET(TblProd[[#This Row],[Food/hr]],-1,0)+ROUNDUP((TblConstr[[#This Row],[Farms]]*80+TblConstr[[#This Row],[Docks]]*35)*(1+OFFSET(TblProd[[#This Row],[Bonus Food/hr]],-1,0)),0)</f>
        <v>264523</v>
      </c>
      <c r="K131" s="69" t="n">
        <f aca="false">OFFSET(TblProd[[#This Row],[Lumber]],-1,0)+OFFSET(TblProd[[#This Row],[Lumber/hr]],-1,0) - TblProd[[#This Row],[Expenses Lumber]] + SUM(TblConstr[[#This Row],[Dest Hom]:[Dest Doc]])*TblConstr[[#This Row],[CPA Lumber -DB]]*tech_3_3_2*TblTech[[#This Row],[3-3]]</f>
        <v>633254</v>
      </c>
      <c r="L131" s="69" t="n">
        <f aca="false">OFFSET(TblProd[[#This Row],[Mana]],-1,0)+OFFSET(TblProd[[#This Row],[Mana/hr]],-1,0)- TblProd[[#This Row],[Expenses Mana]]</f>
        <v>156119</v>
      </c>
      <c r="M131" s="69" t="n">
        <f aca="false">OFFSET(TblProd[[#This Row],[Ore]],-1,0)+OFFSET(TblProd[[#This Row],[Ore/hr]],-1,0) -TblProd[[#This Row],[Expenses Ore]]</f>
        <v>-357</v>
      </c>
      <c r="N131" s="69" t="n">
        <f aca="false">OFFSET(TblProd[[#This Row],[Gems]],-1,0)+OFFSET(TblProd[[#This Row],[Gems/hr]],-1,0) - TblProd[[#This Row],[Expenses Gems]]</f>
        <v>-1000</v>
      </c>
      <c r="O131" s="69" t="n">
        <f aca="false">OFFSET(TblProd[[#This Row],[Boats]],-1,0)+OFFSET(TblProd[[#This Row],[Boats/hr]],-1,0)</f>
        <v>94.2500000000001</v>
      </c>
      <c r="P131" s="69" t="n">
        <f aca="false">OFFSET(TblProd[[#This Row],[Prestige]],-1,0)</f>
        <v>250</v>
      </c>
      <c r="Q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1" s="69" t="n">
        <f aca="false">MAX(3750,_xlfn.CEILING.MATH(TblProd[[#This Row],[Land]]*2.5+OFFSET(TblTech[[#This Row],[Sum of tech]],-1,0)*150))</f>
        <v>3750</v>
      </c>
      <c r="S131" s="132"/>
      <c r="T131" s="69" t="n">
        <f aca="false">ROUNDDOWN(TblProd[[#This Row],[Raw Plat/hr]]*(1+TblProd[[#This Row],[Bonus Plat/hr]]),0)</f>
        <v>27473</v>
      </c>
      <c r="U131" s="69" t="n">
        <f aca="false">ROUND(TblProd[[#This Row],[Raw Food/hr]]*(1+TblProd[[#This Row],[Bonus Food/hr]])-TblProd[[#This Row],[Food decay]]-TblProd[[#This Row],[Food eaten]],0)</f>
        <v>-2445</v>
      </c>
      <c r="V131" s="69" t="n">
        <f aca="false">ROUND(TblProd[[#This Row],[Raw Lumber/hr]]*(1+TblProd[[#This Row],[Bonus Lumber/hr]])-TblProd[[#This Row],[Lumber rot]],0)</f>
        <v>-5208</v>
      </c>
      <c r="W131" s="69" t="n">
        <f aca="false">ROUND(TblProd[[#This Row],[Raw Mana/hr]]*(1+TblProd[[#This Row],[Bonus Mana/hr]])-TblProd[[#This Row],[Mana drain]],0)</f>
        <v>-2397</v>
      </c>
      <c r="X131" s="69" t="n">
        <f aca="false">ROUNDDOWN(TblProd[[#This Row],[Raw Ore/hr]]*(1+TblProd[[#This Row],[Bonux Ore/hr]]),0)</f>
        <v>0</v>
      </c>
      <c r="Y131" s="69" t="n">
        <f aca="false">ROUNDDOWN(TblProd[[#This Row],[Raw Gems/hr]]*(1+TblProd[[#This Row],[Bonus Gems/hr]]),0)</f>
        <v>0</v>
      </c>
      <c r="Z131" s="148" t="n">
        <f aca="false">OFFSET(TblConstr[[#This Row],[Tot Doc]],1,0)*dock_boats_hr * (1 + tech_4_1*TblTech[[#This Row],[4-1]])</f>
        <v>1.2</v>
      </c>
      <c r="AA131" s="146"/>
      <c r="AB131" s="69" t="n">
        <f aca="false">TblPop[[#This Row],[Peasants]]*tax*TblPop[[#This Row],[Employment]] + (Construction!AZ132+Construction!BX132)*(alch_plat+(Magic!AM131&gt;0)*alchemist_flame_bonus)</f>
        <v>27473.4</v>
      </c>
      <c r="AC131" s="69" t="n">
        <f aca="false">TblConstr[[#This Row],[Tot Farm]]*farm_food + TblConstr[[#This Row],[Tot Doc]]*dock_food</f>
        <v>3280</v>
      </c>
      <c r="AD131" s="69" t="n">
        <f aca="false">TblConstr[[#This Row],[Tot Ly]]*ly_lumber + TblConstr[[#This Row],[Tot Hav]]*fh_lumber</f>
        <v>1250</v>
      </c>
      <c r="AE131" s="69" t="n">
        <f aca="false">OFFSET(TblConstr[[#This Row],[Tot Tow]],1,0)*(tower_mana + tech_4_5*TblTech[[#This Row],[4-5]]) + OFFSET(TblConstr[[#This Row],[Tot WG]],1,0)*wg_mana_prod</f>
        <v>725</v>
      </c>
      <c r="AF131" s="69" t="n">
        <f aca="false">OFFSET(TblConstr[[#This Row],[Tot OM]],1,0)*om_ore+IF(race="Dwarf",ROUNDDOWN(TblMili[[#This Row],[Unit 2]]*0.4,0),)</f>
        <v>0</v>
      </c>
      <c r="AG131" s="69" t="n">
        <f aca="false">OFFSET(TblConstr[[#This Row],[Tot DM]],1,0)*dm_gems</f>
        <v>0</v>
      </c>
      <c r="AH131" s="132"/>
      <c r="AI131" s="149" t="n">
        <f aca="false">MIN(race_platinum_bonus + IF(TblMagic[[#This Row],[Active Alch Frost]]&gt;0,alch_frost_bonus,IF(Magic!AD131&gt;0,midas_bonus)) + TblImps[[#This Row],[Science]] - TblProd[[#This Row],[Guard]]*(0.02 + tech_5_7*TblTech[[#This Row],[5-7]]) + tech_1_5*TblTech[[#This Row],[1-5]] + tech_4_4*TblTech[[#This Row],[4-4]], 0.5)</f>
        <v>0</v>
      </c>
      <c r="AJ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1" s="149" t="n">
        <f aca="false">race_lumber_bonus+ IF(TblMagic[[#This Row],[Active Gaia''s Blessing]]&gt;0,gaias_blessing_lumber)+ tech_1_3*TblTech[[#This Row],[1-3]] + tech_1_6*TblTech[[#This Row],[1-6]] + tech_3_3*TblTech[[#This Row],[3-3]]</f>
        <v>-0.1</v>
      </c>
      <c r="AL131" s="149" t="n">
        <f aca="false">race_mana_bonus+ 0 + TblImps[[#This Row],[Towers]] + tech_1_2*TblTech[[#This Row],[1-2]] + tech_3_4*TblTech[[#This Row],[3-4]]</f>
        <v>0</v>
      </c>
      <c r="AM131" s="149" t="n">
        <f aca="false">race_ore_bonus + IF(TblMagic[[#This Row],[Active Miner''s Sight]]&gt;0,miners_sight_bonus,IF(TblMagic[[#This Row],[Active Mining Strength]]&gt;0,mining_strength_bonus)) +  tech_1_6*TblTech[[#This Row],[1-6]]</f>
        <v>0</v>
      </c>
      <c r="AN131" s="149" t="n">
        <f aca="false">race_gem_bonus+ tech_3_2*TblTech[[#This Row],[3-2]] + tech_4_3*TblTech[[#This Row],[4-3]] + tech_6_2*TblTech[[#This Row],[6-2]]</f>
        <v>0.15</v>
      </c>
      <c r="AO131" s="132"/>
      <c r="AP131" s="69" t="n">
        <f aca="false">TblProd[[#This Row],[Food]]*food_decay * (1 + tech_2_1*TblTech[[#This Row],[2-1]] + tech_2_8*TblTech[[#This Row],[2-8]])</f>
        <v>2645.23</v>
      </c>
      <c r="AQ131" s="69" t="n">
        <f aca="false">(1+race_food_consumption)*TblPop[[#This Row],[Total]]*food_per_person*(1+tech_1_10*TblTech[[#This Row],[1-10]]+tech_7_5*TblTech[[#This Row],[7-5]])</f>
        <v>3162.25</v>
      </c>
      <c r="AR131" s="69" t="n">
        <f aca="false">TblProd[[#This Row],[Lumber]]*lumber_rot * (1 + tech_2_1*TblTech[[#This Row],[2-1]] + tech_2_8*TblTech[[#This Row],[2-8]] + tech_5_2*TblTech[[#This Row],[5-2]])</f>
        <v>6332.54</v>
      </c>
      <c r="AS131" s="69" t="n">
        <f aca="false">TblProd[[#This Row],[Mana]]*mana_drain * (1 + tech_2_1*TblTech[[#This Row],[2-1]] + tech_2_8*TblTech[[#This Row],[2-8]])</f>
        <v>3122.38</v>
      </c>
      <c r="AT131" s="146"/>
      <c r="AU131" s="69" t="n">
        <f aca="false">TblExplore[[#This Row],[Platinum (2)]]+TblConstr[[#This Row],[Total Plat Cost]]+TblMili[[#This Row],[Plat Cost]]+TblRezone[[#This Row],[Platinum cost]]+TblImps[[#This Row],[P1]]-TblProd[[#This Row],[Bank Plat]]</f>
        <v>-65340</v>
      </c>
      <c r="AV131" s="69" t="n">
        <f aca="false">TblConstr[[#This Row],[Total Lum Cost]]+TblImps[[#This Row],[L1]]-TblProd[[#This Row],[Bank Lumber]] + Military!$CL$25*TblMili[[#This Row],[Sec. rec. Cost]]</f>
        <v>-10800</v>
      </c>
      <c r="AW131" s="69" t="n">
        <f aca="false">TblMagic[[#This Row],[Mana cost]] + Military!$CL$26*TblMili[[#This Row],[Sec. rec. Cost]]</f>
        <v>0</v>
      </c>
      <c r="AX131" s="69" t="n">
        <f aca="false">Military!$CL$24*TblMili[[#This Row],[Sec. rec. Cost]]+TblImps[[#This Row],[O1]]-TblProd[[#This Row],[Bank Ore]]</f>
        <v>0</v>
      </c>
      <c r="AY131" s="69" t="n">
        <f aca="false">TblImps[[#This Row],[G1]]-TblProd[[#This Row],[Bank Gems]]</f>
        <v>0</v>
      </c>
      <c r="AZ131" s="132"/>
      <c r="BA131" s="33" t="n">
        <f aca="false">IF(TblProd[[#This Row],[Set Guard]]&lt;&gt;"",TblProd[[#This Row],[Set Guard]],OFFSET(TblProd[[#This Row],[Guard]],-1,0))</f>
        <v>0</v>
      </c>
      <c r="BB131" s="145"/>
      <c r="BC131" s="151" t="n">
        <f aca="false">TblProd[[#This Row],[Hour]]</f>
        <v>56</v>
      </c>
      <c r="BD131" s="152" t="n">
        <f aca="false">-TblProd[[#This Row],[Bank Lumber]] / 2 + -TblProd[[#This Row],[Bank Gems]] * 2 + -TblProd[[#This Row],[Bank Ore]] / 2</f>
        <v>0</v>
      </c>
      <c r="BE131" s="152"/>
      <c r="BF131" s="152"/>
      <c r="BG131" s="152"/>
      <c r="BH131" s="153" t="n">
        <f aca="false">TblProd[[#This Row],[Time]]</f>
        <v>45435.0416666667</v>
      </c>
      <c r="BI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J131" s="69" t="n">
        <f aca="false">TblProd[[#This Row],[Platinum]]</f>
        <v>6986314</v>
      </c>
      <c r="BK131" s="69" t="n">
        <f aca="false">TblProd[[#This Row],[Food]]</f>
        <v>264523</v>
      </c>
      <c r="BL131" s="69" t="n">
        <f aca="false">TblProd[[#This Row],[Lumber]]</f>
        <v>633254</v>
      </c>
      <c r="BM131" s="69" t="n">
        <f aca="false">TblProd[[#This Row],[Mana]]</f>
        <v>156119</v>
      </c>
      <c r="BN131" s="69" t="n">
        <f aca="false">TblProd[[#This Row],[Ore]]</f>
        <v>-357</v>
      </c>
    </row>
    <row r="132" customFormat="false" ht="12.75" hidden="false" customHeight="false" outlineLevel="0" collapsed="false">
      <c r="A132" s="128" t="n">
        <v>57</v>
      </c>
      <c r="B132" s="144" t="n">
        <f aca="false">TblImps[[#This Row],[Time]]</f>
        <v>45435.0833333333</v>
      </c>
      <c r="C132" s="145"/>
      <c r="D132" s="146"/>
      <c r="E132" s="69" t="n">
        <f aca="false">TblConstr[[#This Row],[Land]]</f>
        <v>646</v>
      </c>
      <c r="F132" s="69" t="n">
        <f aca="false">TblPop[[#This Row],[Peasants]]</f>
        <v>5536</v>
      </c>
      <c r="G132" s="69"/>
      <c r="H132" s="69" t="e">
        <f aca="false">TblMili[[#This Row],[Networth (2)]]</f>
        <v>#VALUE!</v>
      </c>
      <c r="I132" s="69" t="n">
        <f aca="false">OFFSET(TblProd[[#This Row],[Platinum]],-1,0)+OFFSET(TblProd[[#This Row],[Plat/hr]],-1,0) - TblProd[[#This Row],[Expenses Platinum]] + IF(TblProd[[#This Row],[Plat Bonus]],TblPop[[#This Row],[Peasants]]*4) + SUM(TblConstr[[#This Row],[Dest Hom]:[Dest Doc]])*TblConstr[[#This Row],[CPA Platinum -DB]]*tech_3_3_2*TblTech[[#This Row],[3-3]]</f>
        <v>7079127</v>
      </c>
      <c r="J132" s="69" t="n">
        <f aca="false">OFFSET(TblProd[[#This Row],[Food]],-1,0)+OFFSET(TblProd[[#This Row],[Food/hr]],-1,0)+ROUNDUP((TblConstr[[#This Row],[Farms]]*80+TblConstr[[#This Row],[Docks]]*35)*(1+OFFSET(TblProd[[#This Row],[Bonus Food/hr]],-1,0)),0)</f>
        <v>262078</v>
      </c>
      <c r="K132" s="69" t="n">
        <f aca="false">OFFSET(TblProd[[#This Row],[Lumber]],-1,0)+OFFSET(TblProd[[#This Row],[Lumber/hr]],-1,0) - TblProd[[#This Row],[Expenses Lumber]] + SUM(TblConstr[[#This Row],[Dest Hom]:[Dest Doc]])*TblConstr[[#This Row],[CPA Lumber -DB]]*tech_3_3_2*TblTech[[#This Row],[3-3]]</f>
        <v>638846</v>
      </c>
      <c r="L132" s="69" t="n">
        <f aca="false">OFFSET(TblProd[[#This Row],[Mana]],-1,0)+OFFSET(TblProd[[#This Row],[Mana/hr]],-1,0)- TblProd[[#This Row],[Expenses Mana]]</f>
        <v>153722</v>
      </c>
      <c r="M132" s="69" t="n">
        <f aca="false">OFFSET(TblProd[[#This Row],[Ore]],-1,0)+OFFSET(TblProd[[#This Row],[Ore/hr]],-1,0) -TblProd[[#This Row],[Expenses Ore]]</f>
        <v>-357</v>
      </c>
      <c r="N132" s="69" t="n">
        <f aca="false">OFFSET(TblProd[[#This Row],[Gems]],-1,0)+OFFSET(TblProd[[#This Row],[Gems/hr]],-1,0) - TblProd[[#This Row],[Expenses Gems]]</f>
        <v>-1000</v>
      </c>
      <c r="O132" s="69" t="n">
        <f aca="false">OFFSET(TblProd[[#This Row],[Boats]],-1,0)+OFFSET(TblProd[[#This Row],[Boats/hr]],-1,0)</f>
        <v>95.4500000000001</v>
      </c>
      <c r="P132" s="69" t="n">
        <f aca="false">OFFSET(TblProd[[#This Row],[Prestige]],-1,0)</f>
        <v>250</v>
      </c>
      <c r="Q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2" s="69" t="n">
        <f aca="false">MAX(3750,_xlfn.CEILING.MATH(TblProd[[#This Row],[Land]]*2.5+OFFSET(TblTech[[#This Row],[Sum of tech]],-1,0)*150))</f>
        <v>3750</v>
      </c>
      <c r="S132" s="132"/>
      <c r="T132" s="69" t="n">
        <f aca="false">ROUNDDOWN(TblProd[[#This Row],[Raw Plat/hr]]*(1+TblProd[[#This Row],[Bonus Plat/hr]]),0)</f>
        <v>27322</v>
      </c>
      <c r="U132" s="69" t="n">
        <f aca="false">ROUND(TblProd[[#This Row],[Raw Food/hr]]*(1+TblProd[[#This Row],[Bonus Food/hr]])-TblProd[[#This Row],[Food decay]]-TblProd[[#This Row],[Food eaten]],0)</f>
        <v>-2421</v>
      </c>
      <c r="V132" s="69" t="n">
        <f aca="false">ROUND(TblProd[[#This Row],[Raw Lumber/hr]]*(1+TblProd[[#This Row],[Bonus Lumber/hr]])-TblProd[[#This Row],[Lumber rot]],0)</f>
        <v>-5263</v>
      </c>
      <c r="W132" s="69" t="n">
        <f aca="false">ROUND(TblProd[[#This Row],[Raw Mana/hr]]*(1+TblProd[[#This Row],[Bonus Mana/hr]])-TblProd[[#This Row],[Mana drain]],0)</f>
        <v>-2349</v>
      </c>
      <c r="X132" s="69" t="n">
        <f aca="false">ROUNDDOWN(TblProd[[#This Row],[Raw Ore/hr]]*(1+TblProd[[#This Row],[Bonux Ore/hr]]),0)</f>
        <v>0</v>
      </c>
      <c r="Y132" s="69" t="n">
        <f aca="false">ROUNDDOWN(TblProd[[#This Row],[Raw Gems/hr]]*(1+TblProd[[#This Row],[Bonus Gems/hr]]),0)</f>
        <v>0</v>
      </c>
      <c r="Z132" s="148" t="n">
        <f aca="false">OFFSET(TblConstr[[#This Row],[Tot Doc]],1,0)*dock_boats_hr * (1 + tech_4_1*TblTech[[#This Row],[4-1]])</f>
        <v>1.2</v>
      </c>
      <c r="AA132" s="146"/>
      <c r="AB132" s="69" t="n">
        <f aca="false">TblPop[[#This Row],[Peasants]]*tax*TblPop[[#This Row],[Employment]] + (Construction!AZ133+Construction!BX133)*(alch_plat+(Magic!AM132&gt;0)*alchemist_flame_bonus)</f>
        <v>27322.2</v>
      </c>
      <c r="AC132" s="69" t="n">
        <f aca="false">TblConstr[[#This Row],[Tot Farm]]*farm_food + TblConstr[[#This Row],[Tot Doc]]*dock_food</f>
        <v>3280</v>
      </c>
      <c r="AD132" s="69" t="n">
        <f aca="false">TblConstr[[#This Row],[Tot Ly]]*ly_lumber + TblConstr[[#This Row],[Tot Hav]]*fh_lumber</f>
        <v>1250</v>
      </c>
      <c r="AE132" s="69" t="n">
        <f aca="false">OFFSET(TblConstr[[#This Row],[Tot Tow]],1,0)*(tower_mana + tech_4_5*TblTech[[#This Row],[4-5]]) + OFFSET(TblConstr[[#This Row],[Tot WG]],1,0)*wg_mana_prod</f>
        <v>725</v>
      </c>
      <c r="AF132" s="69" t="n">
        <f aca="false">OFFSET(TblConstr[[#This Row],[Tot OM]],1,0)*om_ore+IF(race="Dwarf",ROUNDDOWN(TblMili[[#This Row],[Unit 2]]*0.4,0),)</f>
        <v>0</v>
      </c>
      <c r="AG132" s="69" t="n">
        <f aca="false">OFFSET(TblConstr[[#This Row],[Tot DM]],1,0)*dm_gems</f>
        <v>0</v>
      </c>
      <c r="AH132" s="132"/>
      <c r="AI132" s="149" t="n">
        <f aca="false">MIN(race_platinum_bonus + IF(TblMagic[[#This Row],[Active Alch Frost]]&gt;0,alch_frost_bonus,IF(Magic!AD132&gt;0,midas_bonus)) + TblImps[[#This Row],[Science]] - TblProd[[#This Row],[Guard]]*(0.02 + tech_5_7*TblTech[[#This Row],[5-7]]) + tech_1_5*TblTech[[#This Row],[1-5]] + tech_4_4*TblTech[[#This Row],[4-4]], 0.5)</f>
        <v>0</v>
      </c>
      <c r="AJ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2" s="149" t="n">
        <f aca="false">race_lumber_bonus+ IF(TblMagic[[#This Row],[Active Gaia''s Blessing]]&gt;0,gaias_blessing_lumber)+ tech_1_3*TblTech[[#This Row],[1-3]] + tech_1_6*TblTech[[#This Row],[1-6]] + tech_3_3*TblTech[[#This Row],[3-3]]</f>
        <v>-0.1</v>
      </c>
      <c r="AL132" s="149" t="n">
        <f aca="false">race_mana_bonus+ 0 + TblImps[[#This Row],[Towers]] + tech_1_2*TblTech[[#This Row],[1-2]] + tech_3_4*TblTech[[#This Row],[3-4]]</f>
        <v>0</v>
      </c>
      <c r="AM132" s="149" t="n">
        <f aca="false">race_ore_bonus + IF(TblMagic[[#This Row],[Active Miner''s Sight]]&gt;0,miners_sight_bonus,IF(TblMagic[[#This Row],[Active Mining Strength]]&gt;0,mining_strength_bonus)) +  tech_1_6*TblTech[[#This Row],[1-6]]</f>
        <v>0</v>
      </c>
      <c r="AN132" s="149" t="n">
        <f aca="false">race_gem_bonus+ tech_3_2*TblTech[[#This Row],[3-2]] + tech_4_3*TblTech[[#This Row],[4-3]] + tech_6_2*TblTech[[#This Row],[6-2]]</f>
        <v>0.15</v>
      </c>
      <c r="AO132" s="132"/>
      <c r="AP132" s="69" t="n">
        <f aca="false">TblProd[[#This Row],[Food]]*food_decay * (1 + tech_2_1*TblTech[[#This Row],[2-1]] + tech_2_8*TblTech[[#This Row],[2-8]])</f>
        <v>2620.78</v>
      </c>
      <c r="AQ132" s="69" t="n">
        <f aca="false">(1+race_food_consumption)*TblPop[[#This Row],[Total]]*food_per_person*(1+tech_1_10*TblTech[[#This Row],[1-10]]+tech_7_5*TblTech[[#This Row],[7-5]])</f>
        <v>3162.25</v>
      </c>
      <c r="AR132" s="69" t="n">
        <f aca="false">TblProd[[#This Row],[Lumber]]*lumber_rot * (1 + tech_2_1*TblTech[[#This Row],[2-1]] + tech_2_8*TblTech[[#This Row],[2-8]] + tech_5_2*TblTech[[#This Row],[5-2]])</f>
        <v>6388.46</v>
      </c>
      <c r="AS132" s="69" t="n">
        <f aca="false">TblProd[[#This Row],[Mana]]*mana_drain * (1 + tech_2_1*TblTech[[#This Row],[2-1]] + tech_2_8*TblTech[[#This Row],[2-8]])</f>
        <v>3074.44</v>
      </c>
      <c r="AT132" s="146"/>
      <c r="AU132" s="69" t="n">
        <f aca="false">TblExplore[[#This Row],[Platinum (2)]]+TblConstr[[#This Row],[Total Plat Cost]]+TblMili[[#This Row],[Plat Cost]]+TblRezone[[#This Row],[Platinum cost]]+TblImps[[#This Row],[P1]]-TblProd[[#This Row],[Bank Plat]]</f>
        <v>-65340</v>
      </c>
      <c r="AV132" s="69" t="n">
        <f aca="false">TblConstr[[#This Row],[Total Lum Cost]]+TblImps[[#This Row],[L1]]-TblProd[[#This Row],[Bank Lumber]] + Military!$CL$25*TblMili[[#This Row],[Sec. rec. Cost]]</f>
        <v>-10800</v>
      </c>
      <c r="AW132" s="69" t="n">
        <f aca="false">TblMagic[[#This Row],[Mana cost]] + Military!$CL$26*TblMili[[#This Row],[Sec. rec. Cost]]</f>
        <v>0</v>
      </c>
      <c r="AX132" s="69" t="n">
        <f aca="false">Military!$CL$24*TblMili[[#This Row],[Sec. rec. Cost]]+TblImps[[#This Row],[O1]]-TblProd[[#This Row],[Bank Ore]]</f>
        <v>0</v>
      </c>
      <c r="AY132" s="69" t="n">
        <f aca="false">TblImps[[#This Row],[G1]]-TblProd[[#This Row],[Bank Gems]]</f>
        <v>0</v>
      </c>
      <c r="AZ132" s="132"/>
      <c r="BA132" s="33" t="n">
        <f aca="false">IF(TblProd[[#This Row],[Set Guard]]&lt;&gt;"",TblProd[[#This Row],[Set Guard]],OFFSET(TblProd[[#This Row],[Guard]],-1,0))</f>
        <v>0</v>
      </c>
      <c r="BB132" s="145"/>
      <c r="BC132" s="151" t="n">
        <f aca="false">TblProd[[#This Row],[Hour]]</f>
        <v>57</v>
      </c>
      <c r="BD132" s="152" t="n">
        <f aca="false">-TblProd[[#This Row],[Bank Lumber]] / 2 + -TblProd[[#This Row],[Bank Gems]] * 2 + -TblProd[[#This Row],[Bank Ore]] / 2</f>
        <v>0</v>
      </c>
      <c r="BE132" s="152"/>
      <c r="BF132" s="152"/>
      <c r="BG132" s="152"/>
      <c r="BH132" s="153" t="n">
        <f aca="false">TblProd[[#This Row],[Time]]</f>
        <v>45435.0833333333</v>
      </c>
      <c r="BI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J132" s="69" t="n">
        <f aca="false">TblProd[[#This Row],[Platinum]]</f>
        <v>7079127</v>
      </c>
      <c r="BK132" s="69" t="n">
        <f aca="false">TblProd[[#This Row],[Food]]</f>
        <v>262078</v>
      </c>
      <c r="BL132" s="69" t="n">
        <f aca="false">TblProd[[#This Row],[Lumber]]</f>
        <v>638846</v>
      </c>
      <c r="BM132" s="69" t="n">
        <f aca="false">TblProd[[#This Row],[Mana]]</f>
        <v>153722</v>
      </c>
      <c r="BN132" s="69" t="n">
        <f aca="false">TblProd[[#This Row],[Ore]]</f>
        <v>-357</v>
      </c>
    </row>
    <row r="133" customFormat="false" ht="12.75" hidden="false" customHeight="false" outlineLevel="0" collapsed="false">
      <c r="A133" s="128" t="n">
        <v>58</v>
      </c>
      <c r="B133" s="144" t="n">
        <f aca="false">TblImps[[#This Row],[Time]]</f>
        <v>45435.125</v>
      </c>
      <c r="C133" s="145"/>
      <c r="D133" s="146"/>
      <c r="E133" s="69" t="n">
        <f aca="false">TblConstr[[#This Row],[Land]]</f>
        <v>646</v>
      </c>
      <c r="F133" s="69" t="n">
        <f aca="false">TblPop[[#This Row],[Peasants]]</f>
        <v>5481</v>
      </c>
      <c r="G133" s="69"/>
      <c r="H133" s="69" t="e">
        <f aca="false">TblMili[[#This Row],[Networth (2)]]</f>
        <v>#VALUE!</v>
      </c>
      <c r="I133" s="69" t="n">
        <f aca="false">OFFSET(TblProd[[#This Row],[Platinum]],-1,0)+OFFSET(TblProd[[#This Row],[Plat/hr]],-1,0) - TblProd[[#This Row],[Expenses Platinum]] + IF(TblProd[[#This Row],[Plat Bonus]],TblPop[[#This Row],[Peasants]]*4) + SUM(TblConstr[[#This Row],[Dest Hom]:[Dest Doc]])*TblConstr[[#This Row],[CPA Platinum -DB]]*tech_3_3_2*TblTech[[#This Row],[3-3]]</f>
        <v>7171789</v>
      </c>
      <c r="J133" s="69" t="n">
        <f aca="false">OFFSET(TblProd[[#This Row],[Food]],-1,0)+OFFSET(TblProd[[#This Row],[Food/hr]],-1,0)+ROUNDUP((TblConstr[[#This Row],[Farms]]*80+TblConstr[[#This Row],[Docks]]*35)*(1+OFFSET(TblProd[[#This Row],[Bonus Food/hr]],-1,0)),0)</f>
        <v>259657</v>
      </c>
      <c r="K133" s="69" t="n">
        <f aca="false">OFFSET(TblProd[[#This Row],[Lumber]],-1,0)+OFFSET(TblProd[[#This Row],[Lumber/hr]],-1,0) - TblProd[[#This Row],[Expenses Lumber]] + SUM(TblConstr[[#This Row],[Dest Hom]:[Dest Doc]])*TblConstr[[#This Row],[CPA Lumber -DB]]*tech_3_3_2*TblTech[[#This Row],[3-3]]</f>
        <v>644383</v>
      </c>
      <c r="L133" s="69" t="n">
        <f aca="false">OFFSET(TblProd[[#This Row],[Mana]],-1,0)+OFFSET(TblProd[[#This Row],[Mana/hr]],-1,0)- TblProd[[#This Row],[Expenses Mana]]</f>
        <v>151373</v>
      </c>
      <c r="M133" s="69" t="n">
        <f aca="false">OFFSET(TblProd[[#This Row],[Ore]],-1,0)+OFFSET(TblProd[[#This Row],[Ore/hr]],-1,0) -TblProd[[#This Row],[Expenses Ore]]</f>
        <v>-357</v>
      </c>
      <c r="N133" s="69" t="n">
        <f aca="false">OFFSET(TblProd[[#This Row],[Gems]],-1,0)+OFFSET(TblProd[[#This Row],[Gems/hr]],-1,0) - TblProd[[#This Row],[Expenses Gems]]</f>
        <v>-1000</v>
      </c>
      <c r="O133" s="69" t="n">
        <f aca="false">OFFSET(TblProd[[#This Row],[Boats]],-1,0)+OFFSET(TblProd[[#This Row],[Boats/hr]],-1,0)</f>
        <v>96.6500000000001</v>
      </c>
      <c r="P133" s="69" t="n">
        <f aca="false">OFFSET(TblProd[[#This Row],[Prestige]],-1,0)</f>
        <v>250</v>
      </c>
      <c r="Q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3" s="69" t="n">
        <f aca="false">MAX(3750,_xlfn.CEILING.MATH(TblProd[[#This Row],[Land]]*2.5+OFFSET(TblTech[[#This Row],[Sum of tech]],-1,0)*150))</f>
        <v>3750</v>
      </c>
      <c r="S133" s="132"/>
      <c r="T133" s="69" t="n">
        <f aca="false">ROUNDDOWN(TblProd[[#This Row],[Raw Plat/hr]]*(1+TblProd[[#This Row],[Bonus Plat/hr]]),0)</f>
        <v>27173</v>
      </c>
      <c r="U133" s="69" t="n">
        <f aca="false">ROUND(TblProd[[#This Row],[Raw Food/hr]]*(1+TblProd[[#This Row],[Bonus Food/hr]])-TblProd[[#This Row],[Food decay]]-TblProd[[#This Row],[Food eaten]],0)</f>
        <v>-2397</v>
      </c>
      <c r="V133" s="69" t="n">
        <f aca="false">ROUND(TblProd[[#This Row],[Raw Lumber/hr]]*(1+TblProd[[#This Row],[Bonus Lumber/hr]])-TblProd[[#This Row],[Lumber rot]],0)</f>
        <v>-5319</v>
      </c>
      <c r="W133" s="69" t="n">
        <f aca="false">ROUND(TblProd[[#This Row],[Raw Mana/hr]]*(1+TblProd[[#This Row],[Bonus Mana/hr]])-TblProd[[#This Row],[Mana drain]],0)</f>
        <v>-2302</v>
      </c>
      <c r="X133" s="69" t="n">
        <f aca="false">ROUNDDOWN(TblProd[[#This Row],[Raw Ore/hr]]*(1+TblProd[[#This Row],[Bonux Ore/hr]]),0)</f>
        <v>0</v>
      </c>
      <c r="Y133" s="69" t="n">
        <f aca="false">ROUNDDOWN(TblProd[[#This Row],[Raw Gems/hr]]*(1+TblProd[[#This Row],[Bonus Gems/hr]]),0)</f>
        <v>0</v>
      </c>
      <c r="Z133" s="148" t="n">
        <f aca="false">OFFSET(TblConstr[[#This Row],[Tot Doc]],1,0)*dock_boats_hr * (1 + tech_4_1*TblTech[[#This Row],[4-1]])</f>
        <v>1.2</v>
      </c>
      <c r="AA133" s="146"/>
      <c r="AB133" s="69" t="n">
        <f aca="false">TblPop[[#This Row],[Peasants]]*tax*TblPop[[#This Row],[Employment]] + (Construction!AZ134+Construction!BX134)*(alch_plat+(Magic!AM133&gt;0)*alchemist_flame_bonus)</f>
        <v>27173.7</v>
      </c>
      <c r="AC133" s="69" t="n">
        <f aca="false">TblConstr[[#This Row],[Tot Farm]]*farm_food + TblConstr[[#This Row],[Tot Doc]]*dock_food</f>
        <v>3280</v>
      </c>
      <c r="AD133" s="69" t="n">
        <f aca="false">TblConstr[[#This Row],[Tot Ly]]*ly_lumber + TblConstr[[#This Row],[Tot Hav]]*fh_lumber</f>
        <v>1250</v>
      </c>
      <c r="AE133" s="69" t="n">
        <f aca="false">OFFSET(TblConstr[[#This Row],[Tot Tow]],1,0)*(tower_mana + tech_4_5*TblTech[[#This Row],[4-5]]) + OFFSET(TblConstr[[#This Row],[Tot WG]],1,0)*wg_mana_prod</f>
        <v>725</v>
      </c>
      <c r="AF133" s="69" t="n">
        <f aca="false">OFFSET(TblConstr[[#This Row],[Tot OM]],1,0)*om_ore+IF(race="Dwarf",ROUNDDOWN(TblMili[[#This Row],[Unit 2]]*0.4,0),)</f>
        <v>0</v>
      </c>
      <c r="AG133" s="69" t="n">
        <f aca="false">OFFSET(TblConstr[[#This Row],[Tot DM]],1,0)*dm_gems</f>
        <v>0</v>
      </c>
      <c r="AH133" s="132"/>
      <c r="AI133" s="149" t="n">
        <f aca="false">MIN(race_platinum_bonus + IF(TblMagic[[#This Row],[Active Alch Frost]]&gt;0,alch_frost_bonus,IF(Magic!AD133&gt;0,midas_bonus)) + TblImps[[#This Row],[Science]] - TblProd[[#This Row],[Guard]]*(0.02 + tech_5_7*TblTech[[#This Row],[5-7]]) + tech_1_5*TblTech[[#This Row],[1-5]] + tech_4_4*TblTech[[#This Row],[4-4]], 0.5)</f>
        <v>0</v>
      </c>
      <c r="AJ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3" s="149" t="n">
        <f aca="false">race_lumber_bonus+ IF(TblMagic[[#This Row],[Active Gaia''s Blessing]]&gt;0,gaias_blessing_lumber)+ tech_1_3*TblTech[[#This Row],[1-3]] + tech_1_6*TblTech[[#This Row],[1-6]] + tech_3_3*TblTech[[#This Row],[3-3]]</f>
        <v>-0.1</v>
      </c>
      <c r="AL133" s="149" t="n">
        <f aca="false">race_mana_bonus+ 0 + TblImps[[#This Row],[Towers]] + tech_1_2*TblTech[[#This Row],[1-2]] + tech_3_4*TblTech[[#This Row],[3-4]]</f>
        <v>0</v>
      </c>
      <c r="AM133" s="149" t="n">
        <f aca="false">race_ore_bonus + IF(TblMagic[[#This Row],[Active Miner''s Sight]]&gt;0,miners_sight_bonus,IF(TblMagic[[#This Row],[Active Mining Strength]]&gt;0,mining_strength_bonus)) +  tech_1_6*TblTech[[#This Row],[1-6]]</f>
        <v>0</v>
      </c>
      <c r="AN133" s="149" t="n">
        <f aca="false">race_gem_bonus+ tech_3_2*TblTech[[#This Row],[3-2]] + tech_4_3*TblTech[[#This Row],[4-3]] + tech_6_2*TblTech[[#This Row],[6-2]]</f>
        <v>0.15</v>
      </c>
      <c r="AO133" s="132"/>
      <c r="AP133" s="69" t="n">
        <f aca="false">TblProd[[#This Row],[Food]]*food_decay * (1 + tech_2_1*TblTech[[#This Row],[2-1]] + tech_2_8*TblTech[[#This Row],[2-8]])</f>
        <v>2596.57</v>
      </c>
      <c r="AQ133" s="69" t="n">
        <f aca="false">(1+race_food_consumption)*TblPop[[#This Row],[Total]]*food_per_person*(1+tech_1_10*TblTech[[#This Row],[1-10]]+tech_7_5*TblTech[[#This Row],[7-5]])</f>
        <v>3162.25</v>
      </c>
      <c r="AR133" s="69" t="n">
        <f aca="false">TblProd[[#This Row],[Lumber]]*lumber_rot * (1 + tech_2_1*TblTech[[#This Row],[2-1]] + tech_2_8*TblTech[[#This Row],[2-8]] + tech_5_2*TblTech[[#This Row],[5-2]])</f>
        <v>6443.83</v>
      </c>
      <c r="AS133" s="69" t="n">
        <f aca="false">TblProd[[#This Row],[Mana]]*mana_drain * (1 + tech_2_1*TblTech[[#This Row],[2-1]] + tech_2_8*TblTech[[#This Row],[2-8]])</f>
        <v>3027.46</v>
      </c>
      <c r="AT133" s="146"/>
      <c r="AU133" s="69" t="n">
        <f aca="false">TblExplore[[#This Row],[Platinum (2)]]+TblConstr[[#This Row],[Total Plat Cost]]+TblMili[[#This Row],[Plat Cost]]+TblRezone[[#This Row],[Platinum cost]]+TblImps[[#This Row],[P1]]-TblProd[[#This Row],[Bank Plat]]</f>
        <v>-65340</v>
      </c>
      <c r="AV133" s="69" t="n">
        <f aca="false">TblConstr[[#This Row],[Total Lum Cost]]+TblImps[[#This Row],[L1]]-TblProd[[#This Row],[Bank Lumber]] + Military!$CL$25*TblMili[[#This Row],[Sec. rec. Cost]]</f>
        <v>-10800</v>
      </c>
      <c r="AW133" s="69" t="n">
        <f aca="false">TblMagic[[#This Row],[Mana cost]] + Military!$CL$26*TblMili[[#This Row],[Sec. rec. Cost]]</f>
        <v>0</v>
      </c>
      <c r="AX133" s="69" t="n">
        <f aca="false">Military!$CL$24*TblMili[[#This Row],[Sec. rec. Cost]]+TblImps[[#This Row],[O1]]-TblProd[[#This Row],[Bank Ore]]</f>
        <v>0</v>
      </c>
      <c r="AY133" s="69" t="n">
        <f aca="false">TblImps[[#This Row],[G1]]-TblProd[[#This Row],[Bank Gems]]</f>
        <v>0</v>
      </c>
      <c r="AZ133" s="132"/>
      <c r="BA133" s="33" t="n">
        <f aca="false">IF(TblProd[[#This Row],[Set Guard]]&lt;&gt;"",TblProd[[#This Row],[Set Guard]],OFFSET(TblProd[[#This Row],[Guard]],-1,0))</f>
        <v>0</v>
      </c>
      <c r="BB133" s="145"/>
      <c r="BC133" s="151" t="n">
        <f aca="false">TblProd[[#This Row],[Hour]]</f>
        <v>58</v>
      </c>
      <c r="BD133" s="152" t="n">
        <f aca="false">-TblProd[[#This Row],[Bank Lumber]] / 2 + -TblProd[[#This Row],[Bank Gems]] * 2 + -TblProd[[#This Row],[Bank Ore]] / 2</f>
        <v>0</v>
      </c>
      <c r="BE133" s="152"/>
      <c r="BF133" s="152"/>
      <c r="BG133" s="152"/>
      <c r="BH133" s="153" t="n">
        <f aca="false">TblProd[[#This Row],[Time]]</f>
        <v>45435.125</v>
      </c>
      <c r="BI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J133" s="69" t="n">
        <f aca="false">TblProd[[#This Row],[Platinum]]</f>
        <v>7171789</v>
      </c>
      <c r="BK133" s="69" t="n">
        <f aca="false">TblProd[[#This Row],[Food]]</f>
        <v>259657</v>
      </c>
      <c r="BL133" s="69" t="n">
        <f aca="false">TblProd[[#This Row],[Lumber]]</f>
        <v>644383</v>
      </c>
      <c r="BM133" s="69" t="n">
        <f aca="false">TblProd[[#This Row],[Mana]]</f>
        <v>151373</v>
      </c>
      <c r="BN133" s="69" t="n">
        <f aca="false">TblProd[[#This Row],[Ore]]</f>
        <v>-357</v>
      </c>
    </row>
    <row r="134" customFormat="false" ht="12.75" hidden="false" customHeight="false" outlineLevel="0" collapsed="false">
      <c r="A134" s="128" t="n">
        <v>59</v>
      </c>
      <c r="B134" s="144" t="n">
        <f aca="false">TblImps[[#This Row],[Time]]</f>
        <v>45435.1666666667</v>
      </c>
      <c r="C134" s="145"/>
      <c r="D134" s="146"/>
      <c r="E134" s="69" t="n">
        <f aca="false">TblConstr[[#This Row],[Land]]</f>
        <v>646</v>
      </c>
      <c r="F134" s="69" t="n">
        <f aca="false">TblPop[[#This Row],[Peasants]]</f>
        <v>5426</v>
      </c>
      <c r="G134" s="69"/>
      <c r="H134" s="69" t="e">
        <f aca="false">TblMili[[#This Row],[Networth (2)]]</f>
        <v>#VALUE!</v>
      </c>
      <c r="I134" s="69" t="n">
        <f aca="false">OFFSET(TblProd[[#This Row],[Platinum]],-1,0)+OFFSET(TblProd[[#This Row],[Plat/hr]],-1,0) - TblProd[[#This Row],[Expenses Platinum]] + IF(TblProd[[#This Row],[Plat Bonus]],TblPop[[#This Row],[Peasants]]*4) + SUM(TblConstr[[#This Row],[Dest Hom]:[Dest Doc]])*TblConstr[[#This Row],[CPA Platinum -DB]]*tech_3_3_2*TblTech[[#This Row],[3-3]]</f>
        <v>7264302</v>
      </c>
      <c r="J134" s="69" t="n">
        <f aca="false">OFFSET(TblProd[[#This Row],[Food]],-1,0)+OFFSET(TblProd[[#This Row],[Food/hr]],-1,0)+ROUNDUP((TblConstr[[#This Row],[Farms]]*80+TblConstr[[#This Row],[Docks]]*35)*(1+OFFSET(TblProd[[#This Row],[Bonus Food/hr]],-1,0)),0)</f>
        <v>257260</v>
      </c>
      <c r="K134" s="69" t="n">
        <f aca="false">OFFSET(TblProd[[#This Row],[Lumber]],-1,0)+OFFSET(TblProd[[#This Row],[Lumber/hr]],-1,0) - TblProd[[#This Row],[Expenses Lumber]] + SUM(TblConstr[[#This Row],[Dest Hom]:[Dest Doc]])*TblConstr[[#This Row],[CPA Lumber -DB]]*tech_3_3_2*TblTech[[#This Row],[3-3]]</f>
        <v>649864</v>
      </c>
      <c r="L134" s="69" t="n">
        <f aca="false">OFFSET(TblProd[[#This Row],[Mana]],-1,0)+OFFSET(TblProd[[#This Row],[Mana/hr]],-1,0)- TblProd[[#This Row],[Expenses Mana]]</f>
        <v>149071</v>
      </c>
      <c r="M134" s="69" t="n">
        <f aca="false">OFFSET(TblProd[[#This Row],[Ore]],-1,0)+OFFSET(TblProd[[#This Row],[Ore/hr]],-1,0) -TblProd[[#This Row],[Expenses Ore]]</f>
        <v>-357</v>
      </c>
      <c r="N134" s="69" t="n">
        <f aca="false">OFFSET(TblProd[[#This Row],[Gems]],-1,0)+OFFSET(TblProd[[#This Row],[Gems/hr]],-1,0) - TblProd[[#This Row],[Expenses Gems]]</f>
        <v>-1000</v>
      </c>
      <c r="O134" s="69" t="n">
        <f aca="false">OFFSET(TblProd[[#This Row],[Boats]],-1,0)+OFFSET(TblProd[[#This Row],[Boats/hr]],-1,0)</f>
        <v>97.8500000000001</v>
      </c>
      <c r="P134" s="69" t="n">
        <f aca="false">OFFSET(TblProd[[#This Row],[Prestige]],-1,0)</f>
        <v>250</v>
      </c>
      <c r="Q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4" s="69" t="n">
        <f aca="false">MAX(3750,_xlfn.CEILING.MATH(TblProd[[#This Row],[Land]]*2.5+OFFSET(TblTech[[#This Row],[Sum of tech]],-1,0)*150))</f>
        <v>3750</v>
      </c>
      <c r="S134" s="132"/>
      <c r="T134" s="69" t="n">
        <f aca="false">ROUNDDOWN(TblProd[[#This Row],[Raw Plat/hr]]*(1+TblProd[[#This Row],[Bonus Plat/hr]]),0)</f>
        <v>27025</v>
      </c>
      <c r="U134" s="69" t="n">
        <f aca="false">ROUND(TblProd[[#This Row],[Raw Food/hr]]*(1+TblProd[[#This Row],[Bonus Food/hr]])-TblProd[[#This Row],[Food decay]]-TblProd[[#This Row],[Food eaten]],0)</f>
        <v>-2373</v>
      </c>
      <c r="V134" s="69" t="n">
        <f aca="false">ROUND(TblProd[[#This Row],[Raw Lumber/hr]]*(1+TblProd[[#This Row],[Bonus Lumber/hr]])-TblProd[[#This Row],[Lumber rot]],0)</f>
        <v>-5374</v>
      </c>
      <c r="W134" s="69" t="n">
        <f aca="false">ROUND(TblProd[[#This Row],[Raw Mana/hr]]*(1+TblProd[[#This Row],[Bonus Mana/hr]])-TblProd[[#This Row],[Mana drain]],0)</f>
        <v>-2256</v>
      </c>
      <c r="X134" s="69" t="n">
        <f aca="false">ROUNDDOWN(TblProd[[#This Row],[Raw Ore/hr]]*(1+TblProd[[#This Row],[Bonux Ore/hr]]),0)</f>
        <v>0</v>
      </c>
      <c r="Y134" s="69" t="n">
        <f aca="false">ROUNDDOWN(TblProd[[#This Row],[Raw Gems/hr]]*(1+TblProd[[#This Row],[Bonus Gems/hr]]),0)</f>
        <v>0</v>
      </c>
      <c r="Z134" s="148" t="n">
        <f aca="false">OFFSET(TblConstr[[#This Row],[Tot Doc]],1,0)*dock_boats_hr * (1 + tech_4_1*TblTech[[#This Row],[4-1]])</f>
        <v>1.2</v>
      </c>
      <c r="AA134" s="146"/>
      <c r="AB134" s="69" t="n">
        <f aca="false">TblPop[[#This Row],[Peasants]]*tax*TblPop[[#This Row],[Employment]] + (Construction!AZ135+Construction!BX135)*(alch_plat+(Magic!AM134&gt;0)*alchemist_flame_bonus)</f>
        <v>27025.2</v>
      </c>
      <c r="AC134" s="69" t="n">
        <f aca="false">TblConstr[[#This Row],[Tot Farm]]*farm_food + TblConstr[[#This Row],[Tot Doc]]*dock_food</f>
        <v>3280</v>
      </c>
      <c r="AD134" s="69" t="n">
        <f aca="false">TblConstr[[#This Row],[Tot Ly]]*ly_lumber + TblConstr[[#This Row],[Tot Hav]]*fh_lumber</f>
        <v>1250</v>
      </c>
      <c r="AE134" s="69" t="n">
        <f aca="false">OFFSET(TblConstr[[#This Row],[Tot Tow]],1,0)*(tower_mana + tech_4_5*TblTech[[#This Row],[4-5]]) + OFFSET(TblConstr[[#This Row],[Tot WG]],1,0)*wg_mana_prod</f>
        <v>725</v>
      </c>
      <c r="AF134" s="69" t="n">
        <f aca="false">OFFSET(TblConstr[[#This Row],[Tot OM]],1,0)*om_ore+IF(race="Dwarf",ROUNDDOWN(TblMili[[#This Row],[Unit 2]]*0.4,0),)</f>
        <v>0</v>
      </c>
      <c r="AG134" s="69" t="n">
        <f aca="false">OFFSET(TblConstr[[#This Row],[Tot DM]],1,0)*dm_gems</f>
        <v>0</v>
      </c>
      <c r="AH134" s="132"/>
      <c r="AI134" s="149" t="n">
        <f aca="false">MIN(race_platinum_bonus + IF(TblMagic[[#This Row],[Active Alch Frost]]&gt;0,alch_frost_bonus,IF(Magic!AD134&gt;0,midas_bonus)) + TblImps[[#This Row],[Science]] - TblProd[[#This Row],[Guard]]*(0.02 + tech_5_7*TblTech[[#This Row],[5-7]]) + tech_1_5*TblTech[[#This Row],[1-5]] + tech_4_4*TblTech[[#This Row],[4-4]], 0.5)</f>
        <v>0</v>
      </c>
      <c r="AJ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4" s="149" t="n">
        <f aca="false">race_lumber_bonus+ IF(TblMagic[[#This Row],[Active Gaia''s Blessing]]&gt;0,gaias_blessing_lumber)+ tech_1_3*TblTech[[#This Row],[1-3]] + tech_1_6*TblTech[[#This Row],[1-6]] + tech_3_3*TblTech[[#This Row],[3-3]]</f>
        <v>-0.1</v>
      </c>
      <c r="AL134" s="149" t="n">
        <f aca="false">race_mana_bonus+ 0 + TblImps[[#This Row],[Towers]] + tech_1_2*TblTech[[#This Row],[1-2]] + tech_3_4*TblTech[[#This Row],[3-4]]</f>
        <v>0</v>
      </c>
      <c r="AM134" s="149" t="n">
        <f aca="false">race_ore_bonus + IF(TblMagic[[#This Row],[Active Miner''s Sight]]&gt;0,miners_sight_bonus,IF(TblMagic[[#This Row],[Active Mining Strength]]&gt;0,mining_strength_bonus)) +  tech_1_6*TblTech[[#This Row],[1-6]]</f>
        <v>0</v>
      </c>
      <c r="AN134" s="149" t="n">
        <f aca="false">race_gem_bonus+ tech_3_2*TblTech[[#This Row],[3-2]] + tech_4_3*TblTech[[#This Row],[4-3]] + tech_6_2*TblTech[[#This Row],[6-2]]</f>
        <v>0.15</v>
      </c>
      <c r="AO134" s="132"/>
      <c r="AP134" s="69" t="n">
        <f aca="false">TblProd[[#This Row],[Food]]*food_decay * (1 + tech_2_1*TblTech[[#This Row],[2-1]] + tech_2_8*TblTech[[#This Row],[2-8]])</f>
        <v>2572.6</v>
      </c>
      <c r="AQ134" s="69" t="n">
        <f aca="false">(1+race_food_consumption)*TblPop[[#This Row],[Total]]*food_per_person*(1+tech_1_10*TblTech[[#This Row],[1-10]]+tech_7_5*TblTech[[#This Row],[7-5]])</f>
        <v>3162.25</v>
      </c>
      <c r="AR134" s="69" t="n">
        <f aca="false">TblProd[[#This Row],[Lumber]]*lumber_rot * (1 + tech_2_1*TblTech[[#This Row],[2-1]] + tech_2_8*TblTech[[#This Row],[2-8]] + tech_5_2*TblTech[[#This Row],[5-2]])</f>
        <v>6498.64</v>
      </c>
      <c r="AS134" s="69" t="n">
        <f aca="false">TblProd[[#This Row],[Mana]]*mana_drain * (1 + tech_2_1*TblTech[[#This Row],[2-1]] + tech_2_8*TblTech[[#This Row],[2-8]])</f>
        <v>2981.42</v>
      </c>
      <c r="AT134" s="146"/>
      <c r="AU134" s="69" t="n">
        <f aca="false">TblExplore[[#This Row],[Platinum (2)]]+TblConstr[[#This Row],[Total Plat Cost]]+TblMili[[#This Row],[Plat Cost]]+TblRezone[[#This Row],[Platinum cost]]+TblImps[[#This Row],[P1]]-TblProd[[#This Row],[Bank Plat]]</f>
        <v>-65340</v>
      </c>
      <c r="AV134" s="69" t="n">
        <f aca="false">TblConstr[[#This Row],[Total Lum Cost]]+TblImps[[#This Row],[L1]]-TblProd[[#This Row],[Bank Lumber]] + Military!$CL$25*TblMili[[#This Row],[Sec. rec. Cost]]</f>
        <v>-10800</v>
      </c>
      <c r="AW134" s="69" t="n">
        <f aca="false">TblMagic[[#This Row],[Mana cost]] + Military!$CL$26*TblMili[[#This Row],[Sec. rec. Cost]]</f>
        <v>0</v>
      </c>
      <c r="AX134" s="69" t="n">
        <f aca="false">Military!$CL$24*TblMili[[#This Row],[Sec. rec. Cost]]+TblImps[[#This Row],[O1]]-TblProd[[#This Row],[Bank Ore]]</f>
        <v>0</v>
      </c>
      <c r="AY134" s="69" t="n">
        <f aca="false">TblImps[[#This Row],[G1]]-TblProd[[#This Row],[Bank Gems]]</f>
        <v>0</v>
      </c>
      <c r="AZ134" s="132"/>
      <c r="BA134" s="33" t="n">
        <f aca="false">IF(TblProd[[#This Row],[Set Guard]]&lt;&gt;"",TblProd[[#This Row],[Set Guard]],OFFSET(TblProd[[#This Row],[Guard]],-1,0))</f>
        <v>0</v>
      </c>
      <c r="BB134" s="145"/>
      <c r="BC134" s="151" t="n">
        <f aca="false">TblProd[[#This Row],[Hour]]</f>
        <v>59</v>
      </c>
      <c r="BD134" s="152" t="n">
        <f aca="false">-TblProd[[#This Row],[Bank Lumber]] / 2 + -TblProd[[#This Row],[Bank Gems]] * 2 + -TblProd[[#This Row],[Bank Ore]] / 2</f>
        <v>0</v>
      </c>
      <c r="BE134" s="152"/>
      <c r="BF134" s="152"/>
      <c r="BG134" s="152"/>
      <c r="BH134" s="153" t="n">
        <f aca="false">TblProd[[#This Row],[Time]]</f>
        <v>45435.1666666667</v>
      </c>
      <c r="BI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J134" s="69" t="n">
        <f aca="false">TblProd[[#This Row],[Platinum]]</f>
        <v>7264302</v>
      </c>
      <c r="BK134" s="69" t="n">
        <f aca="false">TblProd[[#This Row],[Food]]</f>
        <v>257260</v>
      </c>
      <c r="BL134" s="69" t="n">
        <f aca="false">TblProd[[#This Row],[Lumber]]</f>
        <v>649864</v>
      </c>
      <c r="BM134" s="69" t="n">
        <f aca="false">TblProd[[#This Row],[Mana]]</f>
        <v>149071</v>
      </c>
      <c r="BN134" s="69" t="n">
        <f aca="false">TblProd[[#This Row],[Ore]]</f>
        <v>-357</v>
      </c>
    </row>
    <row r="135" customFormat="false" ht="12.75" hidden="false" customHeight="false" outlineLevel="0" collapsed="false">
      <c r="A135" s="128" t="n">
        <v>60</v>
      </c>
      <c r="B135" s="144" t="n">
        <f aca="false">TblImps[[#This Row],[Time]]</f>
        <v>45435.2083333333</v>
      </c>
      <c r="C135" s="145"/>
      <c r="D135" s="146"/>
      <c r="E135" s="69" t="n">
        <f aca="false">TblConstr[[#This Row],[Land]]</f>
        <v>646</v>
      </c>
      <c r="F135" s="69" t="n">
        <f aca="false">TblPop[[#This Row],[Peasants]]</f>
        <v>5372</v>
      </c>
      <c r="G135" s="69"/>
      <c r="H135" s="69" t="e">
        <f aca="false">TblMili[[#This Row],[Networth (2)]]</f>
        <v>#VALUE!</v>
      </c>
      <c r="I135" s="69" t="n">
        <f aca="false">OFFSET(TblProd[[#This Row],[Platinum]],-1,0)+OFFSET(TblProd[[#This Row],[Plat/hr]],-1,0) - TblProd[[#This Row],[Expenses Platinum]] + IF(TblProd[[#This Row],[Plat Bonus]],TblPop[[#This Row],[Peasants]]*4) + SUM(TblConstr[[#This Row],[Dest Hom]:[Dest Doc]])*TblConstr[[#This Row],[CPA Platinum -DB]]*tech_3_3_2*TblTech[[#This Row],[3-3]]</f>
        <v>7356667</v>
      </c>
      <c r="J135" s="69" t="n">
        <f aca="false">OFFSET(TblProd[[#This Row],[Food]],-1,0)+OFFSET(TblProd[[#This Row],[Food/hr]],-1,0)+ROUNDUP((TblConstr[[#This Row],[Farms]]*80+TblConstr[[#This Row],[Docks]]*35)*(1+OFFSET(TblProd[[#This Row],[Bonus Food/hr]],-1,0)),0)</f>
        <v>254887</v>
      </c>
      <c r="K135" s="69" t="n">
        <f aca="false">OFFSET(TblProd[[#This Row],[Lumber]],-1,0)+OFFSET(TblProd[[#This Row],[Lumber/hr]],-1,0) - TblProd[[#This Row],[Expenses Lumber]] + SUM(TblConstr[[#This Row],[Dest Hom]:[Dest Doc]])*TblConstr[[#This Row],[CPA Lumber -DB]]*tech_3_3_2*TblTech[[#This Row],[3-3]]</f>
        <v>655290</v>
      </c>
      <c r="L135" s="69" t="n">
        <f aca="false">OFFSET(TblProd[[#This Row],[Mana]],-1,0)+OFFSET(TblProd[[#This Row],[Mana/hr]],-1,0)- TblProd[[#This Row],[Expenses Mana]]</f>
        <v>146815</v>
      </c>
      <c r="M135" s="69" t="n">
        <f aca="false">OFFSET(TblProd[[#This Row],[Ore]],-1,0)+OFFSET(TblProd[[#This Row],[Ore/hr]],-1,0) -TblProd[[#This Row],[Expenses Ore]]</f>
        <v>-357</v>
      </c>
      <c r="N135" s="69" t="n">
        <f aca="false">OFFSET(TblProd[[#This Row],[Gems]],-1,0)+OFFSET(TblProd[[#This Row],[Gems/hr]],-1,0) - TblProd[[#This Row],[Expenses Gems]]</f>
        <v>-1000</v>
      </c>
      <c r="O135" s="69" t="n">
        <f aca="false">OFFSET(TblProd[[#This Row],[Boats]],-1,0)+OFFSET(TblProd[[#This Row],[Boats/hr]],-1,0)</f>
        <v>99.0500000000001</v>
      </c>
      <c r="P135" s="69" t="n">
        <f aca="false">OFFSET(TblProd[[#This Row],[Prestige]],-1,0)</f>
        <v>250</v>
      </c>
      <c r="Q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5" s="69" t="n">
        <f aca="false">MAX(3750,_xlfn.CEILING.MATH(TblProd[[#This Row],[Land]]*2.5+OFFSET(TblTech[[#This Row],[Sum of tech]],-1,0)*150))</f>
        <v>3750</v>
      </c>
      <c r="S135" s="132"/>
      <c r="T135" s="69" t="n">
        <f aca="false">ROUNDDOWN(TblProd[[#This Row],[Raw Plat/hr]]*(1+TblProd[[#This Row],[Bonus Plat/hr]]),0)</f>
        <v>26879</v>
      </c>
      <c r="U135" s="69" t="n">
        <f aca="false">ROUND(TblProd[[#This Row],[Raw Food/hr]]*(1+TblProd[[#This Row],[Bonus Food/hr]])-TblProd[[#This Row],[Food decay]]-TblProd[[#This Row],[Food eaten]],0)</f>
        <v>-2349</v>
      </c>
      <c r="V135" s="69" t="n">
        <f aca="false">ROUND(TblProd[[#This Row],[Raw Lumber/hr]]*(1+TblProd[[#This Row],[Bonus Lumber/hr]])-TblProd[[#This Row],[Lumber rot]],0)</f>
        <v>-5428</v>
      </c>
      <c r="W135" s="69" t="n">
        <f aca="false">ROUND(TblProd[[#This Row],[Raw Mana/hr]]*(1+TblProd[[#This Row],[Bonus Mana/hr]])-TblProd[[#This Row],[Mana drain]],0)</f>
        <v>-2211</v>
      </c>
      <c r="X135" s="69" t="n">
        <f aca="false">ROUNDDOWN(TblProd[[#This Row],[Raw Ore/hr]]*(1+TblProd[[#This Row],[Bonux Ore/hr]]),0)</f>
        <v>0</v>
      </c>
      <c r="Y135" s="69" t="n">
        <f aca="false">ROUNDDOWN(TblProd[[#This Row],[Raw Gems/hr]]*(1+TblProd[[#This Row],[Bonus Gems/hr]]),0)</f>
        <v>0</v>
      </c>
      <c r="Z135" s="148" t="n">
        <f aca="false">OFFSET(TblConstr[[#This Row],[Tot Doc]],1,0)*dock_boats_hr * (1 + tech_4_1*TblTech[[#This Row],[4-1]])</f>
        <v>1.2</v>
      </c>
      <c r="AA135" s="146"/>
      <c r="AB135" s="69" t="n">
        <f aca="false">TblPop[[#This Row],[Peasants]]*tax*TblPop[[#This Row],[Employment]] + (Construction!AZ136+Construction!BX136)*(alch_plat+(Magic!AM135&gt;0)*alchemist_flame_bonus)</f>
        <v>26879.4</v>
      </c>
      <c r="AC135" s="69" t="n">
        <f aca="false">TblConstr[[#This Row],[Tot Farm]]*farm_food + TblConstr[[#This Row],[Tot Doc]]*dock_food</f>
        <v>3280</v>
      </c>
      <c r="AD135" s="69" t="n">
        <f aca="false">TblConstr[[#This Row],[Tot Ly]]*ly_lumber + TblConstr[[#This Row],[Tot Hav]]*fh_lumber</f>
        <v>1250</v>
      </c>
      <c r="AE135" s="69" t="n">
        <f aca="false">OFFSET(TblConstr[[#This Row],[Tot Tow]],1,0)*(tower_mana + tech_4_5*TblTech[[#This Row],[4-5]]) + OFFSET(TblConstr[[#This Row],[Tot WG]],1,0)*wg_mana_prod</f>
        <v>725</v>
      </c>
      <c r="AF135" s="69" t="n">
        <f aca="false">OFFSET(TblConstr[[#This Row],[Tot OM]],1,0)*om_ore+IF(race="Dwarf",ROUNDDOWN(TblMili[[#This Row],[Unit 2]]*0.4,0),)</f>
        <v>0</v>
      </c>
      <c r="AG135" s="69" t="n">
        <f aca="false">OFFSET(TblConstr[[#This Row],[Tot DM]],1,0)*dm_gems</f>
        <v>0</v>
      </c>
      <c r="AH135" s="132"/>
      <c r="AI135" s="149" t="n">
        <f aca="false">MIN(race_platinum_bonus + IF(TblMagic[[#This Row],[Active Alch Frost]]&gt;0,alch_frost_bonus,IF(Magic!AD135&gt;0,midas_bonus)) + TblImps[[#This Row],[Science]] - TblProd[[#This Row],[Guard]]*(0.02 + tech_5_7*TblTech[[#This Row],[5-7]]) + tech_1_5*TblTech[[#This Row],[1-5]] + tech_4_4*TblTech[[#This Row],[4-4]], 0.5)</f>
        <v>0</v>
      </c>
      <c r="AJ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5" s="149" t="n">
        <f aca="false">race_lumber_bonus+ IF(TblMagic[[#This Row],[Active Gaia''s Blessing]]&gt;0,gaias_blessing_lumber)+ tech_1_3*TblTech[[#This Row],[1-3]] + tech_1_6*TblTech[[#This Row],[1-6]] + tech_3_3*TblTech[[#This Row],[3-3]]</f>
        <v>-0.1</v>
      </c>
      <c r="AL135" s="149" t="n">
        <f aca="false">race_mana_bonus+ 0 + TblImps[[#This Row],[Towers]] + tech_1_2*TblTech[[#This Row],[1-2]] + tech_3_4*TblTech[[#This Row],[3-4]]</f>
        <v>0</v>
      </c>
      <c r="AM135" s="149" t="n">
        <f aca="false">race_ore_bonus + IF(TblMagic[[#This Row],[Active Miner''s Sight]]&gt;0,miners_sight_bonus,IF(TblMagic[[#This Row],[Active Mining Strength]]&gt;0,mining_strength_bonus)) +  tech_1_6*TblTech[[#This Row],[1-6]]</f>
        <v>0</v>
      </c>
      <c r="AN135" s="149" t="n">
        <f aca="false">race_gem_bonus+ tech_3_2*TblTech[[#This Row],[3-2]] + tech_4_3*TblTech[[#This Row],[4-3]] + tech_6_2*TblTech[[#This Row],[6-2]]</f>
        <v>0.15</v>
      </c>
      <c r="AO135" s="132"/>
      <c r="AP135" s="69" t="n">
        <f aca="false">TblProd[[#This Row],[Food]]*food_decay * (1 + tech_2_1*TblTech[[#This Row],[2-1]] + tech_2_8*TblTech[[#This Row],[2-8]])</f>
        <v>2548.87</v>
      </c>
      <c r="AQ135" s="69" t="n">
        <f aca="false">(1+race_food_consumption)*TblPop[[#This Row],[Total]]*food_per_person*(1+tech_1_10*TblTech[[#This Row],[1-10]]+tech_7_5*TblTech[[#This Row],[7-5]])</f>
        <v>3162.25</v>
      </c>
      <c r="AR135" s="69" t="n">
        <f aca="false">TblProd[[#This Row],[Lumber]]*lumber_rot * (1 + tech_2_1*TblTech[[#This Row],[2-1]] + tech_2_8*TblTech[[#This Row],[2-8]] + tech_5_2*TblTech[[#This Row],[5-2]])</f>
        <v>6552.9</v>
      </c>
      <c r="AS135" s="69" t="n">
        <f aca="false">TblProd[[#This Row],[Mana]]*mana_drain * (1 + tech_2_1*TblTech[[#This Row],[2-1]] + tech_2_8*TblTech[[#This Row],[2-8]])</f>
        <v>2936.3</v>
      </c>
      <c r="AT135" s="146"/>
      <c r="AU135" s="69" t="n">
        <f aca="false">TblExplore[[#This Row],[Platinum (2)]]+TblConstr[[#This Row],[Total Plat Cost]]+TblMili[[#This Row],[Plat Cost]]+TblRezone[[#This Row],[Platinum cost]]+TblImps[[#This Row],[P1]]-TblProd[[#This Row],[Bank Plat]]</f>
        <v>-65340</v>
      </c>
      <c r="AV135" s="69" t="n">
        <f aca="false">TblConstr[[#This Row],[Total Lum Cost]]+TblImps[[#This Row],[L1]]-TblProd[[#This Row],[Bank Lumber]] + Military!$CL$25*TblMili[[#This Row],[Sec. rec. Cost]]</f>
        <v>-10800</v>
      </c>
      <c r="AW135" s="69" t="n">
        <f aca="false">TblMagic[[#This Row],[Mana cost]] + Military!$CL$26*TblMili[[#This Row],[Sec. rec. Cost]]</f>
        <v>0</v>
      </c>
      <c r="AX135" s="69" t="n">
        <f aca="false">Military!$CL$24*TblMili[[#This Row],[Sec. rec. Cost]]+TblImps[[#This Row],[O1]]-TblProd[[#This Row],[Bank Ore]]</f>
        <v>0</v>
      </c>
      <c r="AY135" s="69" t="n">
        <f aca="false">TblImps[[#This Row],[G1]]-TblProd[[#This Row],[Bank Gems]]</f>
        <v>0</v>
      </c>
      <c r="AZ135" s="132"/>
      <c r="BA135" s="33" t="n">
        <f aca="false">IF(TblProd[[#This Row],[Set Guard]]&lt;&gt;"",TblProd[[#This Row],[Set Guard]],OFFSET(TblProd[[#This Row],[Guard]],-1,0))</f>
        <v>0</v>
      </c>
      <c r="BB135" s="145"/>
      <c r="BC135" s="151" t="n">
        <f aca="false">TblProd[[#This Row],[Hour]]</f>
        <v>60</v>
      </c>
      <c r="BD135" s="152" t="n">
        <f aca="false">-TblProd[[#This Row],[Bank Lumber]] / 2 + -TblProd[[#This Row],[Bank Gems]] * 2 + -TblProd[[#This Row],[Bank Ore]] / 2</f>
        <v>0</v>
      </c>
      <c r="BE135" s="152"/>
      <c r="BF135" s="152"/>
      <c r="BG135" s="152"/>
      <c r="BH135" s="153" t="n">
        <f aca="false">TblProd[[#This Row],[Time]]</f>
        <v>45435.2083333333</v>
      </c>
      <c r="BI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J135" s="69" t="n">
        <f aca="false">TblProd[[#This Row],[Platinum]]</f>
        <v>7356667</v>
      </c>
      <c r="BK135" s="69" t="n">
        <f aca="false">TblProd[[#This Row],[Food]]</f>
        <v>254887</v>
      </c>
      <c r="BL135" s="69" t="n">
        <f aca="false">TblProd[[#This Row],[Lumber]]</f>
        <v>655290</v>
      </c>
      <c r="BM135" s="69" t="n">
        <f aca="false">TblProd[[#This Row],[Mana]]</f>
        <v>146815</v>
      </c>
      <c r="BN135" s="69" t="n">
        <f aca="false">TblProd[[#This Row],[Ore]]</f>
        <v>-357</v>
      </c>
    </row>
    <row r="136" customFormat="false" ht="12.75" hidden="false" customHeight="false" outlineLevel="0" collapsed="false">
      <c r="A136" s="128" t="n">
        <v>61</v>
      </c>
      <c r="B136" s="144" t="n">
        <f aca="false">TblImps[[#This Row],[Time]]</f>
        <v>45435.25</v>
      </c>
      <c r="C136" s="145"/>
      <c r="D136" s="146"/>
      <c r="E136" s="69" t="n">
        <f aca="false">TblConstr[[#This Row],[Land]]</f>
        <v>646</v>
      </c>
      <c r="F136" s="69" t="n">
        <f aca="false">TblPop[[#This Row],[Peasants]]</f>
        <v>5318</v>
      </c>
      <c r="G136" s="69"/>
      <c r="H136" s="69" t="e">
        <f aca="false">TblMili[[#This Row],[Networth (2)]]</f>
        <v>#VALUE!</v>
      </c>
      <c r="I136" s="69" t="n">
        <f aca="false">OFFSET(TblProd[[#This Row],[Platinum]],-1,0)+OFFSET(TblProd[[#This Row],[Plat/hr]],-1,0) - TblProd[[#This Row],[Expenses Platinum]] + IF(TblProd[[#This Row],[Plat Bonus]],TblPop[[#This Row],[Peasants]]*4) + SUM(TblConstr[[#This Row],[Dest Hom]:[Dest Doc]])*TblConstr[[#This Row],[CPA Platinum -DB]]*tech_3_3_2*TblTech[[#This Row],[3-3]]</f>
        <v>7448886</v>
      </c>
      <c r="J136" s="69" t="n">
        <f aca="false">OFFSET(TblProd[[#This Row],[Food]],-1,0)+OFFSET(TblProd[[#This Row],[Food/hr]],-1,0)+ROUNDUP((TblConstr[[#This Row],[Farms]]*80+TblConstr[[#This Row],[Docks]]*35)*(1+OFFSET(TblProd[[#This Row],[Bonus Food/hr]],-1,0)),0)</f>
        <v>252538</v>
      </c>
      <c r="K136" s="69" t="n">
        <f aca="false">OFFSET(TblProd[[#This Row],[Lumber]],-1,0)+OFFSET(TblProd[[#This Row],[Lumber/hr]],-1,0) - TblProd[[#This Row],[Expenses Lumber]] + SUM(TblConstr[[#This Row],[Dest Hom]:[Dest Doc]])*TblConstr[[#This Row],[CPA Lumber -DB]]*tech_3_3_2*TblTech[[#This Row],[3-3]]</f>
        <v>660662</v>
      </c>
      <c r="L136" s="69" t="n">
        <f aca="false">OFFSET(TblProd[[#This Row],[Mana]],-1,0)+OFFSET(TblProd[[#This Row],[Mana/hr]],-1,0)- TblProd[[#This Row],[Expenses Mana]]</f>
        <v>144604</v>
      </c>
      <c r="M136" s="69" t="n">
        <f aca="false">OFFSET(TblProd[[#This Row],[Ore]],-1,0)+OFFSET(TblProd[[#This Row],[Ore/hr]],-1,0) -TblProd[[#This Row],[Expenses Ore]]</f>
        <v>-357</v>
      </c>
      <c r="N136" s="69" t="n">
        <f aca="false">OFFSET(TblProd[[#This Row],[Gems]],-1,0)+OFFSET(TblProd[[#This Row],[Gems/hr]],-1,0) - TblProd[[#This Row],[Expenses Gems]]</f>
        <v>-1000</v>
      </c>
      <c r="O136" s="69" t="n">
        <f aca="false">OFFSET(TblProd[[#This Row],[Boats]],-1,0)+OFFSET(TblProd[[#This Row],[Boats/hr]],-1,0)</f>
        <v>100.25</v>
      </c>
      <c r="P136" s="69" t="n">
        <f aca="false">OFFSET(TblProd[[#This Row],[Prestige]],-1,0)</f>
        <v>250</v>
      </c>
      <c r="Q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R136" s="69" t="n">
        <f aca="false">MAX(3750,_xlfn.CEILING.MATH(TblProd[[#This Row],[Land]]*2.5+OFFSET(TblTech[[#This Row],[Sum of tech]],-1,0)*150))</f>
        <v>3750</v>
      </c>
      <c r="S136" s="132"/>
      <c r="T136" s="69" t="n">
        <f aca="false">ROUNDDOWN(TblProd[[#This Row],[Raw Plat/hr]]*(1+TblProd[[#This Row],[Bonus Plat/hr]]),0)</f>
        <v>0</v>
      </c>
      <c r="U136" s="69" t="n">
        <f aca="false">ROUND(TblProd[[#This Row],[Raw Food/hr]]*(1+TblProd[[#This Row],[Bonus Food/hr]])-TblProd[[#This Row],[Food decay]]-TblProd[[#This Row],[Food eaten]],0)</f>
        <v>-2326</v>
      </c>
      <c r="V136" s="69" t="n">
        <f aca="false">ROUND(TblProd[[#This Row],[Raw Lumber/hr]]*(1+TblProd[[#This Row],[Bonus Lumber/hr]])-TblProd[[#This Row],[Lumber rot]],0)</f>
        <v>-5482</v>
      </c>
      <c r="W136" s="69" t="n">
        <f aca="false">ROUND(TblProd[[#This Row],[Raw Mana/hr]]*(1+TblProd[[#This Row],[Bonus Mana/hr]])-TblProd[[#This Row],[Mana drain]],0)</f>
        <v>-2892</v>
      </c>
      <c r="X136" s="69" t="n">
        <f aca="false">ROUNDDOWN(TblProd[[#This Row],[Raw Ore/hr]]*(1+TblProd[[#This Row],[Bonux Ore/hr]]),0)</f>
        <v>0</v>
      </c>
      <c r="Y136" s="69" t="n">
        <f aca="false">ROUNDDOWN(TblProd[[#This Row],[Raw Gems/hr]]*(1+TblProd[[#This Row],[Bonus Gems/hr]]),0)</f>
        <v>0</v>
      </c>
      <c r="Z136" s="148" t="n">
        <f aca="false">OFFSET(TblConstr[[#This Row],[Tot Doc]],1,0)*dock_boats_hr * (1 + tech_4_1*TblTech[[#This Row],[4-1]])</f>
        <v>0</v>
      </c>
      <c r="AA136" s="146"/>
      <c r="AB136" s="69" t="n">
        <f aca="false">TblPop[[#This Row],[Peasants]]*tax*TblPop[[#This Row],[Employment]] + (Construction!AZ137+Construction!BX137)*(alch_plat+(Magic!AM136&gt;0)*alchemist_flame_bonus)</f>
        <v>0</v>
      </c>
      <c r="AC136" s="69" t="n">
        <f aca="false">TblConstr[[#This Row],[Tot Farm]]*farm_food + TblConstr[[#This Row],[Tot Doc]]*dock_food</f>
        <v>3280</v>
      </c>
      <c r="AD136" s="69" t="n">
        <f aca="false">TblConstr[[#This Row],[Tot Ly]]*ly_lumber + TblConstr[[#This Row],[Tot Hav]]*fh_lumber</f>
        <v>1250</v>
      </c>
      <c r="AE136" s="69" t="n">
        <f aca="false">OFFSET(TblConstr[[#This Row],[Tot Tow]],1,0)*(tower_mana + tech_4_5*TblTech[[#This Row],[4-5]]) + OFFSET(TblConstr[[#This Row],[Tot WG]],1,0)*wg_mana_prod</f>
        <v>0</v>
      </c>
      <c r="AF136" s="69" t="n">
        <f aca="false">OFFSET(TblConstr[[#This Row],[Tot OM]],1,0)*om_ore+IF(race="Dwarf",ROUNDDOWN(TblMili[[#This Row],[Unit 2]]*0.4,0),)</f>
        <v>0</v>
      </c>
      <c r="AG136" s="69" t="n">
        <f aca="false">OFFSET(TblConstr[[#This Row],[Tot DM]],1,0)*dm_gems</f>
        <v>0</v>
      </c>
      <c r="AH136" s="132"/>
      <c r="AI136" s="149" t="n">
        <f aca="false">MIN(race_platinum_bonus + IF(TblMagic[[#This Row],[Active Alch Frost]]&gt;0,alch_frost_bonus,IF(Magic!AD136&gt;0,midas_bonus)) + TblImps[[#This Row],[Science]] - TblProd[[#This Row],[Guard]]*(0.02 + tech_5_7*TblTech[[#This Row],[5-7]]) + tech_1_5*TblTech[[#This Row],[1-5]] + tech_4_4*TblTech[[#This Row],[4-4]], 0.5)</f>
        <v>0</v>
      </c>
      <c r="AJ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K136" s="149" t="n">
        <f aca="false">race_lumber_bonus+ IF(TblMagic[[#This Row],[Active Gaia''s Blessing]]&gt;0,gaias_blessing_lumber)+ tech_1_3*TblTech[[#This Row],[1-3]] + tech_1_6*TblTech[[#This Row],[1-6]] + tech_3_3*TblTech[[#This Row],[3-3]]</f>
        <v>-0.1</v>
      </c>
      <c r="AL136" s="149" t="n">
        <f aca="false">race_mana_bonus+ 0 + TblImps[[#This Row],[Towers]] + tech_1_2*TblTech[[#This Row],[1-2]] + tech_3_4*TblTech[[#This Row],[3-4]]</f>
        <v>0</v>
      </c>
      <c r="AM136" s="149" t="n">
        <f aca="false">race_ore_bonus + IF(TblMagic[[#This Row],[Active Miner''s Sight]]&gt;0,miners_sight_bonus,IF(TblMagic[[#This Row],[Active Mining Strength]]&gt;0,mining_strength_bonus)) +  tech_1_6*TblTech[[#This Row],[1-6]]</f>
        <v>0</v>
      </c>
      <c r="AN136" s="149" t="n">
        <f aca="false">race_gem_bonus+ tech_3_2*TblTech[[#This Row],[3-2]] + tech_4_3*TblTech[[#This Row],[4-3]] + tech_6_2*TblTech[[#This Row],[6-2]]</f>
        <v>0.15</v>
      </c>
      <c r="AO136" s="132"/>
      <c r="AP136" s="69" t="n">
        <f aca="false">TblProd[[#This Row],[Food]]*food_decay * (1 + tech_2_1*TblTech[[#This Row],[2-1]] + tech_2_8*TblTech[[#This Row],[2-8]])</f>
        <v>2525.38</v>
      </c>
      <c r="AQ136" s="69" t="n">
        <f aca="false">(1+race_food_consumption)*TblPop[[#This Row],[Total]]*food_per_person*(1+tech_1_10*TblTech[[#This Row],[1-10]]+tech_7_5*TblTech[[#This Row],[7-5]])</f>
        <v>3162.25</v>
      </c>
      <c r="AR136" s="69" t="n">
        <f aca="false">TblProd[[#This Row],[Lumber]]*lumber_rot * (1 + tech_2_1*TblTech[[#This Row],[2-1]] + tech_2_8*TblTech[[#This Row],[2-8]] + tech_5_2*TblTech[[#This Row],[5-2]])</f>
        <v>6606.62</v>
      </c>
      <c r="AS136" s="69" t="n">
        <f aca="false">TblProd[[#This Row],[Mana]]*mana_drain * (1 + tech_2_1*TblTech[[#This Row],[2-1]] + tech_2_8*TblTech[[#This Row],[2-8]])</f>
        <v>2892.08</v>
      </c>
      <c r="AT136" s="146"/>
      <c r="AU136" s="69" t="n">
        <f aca="false">TblExplore[[#This Row],[Platinum (2)]]+TblConstr[[#This Row],[Total Plat Cost]]+TblMili[[#This Row],[Plat Cost]]+TblRezone[[#This Row],[Platinum cost]]+TblImps[[#This Row],[P1]]-TblProd[[#This Row],[Bank Plat]]</f>
        <v>-65340</v>
      </c>
      <c r="AV136" s="69" t="n">
        <f aca="false">TblConstr[[#This Row],[Total Lum Cost]]+TblImps[[#This Row],[L1]]-TblProd[[#This Row],[Bank Lumber]] + Military!$CL$25*TblMili[[#This Row],[Sec. rec. Cost]]</f>
        <v>-10800</v>
      </c>
      <c r="AW136" s="69" t="n">
        <f aca="false">TblMagic[[#This Row],[Mana cost]] + Military!$CL$26*TblMili[[#This Row],[Sec. rec. Cost]]</f>
        <v>0</v>
      </c>
      <c r="AX136" s="69" t="n">
        <f aca="false">Military!$CL$24*TblMili[[#This Row],[Sec. rec. Cost]]+TblImps[[#This Row],[O1]]-TblProd[[#This Row],[Bank Ore]]</f>
        <v>0</v>
      </c>
      <c r="AY136" s="69" t="n">
        <f aca="false">TblImps[[#This Row],[G1]]-TblProd[[#This Row],[Bank Gems]]</f>
        <v>0</v>
      </c>
      <c r="AZ136" s="132"/>
      <c r="BA136" s="33" t="n">
        <f aca="false">IF(TblProd[[#This Row],[Set Guard]]&lt;&gt;"",TblProd[[#This Row],[Set Guard]],OFFSET(TblProd[[#This Row],[Guard]],-1,0))</f>
        <v>0</v>
      </c>
      <c r="BB136" s="145"/>
      <c r="BC136" s="151" t="n">
        <f aca="false">TblProd[[#This Row],[Hour]]</f>
        <v>61</v>
      </c>
      <c r="BD136" s="152" t="n">
        <f aca="false">-TblProd[[#This Row],[Bank Lumber]] / 2 + -TblProd[[#This Row],[Bank Gems]] * 2 + -TblProd[[#This Row],[Bank Ore]] / 2</f>
        <v>0</v>
      </c>
      <c r="BE136" s="152"/>
      <c r="BF136" s="152"/>
      <c r="BG136" s="152"/>
      <c r="BH136" s="153" t="n">
        <f aca="false">TblProd[[#This Row],[Time]]</f>
        <v>45435.25</v>
      </c>
      <c r="BI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J136" s="69" t="n">
        <f aca="false">TblProd[[#This Row],[Platinum]]</f>
        <v>7448886</v>
      </c>
      <c r="BK136" s="69" t="n">
        <f aca="false">TblProd[[#This Row],[Food]]</f>
        <v>252538</v>
      </c>
      <c r="BL136" s="69" t="n">
        <f aca="false">TblProd[[#This Row],[Lumber]]</f>
        <v>660662</v>
      </c>
      <c r="BM136" s="69" t="n">
        <f aca="false">TblProd[[#This Row],[Mana]]</f>
        <v>144604</v>
      </c>
      <c r="BN136" s="69" t="n">
        <f aca="false">TblProd[[#This Row],[Ore]]</f>
        <v>-357</v>
      </c>
    </row>
    <row r="1269" customFormat="false" ht="12.75" hidden="false" customHeight="false" outlineLevel="0" collapsed="false">
      <c r="C1269" s="140" t="s">
        <v>24</v>
      </c>
      <c r="D1269" s="140"/>
      <c r="M1269" s="26"/>
    </row>
    <row r="1270" customFormat="false" ht="12.75" hidden="false" customHeight="false" outlineLevel="0" collapsed="false">
      <c r="C1270" s="124" t="n">
        <f aca="false">Overview!E17</f>
        <v>0</v>
      </c>
      <c r="D1270" s="124"/>
      <c r="E1270" s="163"/>
      <c r="F1270" s="163"/>
      <c r="G1270" s="163"/>
      <c r="H1270" s="163"/>
      <c r="I1270" s="163"/>
      <c r="J1270" s="163"/>
      <c r="K1270" s="163"/>
      <c r="L1270" s="26"/>
      <c r="M1270" s="164"/>
    </row>
  </sheetData>
  <mergeCells count="5">
    <mergeCell ref="T1:V1"/>
    <mergeCell ref="AB1:AC1"/>
    <mergeCell ref="AI1:AN1"/>
    <mergeCell ref="AU1:AV1"/>
    <mergeCell ref="C1269:D1269"/>
  </mergeCells>
  <conditionalFormatting sqref="A4:BN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R136">
    <cfRule type="expression" priority="5" aboveAverage="0" equalAverage="0" bottom="0" percent="0" rank="0" text="" dxfId="27">
      <formula>OR(ROW()-3=$C$1270,E4&lt;0)</formula>
    </cfRule>
  </conditionalFormatting>
  <conditionalFormatting sqref="V18619:BM29787 BN18583:IW29751 B137:BM447 BN8135:IW8135 B12456:BL20568 B12456:C20613 B8183:BM8183 BN137:IW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I4:BI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B4:BB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72C6C5EC-48D2-4D8D-8820-90365E3D37F1}">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 activePane="bottomLeft" state="frozen"/>
      <selection pane="topLeft" activeCell="F1" activeCellId="0" sqref="F1"/>
      <selection pane="bottomLeft" activeCell="P4" activeCellId="0" sqref="P4"/>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100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199</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32177</v>
      </c>
      <c r="AL12" s="69" t="n">
        <f aca="false">TblProd[[#This Row],[Lumber]]</f>
        <v>297</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38394</v>
      </c>
      <c r="AL13" s="69" t="n">
        <f aca="false">TblProd[[#This Row],[Lumber]]</f>
        <v>594</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44502.5</v>
      </c>
      <c r="AL14" s="69" t="n">
        <f aca="false">TblProd[[#This Row],[Lumber]]</f>
        <v>1291</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53587</v>
      </c>
      <c r="AL15" s="69" t="n">
        <f aca="false">TblProd[[#This Row],[Lumber]]</f>
        <v>2278</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39408</v>
      </c>
      <c r="AL16" s="69" t="n">
        <f aca="false">TblProd[[#This Row],[Lumber]]</f>
        <v>395</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49346</v>
      </c>
      <c r="AL17" s="69" t="n">
        <f aca="false">TblProd[[#This Row],[Lumber]]</f>
        <v>1391</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59563</v>
      </c>
      <c r="AL18" s="69" t="n">
        <f aca="false">TblProd[[#This Row],[Lumber]]</f>
        <v>2377</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70075</v>
      </c>
      <c r="AL19" s="69" t="n">
        <f aca="false">TblProd[[#This Row],[Lumber]]</f>
        <v>3353</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80898</v>
      </c>
      <c r="AL20" s="69" t="n">
        <f aca="false">TblProd[[#This Row],[Lumber]]</f>
        <v>4319</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21929</v>
      </c>
      <c r="AL21" s="69" t="n">
        <f aca="false">TblProd[[#This Row],[Lumber]]</f>
        <v>4148</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23317</v>
      </c>
      <c r="AL22" s="69" t="n">
        <f aca="false">TblProd[[#This Row],[Lumber]]</f>
        <v>4960</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24112</v>
      </c>
      <c r="AL23" s="69" t="n">
        <f aca="false">TblProd[[#This Row],[Lumber]]</f>
        <v>5763</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23628</v>
      </c>
      <c r="AL24" s="69" t="n">
        <f aca="false">TblProd[[#This Row],[Lumber]]</f>
        <v>6558</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30585</v>
      </c>
      <c r="AL25" s="69" t="n">
        <f aca="false">TblProd[[#This Row],[Lumber]]</f>
        <v>7345</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38772</v>
      </c>
      <c r="AL26" s="69" t="n">
        <f aca="false">TblProd[[#This Row],[Lumber]]</f>
        <v>8124</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41357</v>
      </c>
      <c r="AL27" s="69" t="n">
        <f aca="false">TblProd[[#This Row],[Lumber]]</f>
        <v>7883</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54909</v>
      </c>
      <c r="AL28" s="69" t="n">
        <f aca="false">TblProd[[#This Row],[Lumber]]</f>
        <v>8704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68958</v>
      </c>
      <c r="AL29" s="69" t="n">
        <f aca="false">TblProd[[#This Row],[Lumber]]</f>
        <v>9517</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85158</v>
      </c>
      <c r="AL30" s="69" t="n">
        <f aca="false">TblProd[[#This Row],[Lumber]]</f>
        <v>10322</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101920</v>
      </c>
      <c r="AL31" s="69" t="n">
        <f aca="false">TblProd[[#This Row],[Lumber]]</f>
        <v>11119</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93406</v>
      </c>
      <c r="AL32" s="69" t="n">
        <f aca="false">TblProd[[#This Row],[Lumber]]</f>
        <v>11908</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74370</v>
      </c>
      <c r="AL33" s="69" t="n">
        <f aca="false">TblProd[[#This Row],[Lumber]]</f>
        <v>8489</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77680</v>
      </c>
      <c r="AL34" s="69" t="n">
        <f aca="false">TblProd[[#This Row],[Lumber]]</f>
        <v>8757</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80670</v>
      </c>
      <c r="AL35" s="69" t="n">
        <f aca="false">TblProd[[#This Row],[Lumber]]</f>
        <v>8936</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83767</v>
      </c>
      <c r="AL36" s="69" t="n">
        <f aca="false">TblProd[[#This Row],[Lumber]]</f>
        <v>9102</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89772</v>
      </c>
      <c r="AL37" s="69" t="n">
        <f aca="false">TblProd[[#This Row],[Lumber]]</f>
        <v>9848</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95411</v>
      </c>
      <c r="AL38" s="69" t="n">
        <f aca="false">TblProd[[#This Row],[Lumber]]</f>
        <v>10653</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97049</v>
      </c>
      <c r="AL39" s="69" t="n">
        <f aca="false">TblProd[[#This Row],[Lumber]]</f>
        <v>10901</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103821</v>
      </c>
      <c r="AL40" s="69" t="n">
        <f aca="false">TblProd[[#This Row],[Lumber]]</f>
        <v>11827</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111534</v>
      </c>
      <c r="AL41" s="69" t="n">
        <f aca="false">TblProd[[#This Row],[Lumber]]</f>
        <v>12744</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118024</v>
      </c>
      <c r="AL42" s="69" t="n">
        <f aca="false">TblProd[[#This Row],[Lumber]]</f>
        <v>13652</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126043</v>
      </c>
      <c r="AL43" s="69" t="n">
        <f aca="false">TblProd[[#This Row],[Lumber]]</f>
        <v>14550</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-54</v>
      </c>
      <c r="C44" s="172" t="n">
        <f aca="false">SUM(TblConstr[[#This Row],[Tot Hom]:[Tot Doc]])</f>
        <v>299</v>
      </c>
      <c r="D44" s="172" t="n">
        <f aca="false">SUM(O33:AG44)</f>
        <v>202</v>
      </c>
      <c r="E44" s="173"/>
      <c r="F44" s="33" t="n">
        <f aca="false">TblConstr[[#This Row],[Barren]]+TblConstr[[#This Row],[Buildings]]+TblConstr[[#This Row],[Incoming]]</f>
        <v>447</v>
      </c>
      <c r="G44" s="199" t="n">
        <f aca="false">OFFSET(TblConstr[[#This Row],[Plain]],-1,0)+TblConstr[[#This Row],[Ch_Plain]]</f>
        <v>-81</v>
      </c>
      <c r="H44" s="193" t="n">
        <f aca="false">OFFSET(TblConstr[[#This Row],[Forest]],-1,0)+TblConstr[[#This Row],[Ch_Forest]]</f>
        <v>2</v>
      </c>
      <c r="I44" s="200" t="n">
        <f aca="false">OFFSET(TblConstr[[#This Row],[Mountain]],-1,0)+TblConstr[[#This Row],[Ch_Mountain]]</f>
        <v>3</v>
      </c>
      <c r="J44" s="201" t="n">
        <f aca="false">OFFSET(TblConstr[[#This Row],[Hill]],-1,0)+TblConstr[[#This Row],[Ch_Hill]]</f>
        <v>4</v>
      </c>
      <c r="K44" s="202" t="n">
        <f aca="false">OFFSET(TblConstr[[#This Row],[Swamp]],-1,0)+TblConstr[[#This Row],[Ch_Swamp]]</f>
        <v>5</v>
      </c>
      <c r="L44" s="197" t="n">
        <f aca="false">OFFSET(TblConstr[[#This Row],[Cavern]],-1,0)+TblConstr[[#This Row],[Ch_Cavern]]</f>
        <v>6</v>
      </c>
      <c r="M44" s="198" t="n">
        <f aca="false">OFFSET(TblConstr[[#This Row],[Water]],-1,0)+TblConstr[[#This Row],[Ch_Water]]</f>
        <v>7</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0.114093959731544</v>
      </c>
      <c r="AJ44" s="130" t="n">
        <f aca="false">MIN(25%,(TblConstr[[#This Row],[Tot Fac]]+TblConstr[[#This Row],[Dest Fac]])/TblConstr[[#This Row],[Land]])</f>
        <v>0.114093959731544</v>
      </c>
      <c r="AK44" s="69" t="n">
        <f aca="false">TblProd[[#This Row],[Platinum]]</f>
        <v>123382</v>
      </c>
      <c r="AL44" s="69" t="n">
        <f aca="false">TblProd[[#This Row],[Lumber]]</f>
        <v>13424</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438</v>
      </c>
      <c r="AN44" s="69" t="n">
        <f aca="false">ROUNDDOWN( MAX(1 - MIN(facs_constr_factor*TblConstr[[#This Row],[Facs -DB]],facs_constr_max) + tech_1_11*TblTech[[#This Row],[11-1]] + tech_6_3_2*TblTech[[#This Row],[6-3]] + tech_5_2_3*TblTech[[#This Row],[5-2]], 1-global_constr_cap) * TblConstr[[#This Row],[RCPA Lumber]],0)</f>
        <v>72</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438</v>
      </c>
      <c r="AP44" s="69" t="n">
        <f aca="false">ROUNDDOWN( MAX(1 - MIN(facs_constr_factor*TblConstr[[#This Row],[Facs DB]],facs_constr_max) + tech_1_11*TblTech[[#This Row],[1-11]] + tech_6_3_2*TblTech[[#This Row],[6-3]] + tech_5_2_3*TblTech[[#This Row],[5-2]], 1-global_constr_cap) * ROUND((TblConstr[[#This Row],[Land]]-250)*0.285 + 87.5 + 0/4.25,0),0)</f>
        <v>72</v>
      </c>
      <c r="AQ44" s="1" t="n">
        <f aca="false">TblConstr[[#This Row],[build -db]]*TblConstr[[#This Row],[CPA Platinum -DB]] + TblConstr[[#This Row],[build db]]*TblConstr[[#This Row],[CPA Platinum DB]]</f>
        <v>12264</v>
      </c>
      <c r="AR44" s="1" t="n">
        <f aca="false">TblConstr[[#This Row],[build -db]]*TblConstr[[#This Row],[CPA Lumber -DB]]+TblConstr[[#This Row],[build db]]*TblConstr[[#This Row],[CPA Lumber DB]]</f>
        <v>2016</v>
      </c>
      <c r="AS44" s="69" t="n">
        <f aca="false">MIN(SUM(OFFSET(TblConstr[[#This Row],[Plain]:[Water]],-1,0))+SUM(TblConstr[[#This Row],[Dest Hom]:[Dest Doc]])+IF(TblConstr[[#This Row],[Hour]]&gt;12,SUM(OFFSET(TblExplore[[#This Row],[Plains Explore]:[Water Explore]],-12,0)),0),SUM(TblConstr[[#This Row],[Hom]:[Doc]]))</f>
        <v>28</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1096</v>
      </c>
      <c r="AW44" s="69" t="n">
        <f aca="false">ROUND((TblConstr[[#This Row],[Land]]-250 - IF(TblExplore[[#This Row],[Land Bonus]]&lt;&gt;0,20,0))*0.285 + 87.5 + 0/4.25,0)</f>
        <v>144</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447</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-81</v>
      </c>
      <c r="CR44" s="193" t="n">
        <f aca="false">-SUM(TblConstr[[#This Row],[Ly]:[Hav]])+SUM(TblConstr[[#This Row],[Dest Ly]:[Dest Hav]]) +Rezone!M44 + IF("Ch_"&amp; home_land=TblConstr[[#Headers],[Ch_Forest]],TblConstr[[#This Row],[Home Land]])+IF(TblConstr[[#This Row],[Hour]:[Hour]]&gt;12,OFFSET(TblExplore[[#This Row],[Forest Explore]],-12,0),0)</f>
        <v>2</v>
      </c>
      <c r="CS44" s="200" t="n">
        <f aca="false">-SUM(TblConstr[[#This Row],[OM]:[GN]])+SUM(TblConstr[[#This Row],[Dest OM]:[Dest GN]]) +Rezone!N44 + IF("Ch_"&amp; home_land=TblConstr[[#Headers],[Ch_Mountain]],TblConstr[[#This Row],[Home Land]])+IF(TblConstr[[#This Row],[Hour]:[Hour]]&gt;12,OFFSET(TblExplore[[#This Row],[Mountain Explore]],-12,0),0)</f>
        <v>3</v>
      </c>
      <c r="CT44" s="195" t="n">
        <f aca="false">-SUM(TblConstr[[#This Row],[Fac]:[Shr]])+SUM(TblConstr[[#This Row],[Dest Fac]:[Dest Shr]]) +Rezone!O44 + IF("Ch_" &amp; home_land=TblConstr[[#Headers],[Ch_Hill]],TblConstr[[#This Row],[Home Land]])+IF(TblConstr[[#This Row],[Hour]:[Hour]]&gt;12,OFFSET(TblExplore[[#This Row],[Hill Explore]],-12,0),0)</f>
        <v>4</v>
      </c>
      <c r="CU44" s="196" t="n">
        <f aca="false">-SUM(TblConstr[[#This Row],[Tow]:[WG]])+SUM(TblConstr[[#This Row],[Dest Tow]:[Dest WG]]) +Rezone!P44 + IF("Ch_" &amp; home_land=TblConstr[[#Headers],[Ch_Swamp]],TblConstr[[#This Row],[Home Land]])+IF(TblConstr[[#This Row],[Hour]:[Hour]]&gt;12,OFFSET(TblExplore[[#This Row],[Swamp Explore]],-12,0),0)</f>
        <v>5</v>
      </c>
      <c r="CV44" s="197" t="n">
        <f aca="false">- SUM(TblConstr[[#This Row],[DM]:[Sch]])+SUM(TblConstr[[#This Row],[Dest DM]:[Dest Sch]]) +Rezone!Q44 + IF("Ch_" &amp; home_land=TblConstr[[#Headers],[Ch_Cavern]],TblConstr[[#This Row],[Home Land]])+IF(TblConstr[[#This Row],[Hour]:[Hour]]&gt;12,OFFSET(TblExplore[[#This Row],[Cavern Explore]],-12,0),0)</f>
        <v>6</v>
      </c>
      <c r="CW44" s="198" t="n">
        <f aca="false">-TblConstr[[#This Row],[Doc]]+TblConstr[[#This Row],[Dest Doc]] +Rezone!R44 + IF("Ch_" &amp; home_land=TblConstr[[#Headers],[Ch_Water]],TblConstr[[#This Row],[Home Land]])+IF(TblConstr[[#This Row],[Hour]:[Hour]]&gt;12,OFFSET(TblExplore[[#This Row],[Water Explore]],-12,0),0)</f>
        <v>7</v>
      </c>
      <c r="CX44" s="1" t="n">
        <f aca="false">IF(Explore!S44=1,20) - TblConstr[[#This Row],[Hom]] + TblConstr[[#This Row],[Dest Hom]]</f>
        <v>0</v>
      </c>
      <c r="CY44" s="132"/>
      <c r="CZ44" s="69" t="n">
        <f aca="false">G44+SUM(P33:S44)+SUM(AZ44:BC44)</f>
        <v>246</v>
      </c>
      <c r="DA44" s="69" t="n">
        <f aca="false">H44+SUM(T33:U44)+SUM(BD44:BE44)</f>
        <v>27</v>
      </c>
      <c r="DB44" s="1" t="n">
        <f aca="false">I44+SUM(V33:W44)+SUM(BF44:BG44)</f>
        <v>3</v>
      </c>
      <c r="DC44" s="69" t="n">
        <f aca="false">J44+SUM(X33:Y44)+SUM(BH44:BI44)</f>
        <v>71</v>
      </c>
      <c r="DD44" s="69" t="n">
        <f aca="false">K44+SUM(AB33:AD44)+SUM(BL44:BN44)</f>
        <v>77</v>
      </c>
      <c r="DE44" s="1" t="n">
        <f aca="false">L44+SUM(AE33:AE44)+BO44</f>
        <v>6</v>
      </c>
      <c r="DF44" s="69" t="n">
        <f aca="false">M44+SUM(AG33:AG44)+BQ44</f>
        <v>17</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-54</v>
      </c>
      <c r="C45" s="172" t="n">
        <f aca="false">SUM(TblConstr[[#This Row],[Tot Hom]:[Tot Doc]])</f>
        <v>369</v>
      </c>
      <c r="D45" s="172" t="n">
        <f aca="false">SUM(O34:AG45)</f>
        <v>141</v>
      </c>
      <c r="E45" s="173"/>
      <c r="F45" s="33" t="n">
        <f aca="false">TblConstr[[#This Row],[Barren]]+TblConstr[[#This Row],[Buildings]]+TblConstr[[#This Row],[Incoming]]</f>
        <v>456</v>
      </c>
      <c r="G45" s="199" t="n">
        <f aca="false">OFFSET(TblConstr[[#This Row],[Plain]],-1,0)+TblConstr[[#This Row],[Ch_Plain]]</f>
        <v>-81</v>
      </c>
      <c r="H45" s="193" t="n">
        <f aca="false">OFFSET(TblConstr[[#This Row],[Forest]],-1,0)+TblConstr[[#This Row],[Ch_Forest]]</f>
        <v>2</v>
      </c>
      <c r="I45" s="200" t="n">
        <f aca="false">OFFSET(TblConstr[[#This Row],[Mountain]],-1,0)+TblConstr[[#This Row],[Ch_Mountain]]</f>
        <v>3</v>
      </c>
      <c r="J45" s="201" t="n">
        <f aca="false">OFFSET(TblConstr[[#This Row],[Hill]],-1,0)+TblConstr[[#This Row],[Ch_Hill]]</f>
        <v>4</v>
      </c>
      <c r="K45" s="202" t="n">
        <f aca="false">OFFSET(TblConstr[[#This Row],[Swamp]],-1,0)+TblConstr[[#This Row],[Ch_Swamp]]</f>
        <v>5</v>
      </c>
      <c r="L45" s="197" t="n">
        <f aca="false">OFFSET(TblConstr[[#This Row],[Cavern]],-1,0)+TblConstr[[#This Row],[Ch_Cavern]]</f>
        <v>6</v>
      </c>
      <c r="M45" s="198" t="n">
        <f aca="false">OFFSET(TblConstr[[#This Row],[Water]],-1,0)+TblConstr[[#This Row],[Ch_Water]]</f>
        <v>7</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0.114035087719298</v>
      </c>
      <c r="AJ45" s="130" t="n">
        <f aca="false">MIN(25%,(TblConstr[[#This Row],[Tot Fac]]+TblConstr[[#This Row],[Dest Fac]])/TblConstr[[#This Row],[Land]])</f>
        <v>0.114035087719298</v>
      </c>
      <c r="AK45" s="69" t="n">
        <f aca="false">TblProd[[#This Row],[Platinum]]</f>
        <v>155975</v>
      </c>
      <c r="AL45" s="69" t="n">
        <f aca="false">TblProd[[#This Row],[Lumber]]</f>
        <v>17610</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443</v>
      </c>
      <c r="AN45" s="69" t="n">
        <f aca="false">ROUNDDOWN( MAX(1 - MIN(facs_constr_factor*TblConstr[[#This Row],[Facs -DB]],facs_constr_max) + tech_1_11*TblTech[[#This Row],[11-1]] + tech_6_3_2*TblTech[[#This Row],[6-3]] + tech_5_2_3*TblTech[[#This Row],[5-2]], 1-global_constr_cap) * TblConstr[[#This Row],[RCPA Lumber]],0)</f>
        <v>73</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443</v>
      </c>
      <c r="AP45" s="69" t="n">
        <f aca="false">ROUNDDOWN( MAX(1 - MIN(facs_constr_factor*TblConstr[[#This Row],[Facs DB]],facs_constr_max) + tech_1_11*TblTech[[#This Row],[1-11]] + tech_6_3_2*TblTech[[#This Row],[6-3]] + tech_5_2_3*TblTech[[#This Row],[5-2]], 1-global_constr_cap) * ROUND((TblConstr[[#This Row],[Land]]-250)*0.285 + 87.5 + 0/4.25,0),0)</f>
        <v>73</v>
      </c>
      <c r="AQ45" s="1" t="n">
        <f aca="false">TblConstr[[#This Row],[build -db]]*TblConstr[[#This Row],[CPA Platinum -DB]] + TblConstr[[#This Row],[build db]]*TblConstr[[#This Row],[CPA Platinum DB]]</f>
        <v>-19935</v>
      </c>
      <c r="AR45" s="1" t="n">
        <f aca="false">TblConstr[[#This Row],[build -db]]*TblConstr[[#This Row],[CPA Lumber -DB]]+TblConstr[[#This Row],[build db]]*TblConstr[[#This Row],[CPA Lumber DB]]</f>
        <v>-3285</v>
      </c>
      <c r="AS45" s="69" t="n">
        <f aca="false">MIN(SUM(OFFSET(TblConstr[[#This Row],[Plain]:[Water]],-1,0))+SUM(TblConstr[[#This Row],[Dest Hom]:[Dest Doc]])+IF(TblConstr[[#This Row],[Hour]]&gt;12,SUM(OFFSET(TblExplore[[#This Row],[Plains Explore]:[Water Explore]],-12,0)),0),SUM(TblConstr[[#This Row],[Hom]:[Doc]]))</f>
        <v>-45</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1108</v>
      </c>
      <c r="AW45" s="69" t="n">
        <f aca="false">ROUND((TblConstr[[#This Row],[Land]]-250 - IF(TblExplore[[#This Row],[Land Bonus]]&lt;&gt;0,20,0))*0.285 + 87.5 + 0/4.25,0)</f>
        <v>146</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456</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255</v>
      </c>
      <c r="DA45" s="69" t="n">
        <f aca="false">H45+SUM(T34:U45)+SUM(BD45:BE45)</f>
        <v>27</v>
      </c>
      <c r="DB45" s="1" t="n">
        <f aca="false">I45+SUM(V34:W45)+SUM(BF45:BG45)</f>
        <v>3</v>
      </c>
      <c r="DC45" s="69" t="n">
        <f aca="false">J45+SUM(X34:Y45)+SUM(BH45:BI45)</f>
        <v>71</v>
      </c>
      <c r="DD45" s="69" t="n">
        <f aca="false">K45+SUM(AB34:AD45)+SUM(BL45:BN45)</f>
        <v>77</v>
      </c>
      <c r="DE45" s="1" t="n">
        <f aca="false">L45+SUM(AE34:AE45)+BO45</f>
        <v>6</v>
      </c>
      <c r="DF45" s="69" t="n">
        <f aca="false">M45+SUM(AG34:AG45)+BQ45</f>
        <v>17</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-54</v>
      </c>
      <c r="C46" s="172" t="n">
        <f aca="false">SUM(TblConstr[[#This Row],[Tot Hom]:[Tot Doc]])</f>
        <v>380</v>
      </c>
      <c r="D46" s="172" t="n">
        <f aca="false">SUM(O35:AG46)</f>
        <v>140</v>
      </c>
      <c r="E46" s="173"/>
      <c r="F46" s="33" t="n">
        <f aca="false">TblConstr[[#This Row],[Barren]]+TblConstr[[#This Row],[Buildings]]+TblConstr[[#This Row],[Incoming]]</f>
        <v>466</v>
      </c>
      <c r="G46" s="199" t="n">
        <f aca="false">OFFSET(TblConstr[[#This Row],[Plain]],-1,0)+TblConstr[[#This Row],[Ch_Plain]]</f>
        <v>-81</v>
      </c>
      <c r="H46" s="193" t="n">
        <f aca="false">OFFSET(TblConstr[[#This Row],[Forest]],-1,0)+TblConstr[[#This Row],[Ch_Forest]]</f>
        <v>2</v>
      </c>
      <c r="I46" s="200" t="n">
        <f aca="false">OFFSET(TblConstr[[#This Row],[Mountain]],-1,0)+TblConstr[[#This Row],[Ch_Mountain]]</f>
        <v>3</v>
      </c>
      <c r="J46" s="201" t="n">
        <f aca="false">OFFSET(TblConstr[[#This Row],[Hill]],-1,0)+TblConstr[[#This Row],[Ch_Hill]]</f>
        <v>4</v>
      </c>
      <c r="K46" s="202" t="n">
        <f aca="false">OFFSET(TblConstr[[#This Row],[Swamp]],-1,0)+TblConstr[[#This Row],[Ch_Swamp]]</f>
        <v>5</v>
      </c>
      <c r="L46" s="197" t="n">
        <f aca="false">OFFSET(TblConstr[[#This Row],[Cavern]],-1,0)+TblConstr[[#This Row],[Ch_Cavern]]</f>
        <v>6</v>
      </c>
      <c r="M46" s="198" t="n">
        <f aca="false">OFFSET(TblConstr[[#This Row],[Water]],-1,0)+TblConstr[[#This Row],[Ch_Water]]</f>
        <v>7</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0.113733905579399</v>
      </c>
      <c r="AJ46" s="130" t="n">
        <f aca="false">MIN(25%,(TblConstr[[#This Row],[Tot Fac]]+TblConstr[[#This Row],[Dest Fac]])/TblConstr[[#This Row],[Land]])</f>
        <v>0.113733905579399</v>
      </c>
      <c r="AK46" s="69" t="n">
        <f aca="false">TblProd[[#This Row],[Platinum]]</f>
        <v>196488</v>
      </c>
      <c r="AL46" s="69" t="n">
        <f aca="false">TblProd[[#This Row],[Lumber]]</f>
        <v>21815</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448</v>
      </c>
      <c r="AN46" s="69" t="n">
        <f aca="false">ROUNDDOWN( MAX(1 - MIN(facs_constr_factor*TblConstr[[#This Row],[Facs -DB]],facs_constr_max) + tech_1_11*TblTech[[#This Row],[11-1]] + tech_6_3_2*TblTech[[#This Row],[6-3]] + tech_5_2_3*TblTech[[#This Row],[5-2]], 1-global_constr_cap) * TblConstr[[#This Row],[RCPA Lumber]],0)</f>
        <v>74</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448</v>
      </c>
      <c r="AP46" s="69" t="n">
        <f aca="false">ROUNDDOWN( MAX(1 - MIN(facs_constr_factor*TblConstr[[#This Row],[Facs DB]],facs_constr_max) + tech_1_11*TblTech[[#This Row],[1-11]] + tech_6_3_2*TblTech[[#This Row],[6-3]] + tech_5_2_3*TblTech[[#This Row],[5-2]], 1-global_constr_cap) * ROUND((TblConstr[[#This Row],[Land]]-250)*0.285 + 87.5 + 0/4.25,0),0)</f>
        <v>74</v>
      </c>
      <c r="AQ46" s="1" t="n">
        <f aca="false">TblConstr[[#This Row],[build -db]]*TblConstr[[#This Row],[CPA Platinum -DB]] + TblConstr[[#This Row],[build db]]*TblConstr[[#This Row],[CPA Platinum DB]]</f>
        <v>-19712</v>
      </c>
      <c r="AR46" s="1" t="n">
        <f aca="false">TblConstr[[#This Row],[build -db]]*TblConstr[[#This Row],[CPA Lumber -DB]]+TblConstr[[#This Row],[build db]]*TblConstr[[#This Row],[CPA Lumber DB]]</f>
        <v>-3256</v>
      </c>
      <c r="AS46" s="69" t="n">
        <f aca="false">MIN(SUM(OFFSET(TblConstr[[#This Row],[Plain]:[Water]],-1,0))+SUM(TblConstr[[#This Row],[Dest Hom]:[Dest Doc]])+IF(TblConstr[[#This Row],[Hour]]&gt;12,SUM(OFFSET(TblExplore[[#This Row],[Plains Explore]:[Water Explore]],-12,0)),0),SUM(TblConstr[[#This Row],[Hom]:[Doc]]))</f>
        <v>-44</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1120</v>
      </c>
      <c r="AW46" s="69" t="n">
        <f aca="false">ROUND((TblConstr[[#This Row],[Land]]-250 - IF(TblExplore[[#This Row],[Land Bonus]]&lt;&gt;0,20,0))*0.285 + 87.5 + 0/4.25,0)</f>
        <v>149</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466</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265</v>
      </c>
      <c r="DA46" s="69" t="n">
        <f aca="false">H46+SUM(T35:U46)+SUM(BD46:BE46)</f>
        <v>27</v>
      </c>
      <c r="DB46" s="1" t="n">
        <f aca="false">I46+SUM(V35:W46)+SUM(BF46:BG46)</f>
        <v>3</v>
      </c>
      <c r="DC46" s="69" t="n">
        <f aca="false">J46+SUM(X35:Y46)+SUM(BH46:BI46)</f>
        <v>71</v>
      </c>
      <c r="DD46" s="69" t="n">
        <f aca="false">K46+SUM(AB35:AD46)+SUM(BL46:BN46)</f>
        <v>77</v>
      </c>
      <c r="DE46" s="1" t="n">
        <f aca="false">L46+SUM(AE35:AE46)+BO46</f>
        <v>6</v>
      </c>
      <c r="DF46" s="69" t="n">
        <f aca="false">M46+SUM(AG35:AG46)+BQ46</f>
        <v>17</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-54</v>
      </c>
      <c r="C47" s="172" t="n">
        <f aca="false">SUM(TblConstr[[#This Row],[Tot Hom]:[Tot Doc]])</f>
        <v>392</v>
      </c>
      <c r="D47" s="172" t="n">
        <f aca="false">SUM(O36:AG47)</f>
        <v>138</v>
      </c>
      <c r="E47" s="173"/>
      <c r="F47" s="33" t="n">
        <f aca="false">TblConstr[[#This Row],[Barren]]+TblConstr[[#This Row],[Buildings]]+TblConstr[[#This Row],[Incoming]]</f>
        <v>476</v>
      </c>
      <c r="G47" s="199" t="n">
        <f aca="false">OFFSET(TblConstr[[#This Row],[Plain]],-1,0)+TblConstr[[#This Row],[Ch_Plain]]</f>
        <v>-81</v>
      </c>
      <c r="H47" s="193" t="n">
        <f aca="false">OFFSET(TblConstr[[#This Row],[Forest]],-1,0)+TblConstr[[#This Row],[Ch_Forest]]</f>
        <v>2</v>
      </c>
      <c r="I47" s="200" t="n">
        <f aca="false">OFFSET(TblConstr[[#This Row],[Mountain]],-1,0)+TblConstr[[#This Row],[Ch_Mountain]]</f>
        <v>3</v>
      </c>
      <c r="J47" s="201" t="n">
        <f aca="false">OFFSET(TblConstr[[#This Row],[Hill]],-1,0)+TblConstr[[#This Row],[Ch_Hill]]</f>
        <v>4</v>
      </c>
      <c r="K47" s="202" t="n">
        <f aca="false">OFFSET(TblConstr[[#This Row],[Swamp]],-1,0)+TblConstr[[#This Row],[Ch_Swamp]]</f>
        <v>5</v>
      </c>
      <c r="L47" s="197" t="n">
        <f aca="false">OFFSET(TblConstr[[#This Row],[Cavern]],-1,0)+TblConstr[[#This Row],[Ch_Cavern]]</f>
        <v>6</v>
      </c>
      <c r="M47" s="198" t="n">
        <f aca="false">OFFSET(TblConstr[[#This Row],[Water]],-1,0)+TblConstr[[#This Row],[Ch_Water]]</f>
        <v>7</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0.113445378151261</v>
      </c>
      <c r="AJ47" s="130" t="n">
        <f aca="false">MIN(25%,(TblConstr[[#This Row],[Tot Fac]]+TblConstr[[#This Row],[Dest Fac]])/TblConstr[[#This Row],[Land]])</f>
        <v>0.113445378151261</v>
      </c>
      <c r="AK47" s="69" t="n">
        <f aca="false">TblProd[[#This Row],[Platinum]]</f>
        <v>253003</v>
      </c>
      <c r="AL47" s="69" t="n">
        <f aca="false">TblProd[[#This Row],[Lumber]]</f>
        <v>26066</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453</v>
      </c>
      <c r="AN47" s="69" t="n">
        <f aca="false">ROUNDDOWN( MAX(1 - MIN(facs_constr_factor*TblConstr[[#This Row],[Facs -DB]],facs_constr_max) + tech_1_11*TblTech[[#This Row],[11-1]] + tech_6_3_2*TblTech[[#This Row],[6-3]] + tech_5_2_3*TblTech[[#This Row],[5-2]], 1-global_constr_cap) * TblConstr[[#This Row],[RCPA Lumber]],0)</f>
        <v>76</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453</v>
      </c>
      <c r="AP47" s="69" t="n">
        <f aca="false">ROUNDDOWN( MAX(1 - MIN(facs_constr_factor*TblConstr[[#This Row],[Facs DB]],facs_constr_max) + tech_1_11*TblTech[[#This Row],[1-11]] + tech_6_3_2*TblTech[[#This Row],[6-3]] + tech_5_2_3*TblTech[[#This Row],[5-2]], 1-global_constr_cap) * ROUND((TblConstr[[#This Row],[Land]]-250)*0.285 + 87.5 + 0/4.25,0),0)</f>
        <v>76</v>
      </c>
      <c r="AQ47" s="1" t="n">
        <f aca="false">TblConstr[[#This Row],[build -db]]*TblConstr[[#This Row],[CPA Platinum -DB]] + TblConstr[[#This Row],[build db]]*TblConstr[[#This Row],[CPA Platinum DB]]</f>
        <v>-19932</v>
      </c>
      <c r="AR47" s="1" t="n">
        <f aca="false">TblConstr[[#This Row],[build -db]]*TblConstr[[#This Row],[CPA Lumber -DB]]+TblConstr[[#This Row],[build db]]*TblConstr[[#This Row],[CPA Lumber DB]]</f>
        <v>-3344</v>
      </c>
      <c r="AS47" s="69" t="n">
        <f aca="false">MIN(SUM(OFFSET(TblConstr[[#This Row],[Plain]:[Water]],-1,0))+SUM(TblConstr[[#This Row],[Dest Hom]:[Dest Doc]])+IF(TblConstr[[#This Row],[Hour]]&gt;12,SUM(OFFSET(TblExplore[[#This Row],[Plains Explore]:[Water Explore]],-12,0)),0),SUM(TblConstr[[#This Row],[Hom]:[Doc]]))</f>
        <v>-44</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1133</v>
      </c>
      <c r="AW47" s="69" t="n">
        <f aca="false">ROUND((TblConstr[[#This Row],[Land]]-250 - IF(TblExplore[[#This Row],[Land Bonus]]&lt;&gt;0,20,0))*0.285 + 87.5 + 0/4.25,0)</f>
        <v>152</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476</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275</v>
      </c>
      <c r="DA47" s="69" t="n">
        <f aca="false">H47+SUM(T36:U47)+SUM(BD47:BE47)</f>
        <v>27</v>
      </c>
      <c r="DB47" s="1" t="n">
        <f aca="false">I47+SUM(V36:W47)+SUM(BF47:BG47)</f>
        <v>3</v>
      </c>
      <c r="DC47" s="69" t="n">
        <f aca="false">J47+SUM(X36:Y47)+SUM(BH47:BI47)</f>
        <v>71</v>
      </c>
      <c r="DD47" s="69" t="n">
        <f aca="false">K47+SUM(AB36:AD47)+SUM(BL47:BN47)</f>
        <v>77</v>
      </c>
      <c r="DE47" s="1" t="n">
        <f aca="false">L47+SUM(AE36:AE47)+BO47</f>
        <v>6</v>
      </c>
      <c r="DF47" s="69" t="n">
        <f aca="false">M47+SUM(AG36:AG47)+BQ47</f>
        <v>17</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-54</v>
      </c>
      <c r="C48" s="172" t="n">
        <f aca="false">SUM(TblConstr[[#This Row],[Tot Hom]:[Tot Doc]])</f>
        <v>404</v>
      </c>
      <c r="D48" s="172" t="n">
        <f aca="false">SUM(O37:AG48)</f>
        <v>136</v>
      </c>
      <c r="E48" s="173"/>
      <c r="F48" s="33" t="n">
        <f aca="false">TblConstr[[#This Row],[Barren]]+TblConstr[[#This Row],[Buildings]]+TblConstr[[#This Row],[Incoming]]</f>
        <v>486</v>
      </c>
      <c r="G48" s="199" t="n">
        <f aca="false">OFFSET(TblConstr[[#This Row],[Plain]],-1,0)+TblConstr[[#This Row],[Ch_Plain]]</f>
        <v>-81</v>
      </c>
      <c r="H48" s="193" t="n">
        <f aca="false">OFFSET(TblConstr[[#This Row],[Forest]],-1,0)+TblConstr[[#This Row],[Ch_Forest]]</f>
        <v>2</v>
      </c>
      <c r="I48" s="200" t="n">
        <f aca="false">OFFSET(TblConstr[[#This Row],[Mountain]],-1,0)+TblConstr[[#This Row],[Ch_Mountain]]</f>
        <v>3</v>
      </c>
      <c r="J48" s="201" t="n">
        <f aca="false">OFFSET(TblConstr[[#This Row],[Hill]],-1,0)+TblConstr[[#This Row],[Ch_Hill]]</f>
        <v>4</v>
      </c>
      <c r="K48" s="202" t="n">
        <f aca="false">OFFSET(TblConstr[[#This Row],[Swamp]],-1,0)+TblConstr[[#This Row],[Ch_Swamp]]</f>
        <v>5</v>
      </c>
      <c r="L48" s="197" t="n">
        <f aca="false">OFFSET(TblConstr[[#This Row],[Cavern]],-1,0)+TblConstr[[#This Row],[Ch_Cavern]]</f>
        <v>6</v>
      </c>
      <c r="M48" s="198" t="n">
        <f aca="false">OFFSET(TblConstr[[#This Row],[Water]],-1,0)+TblConstr[[#This Row],[Ch_Water]]</f>
        <v>7</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0.113168724279835</v>
      </c>
      <c r="AJ48" s="130" t="n">
        <f aca="false">MIN(25%,(TblConstr[[#This Row],[Tot Fac]]+TblConstr[[#This Row],[Dest Fac]])/TblConstr[[#This Row],[Land]])</f>
        <v>0.113168724279835</v>
      </c>
      <c r="AK48" s="69" t="n">
        <f aca="false">TblProd[[#This Row],[Platinum]]</f>
        <v>310894</v>
      </c>
      <c r="AL48" s="69" t="n">
        <f aca="false">TblProd[[#This Row],[Lumber]]</f>
        <v>30318</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458</v>
      </c>
      <c r="AN48" s="69" t="n">
        <f aca="false">ROUNDDOWN( MAX(1 - MIN(facs_constr_factor*TblConstr[[#This Row],[Facs -DB]],facs_constr_max) + tech_1_11*TblTech[[#This Row],[11-1]] + tech_6_3_2*TblTech[[#This Row],[6-3]] + tech_5_2_3*TblTech[[#This Row],[5-2]], 1-global_constr_cap) * TblConstr[[#This Row],[RCPA Lumber]],0)</f>
        <v>77</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458</v>
      </c>
      <c r="AP48" s="69" t="n">
        <f aca="false">ROUNDDOWN( MAX(1 - MIN(facs_constr_factor*TblConstr[[#This Row],[Facs DB]],facs_constr_max) + tech_1_11*TblTech[[#This Row],[1-11]] + tech_6_3_2*TblTech[[#This Row],[6-3]] + tech_5_2_3*TblTech[[#This Row],[5-2]], 1-global_constr_cap) * ROUND((TblConstr[[#This Row],[Land]]-250)*0.285 + 87.5 + 0/4.25,0),0)</f>
        <v>77</v>
      </c>
      <c r="AQ48" s="1" t="n">
        <f aca="false">TblConstr[[#This Row],[build -db]]*TblConstr[[#This Row],[CPA Platinum -DB]] + TblConstr[[#This Row],[build db]]*TblConstr[[#This Row],[CPA Platinum DB]]</f>
        <v>-20152</v>
      </c>
      <c r="AR48" s="1" t="n">
        <f aca="false">TblConstr[[#This Row],[build -db]]*TblConstr[[#This Row],[CPA Lumber -DB]]+TblConstr[[#This Row],[build db]]*TblConstr[[#This Row],[CPA Lumber DB]]</f>
        <v>-3388</v>
      </c>
      <c r="AS48" s="69" t="n">
        <f aca="false">MIN(SUM(OFFSET(TblConstr[[#This Row],[Plain]:[Water]],-1,0))+SUM(TblConstr[[#This Row],[Dest Hom]:[Dest Doc]])+IF(TblConstr[[#This Row],[Hour]]&gt;12,SUM(OFFSET(TblExplore[[#This Row],[Plains Explore]:[Water Explore]],-12,0)),0),SUM(TblConstr[[#This Row],[Hom]:[Doc]]))</f>
        <v>-44</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1145</v>
      </c>
      <c r="AW48" s="69" t="n">
        <f aca="false">ROUND((TblConstr[[#This Row],[Land]]-250 - IF(TblExplore[[#This Row],[Land Bonus]]&lt;&gt;0,20,0))*0.285 + 87.5 + 0/4.25,0)</f>
        <v>155</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486</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285</v>
      </c>
      <c r="DA48" s="69" t="n">
        <f aca="false">H48+SUM(T37:U48)+SUM(BD48:BE48)</f>
        <v>27</v>
      </c>
      <c r="DB48" s="1" t="n">
        <f aca="false">I48+SUM(V37:W48)+SUM(BF48:BG48)</f>
        <v>3</v>
      </c>
      <c r="DC48" s="69" t="n">
        <f aca="false">J48+SUM(X37:Y48)+SUM(BH48:BI48)</f>
        <v>71</v>
      </c>
      <c r="DD48" s="69" t="n">
        <f aca="false">K48+SUM(AB37:AD48)+SUM(BL48:BN48)</f>
        <v>77</v>
      </c>
      <c r="DE48" s="1" t="n">
        <f aca="false">L48+SUM(AE37:AE48)+BO48</f>
        <v>6</v>
      </c>
      <c r="DF48" s="69" t="n">
        <f aca="false">M48+SUM(AG37:AG48)+BQ48</f>
        <v>17</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-54</v>
      </c>
      <c r="C49" s="172" t="n">
        <f aca="false">SUM(TblConstr[[#This Row],[Tot Hom]:[Tot Doc]])</f>
        <v>407</v>
      </c>
      <c r="D49" s="172" t="n">
        <f aca="false">SUM(O38:AG49)</f>
        <v>144</v>
      </c>
      <c r="E49" s="173"/>
      <c r="F49" s="33" t="n">
        <f aca="false">TblConstr[[#This Row],[Barren]]+TblConstr[[#This Row],[Buildings]]+TblConstr[[#This Row],[Incoming]]</f>
        <v>497</v>
      </c>
      <c r="G49" s="199" t="n">
        <f aca="false">OFFSET(TblConstr[[#This Row],[Plain]],-1,0)+TblConstr[[#This Row],[Ch_Plain]]</f>
        <v>-81</v>
      </c>
      <c r="H49" s="193" t="n">
        <f aca="false">OFFSET(TblConstr[[#This Row],[Forest]],-1,0)+TblConstr[[#This Row],[Ch_Forest]]</f>
        <v>2</v>
      </c>
      <c r="I49" s="200" t="n">
        <f aca="false">OFFSET(TblConstr[[#This Row],[Mountain]],-1,0)+TblConstr[[#This Row],[Ch_Mountain]]</f>
        <v>3</v>
      </c>
      <c r="J49" s="201" t="n">
        <f aca="false">OFFSET(TblConstr[[#This Row],[Hill]],-1,0)+TblConstr[[#This Row],[Ch_Hill]]</f>
        <v>4</v>
      </c>
      <c r="K49" s="202" t="n">
        <f aca="false">OFFSET(TblConstr[[#This Row],[Swamp]],-1,0)+TblConstr[[#This Row],[Ch_Swamp]]</f>
        <v>5</v>
      </c>
      <c r="L49" s="197" t="n">
        <f aca="false">OFFSET(TblConstr[[#This Row],[Cavern]],-1,0)+TblConstr[[#This Row],[Ch_Cavern]]</f>
        <v>6</v>
      </c>
      <c r="M49" s="198" t="n">
        <f aca="false">OFFSET(TblConstr[[#This Row],[Water]],-1,0)+TblConstr[[#This Row],[Ch_Water]]</f>
        <v>7</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0.112676056338028</v>
      </c>
      <c r="AJ49" s="130" t="n">
        <f aca="false">MIN(25%,(TblConstr[[#This Row],[Tot Fac]]+TblConstr[[#This Row],[Dest Fac]])/TblConstr[[#This Row],[Land]])</f>
        <v>0.112676056338028</v>
      </c>
      <c r="AK49" s="69" t="n">
        <f aca="false">TblProd[[#This Row],[Platinum]]</f>
        <v>369076</v>
      </c>
      <c r="AL49" s="69" t="n">
        <f aca="false">TblProd[[#This Row],[Lumber]]</f>
        <v>34537</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463</v>
      </c>
      <c r="AN49" s="69" t="n">
        <f aca="false">ROUNDDOWN( MAX(1 - MIN(facs_constr_factor*TblConstr[[#This Row],[Facs -DB]],facs_constr_max) + tech_1_11*TblTech[[#This Row],[11-1]] + tech_6_3_2*TblTech[[#This Row],[6-3]] + tech_5_2_3*TblTech[[#This Row],[5-2]], 1-global_constr_cap) * TblConstr[[#This Row],[RCPA Lumber]],0)</f>
        <v>79</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463</v>
      </c>
      <c r="AP49" s="69" t="n">
        <f aca="false">ROUNDDOWN( MAX(1 - MIN(facs_constr_factor*TblConstr[[#This Row],[Facs DB]],facs_constr_max) + tech_1_11*TblTech[[#This Row],[1-11]] + tech_6_3_2*TblTech[[#This Row],[6-3]] + tech_5_2_3*TblTech[[#This Row],[5-2]], 1-global_constr_cap) * ROUND((TblConstr[[#This Row],[Land]]-250)*0.285 + 87.5 + 0/4.25,0),0)</f>
        <v>79</v>
      </c>
      <c r="AQ49" s="1" t="n">
        <f aca="false">TblConstr[[#This Row],[build -db]]*TblConstr[[#This Row],[CPA Platinum -DB]] + TblConstr[[#This Row],[build db]]*TblConstr[[#This Row],[CPA Platinum DB]]</f>
        <v>-19909</v>
      </c>
      <c r="AR49" s="1" t="n">
        <f aca="false">TblConstr[[#This Row],[build -db]]*TblConstr[[#This Row],[CPA Lumber -DB]]+TblConstr[[#This Row],[build db]]*TblConstr[[#This Row],[CPA Lumber DB]]</f>
        <v>-3397</v>
      </c>
      <c r="AS49" s="69" t="n">
        <f aca="false">MIN(SUM(OFFSET(TblConstr[[#This Row],[Plain]:[Water]],-1,0))+SUM(TblConstr[[#This Row],[Dest Hom]:[Dest Doc]])+IF(TblConstr[[#This Row],[Hour]]&gt;12,SUM(OFFSET(TblExplore[[#This Row],[Plains Explore]:[Water Explore]],-12,0)),0),SUM(TblConstr[[#This Row],[Hom]:[Doc]]))</f>
        <v>-43</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1159</v>
      </c>
      <c r="AW49" s="69" t="n">
        <f aca="false">ROUND((TblConstr[[#This Row],[Land]]-250 - IF(TblExplore[[#This Row],[Land Bonus]]&lt;&gt;0,20,0))*0.285 + 87.5 + 0/4.25,0)</f>
        <v>158</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497</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296</v>
      </c>
      <c r="DA49" s="69" t="n">
        <f aca="false">H49+SUM(T38:U49)+SUM(BD49:BE49)</f>
        <v>27</v>
      </c>
      <c r="DB49" s="1" t="n">
        <f aca="false">I49+SUM(V38:W49)+SUM(BF49:BG49)</f>
        <v>3</v>
      </c>
      <c r="DC49" s="69" t="n">
        <f aca="false">J49+SUM(X38:Y49)+SUM(BH49:BI49)</f>
        <v>71</v>
      </c>
      <c r="DD49" s="69" t="n">
        <f aca="false">K49+SUM(AB38:AD49)+SUM(BL49:BN49)</f>
        <v>77</v>
      </c>
      <c r="DE49" s="1" t="n">
        <f aca="false">L49+SUM(AE38:AE49)+BO49</f>
        <v>6</v>
      </c>
      <c r="DF49" s="69" t="n">
        <f aca="false">M49+SUM(AG38:AG49)+BQ49</f>
        <v>17</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-54</v>
      </c>
      <c r="C50" s="172" t="n">
        <f aca="false">SUM(TblConstr[[#This Row],[Tot Hom]:[Tot Doc]])</f>
        <v>409</v>
      </c>
      <c r="D50" s="172" t="n">
        <f aca="false">SUM(O39:AG50)</f>
        <v>154</v>
      </c>
      <c r="E50" s="173"/>
      <c r="F50" s="33" t="n">
        <f aca="false">TblConstr[[#This Row],[Barren]]+TblConstr[[#This Row],[Buildings]]+TblConstr[[#This Row],[Incoming]]</f>
        <v>509</v>
      </c>
      <c r="G50" s="199" t="n">
        <f aca="false">OFFSET(TblConstr[[#This Row],[Plain]],-1,0)+TblConstr[[#This Row],[Ch_Plain]]</f>
        <v>-81</v>
      </c>
      <c r="H50" s="193" t="n">
        <f aca="false">OFFSET(TblConstr[[#This Row],[Forest]],-1,0)+TblConstr[[#This Row],[Ch_Forest]]</f>
        <v>2</v>
      </c>
      <c r="I50" s="200" t="n">
        <f aca="false">OFFSET(TblConstr[[#This Row],[Mountain]],-1,0)+TblConstr[[#This Row],[Ch_Mountain]]</f>
        <v>3</v>
      </c>
      <c r="J50" s="201" t="n">
        <f aca="false">OFFSET(TblConstr[[#This Row],[Hill]],-1,0)+TblConstr[[#This Row],[Ch_Hill]]</f>
        <v>4</v>
      </c>
      <c r="K50" s="202" t="n">
        <f aca="false">OFFSET(TblConstr[[#This Row],[Swamp]],-1,0)+TblConstr[[#This Row],[Ch_Swamp]]</f>
        <v>5</v>
      </c>
      <c r="L50" s="197" t="n">
        <f aca="false">OFFSET(TblConstr[[#This Row],[Cavern]],-1,0)+TblConstr[[#This Row],[Ch_Cavern]]</f>
        <v>6</v>
      </c>
      <c r="M50" s="198" t="n">
        <f aca="false">OFFSET(TblConstr[[#This Row],[Water]],-1,0)+TblConstr[[#This Row],[Ch_Water]]</f>
        <v>7</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0.111984282907662</v>
      </c>
      <c r="AJ50" s="130" t="n">
        <f aca="false">MIN(25%,(TblConstr[[#This Row],[Tot Fac]]+TblConstr[[#This Row],[Dest Fac]])/TblConstr[[#This Row],[Land]])</f>
        <v>0.111984282907662</v>
      </c>
      <c r="AK50" s="69" t="n">
        <f aca="false">TblProd[[#This Row],[Platinum]]</f>
        <v>427306</v>
      </c>
      <c r="AL50" s="69" t="n">
        <f aca="false">TblProd[[#This Row],[Lumber]]</f>
        <v>38677</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469</v>
      </c>
      <c r="AN50" s="69" t="n">
        <f aca="false">ROUNDDOWN( MAX(1 - MIN(facs_constr_factor*TblConstr[[#This Row],[Facs -DB]],facs_constr_max) + tech_1_11*TblTech[[#This Row],[11-1]] + tech_6_3_2*TblTech[[#This Row],[6-3]] + tech_5_2_3*TblTech[[#This Row],[5-2]], 1-global_constr_cap) * TblConstr[[#This Row],[RCPA Lumber]],0)</f>
        <v>80</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469</v>
      </c>
      <c r="AP50" s="69" t="n">
        <f aca="false">ROUNDDOWN( MAX(1 - MIN(facs_constr_factor*TblConstr[[#This Row],[Facs DB]],facs_constr_max) + tech_1_11*TblTech[[#This Row],[1-11]] + tech_6_3_2*TblTech[[#This Row],[6-3]] + tech_5_2_3*TblTech[[#This Row],[5-2]], 1-global_constr_cap) * ROUND((TblConstr[[#This Row],[Land]]-250)*0.285 + 87.5 + 0/4.25,0),0)</f>
        <v>80</v>
      </c>
      <c r="AQ50" s="1" t="n">
        <f aca="false">TblConstr[[#This Row],[build -db]]*TblConstr[[#This Row],[CPA Platinum -DB]] + TblConstr[[#This Row],[build db]]*TblConstr[[#This Row],[CPA Platinum DB]]</f>
        <v>-19698</v>
      </c>
      <c r="AR50" s="1" t="n">
        <f aca="false">TblConstr[[#This Row],[build -db]]*TblConstr[[#This Row],[CPA Lumber -DB]]+TblConstr[[#This Row],[build db]]*TblConstr[[#This Row],[CPA Lumber DB]]</f>
        <v>-3360</v>
      </c>
      <c r="AS50" s="69" t="n">
        <f aca="false">MIN(SUM(OFFSET(TblConstr[[#This Row],[Plain]:[Water]],-1,0))+SUM(TblConstr[[#This Row],[Dest Hom]:[Dest Doc]])+IF(TblConstr[[#This Row],[Hour]]&gt;12,SUM(OFFSET(TblExplore[[#This Row],[Plains Explore]:[Water Explore]],-12,0)),0),SUM(TblConstr[[#This Row],[Hom]:[Doc]]))</f>
        <v>-42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1174</v>
      </c>
      <c r="AW50" s="69" t="n">
        <f aca="false">ROUND((TblConstr[[#This Row],[Land]]-250 - IF(TblExplore[[#This Row],[Land Bonus]]&lt;&gt;0,20,0))*0.285 + 87.5 + 0/4.25,0)</f>
        <v>161</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509</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308</v>
      </c>
      <c r="DA50" s="69" t="n">
        <f aca="false">H50+SUM(T39:U50)+SUM(BD50:BE50)</f>
        <v>27</v>
      </c>
      <c r="DB50" s="1" t="n">
        <f aca="false">I50+SUM(V39:W50)+SUM(BF50:BG50)</f>
        <v>3</v>
      </c>
      <c r="DC50" s="69" t="n">
        <f aca="false">J50+SUM(X39:Y50)+SUM(BH50:BI50)</f>
        <v>71</v>
      </c>
      <c r="DD50" s="69" t="n">
        <f aca="false">K50+SUM(AB39:AD50)+SUM(BL50:BN50)</f>
        <v>77</v>
      </c>
      <c r="DE50" s="1" t="n">
        <f aca="false">L50+SUM(AE39:AE50)+BO50</f>
        <v>6</v>
      </c>
      <c r="DF50" s="69" t="n">
        <f aca="false">M50+SUM(AG39:AG50)+BQ50</f>
        <v>17</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-54</v>
      </c>
      <c r="C51" s="172" t="n">
        <f aca="false">SUM(TblConstr[[#This Row],[Tot Hom]:[Tot Doc]])</f>
        <v>419</v>
      </c>
      <c r="D51" s="172" t="n">
        <f aca="false">SUM(O40:AG51)</f>
        <v>177</v>
      </c>
      <c r="E51" s="173"/>
      <c r="F51" s="33" t="n">
        <f aca="false">TblConstr[[#This Row],[Barren]]+TblConstr[[#This Row],[Buildings]]+TblConstr[[#This Row],[Incoming]]</f>
        <v>542</v>
      </c>
      <c r="G51" s="199" t="n">
        <f aca="false">OFFSET(TblConstr[[#This Row],[Plain]],-1,0)+TblConstr[[#This Row],[Ch_Plain]]</f>
        <v>-81</v>
      </c>
      <c r="H51" s="193" t="n">
        <f aca="false">OFFSET(TblConstr[[#This Row],[Forest]],-1,0)+TblConstr[[#This Row],[Ch_Forest]]</f>
        <v>2</v>
      </c>
      <c r="I51" s="200" t="n">
        <f aca="false">OFFSET(TblConstr[[#This Row],[Mountain]],-1,0)+TblConstr[[#This Row],[Ch_Mountain]]</f>
        <v>3</v>
      </c>
      <c r="J51" s="201" t="n">
        <f aca="false">OFFSET(TblConstr[[#This Row],[Hill]],-1,0)+TblConstr[[#This Row],[Ch_Hill]]</f>
        <v>4</v>
      </c>
      <c r="K51" s="202" t="n">
        <f aca="false">OFFSET(TblConstr[[#This Row],[Swamp]],-1,0)+TblConstr[[#This Row],[Ch_Swamp]]</f>
        <v>5</v>
      </c>
      <c r="L51" s="197" t="n">
        <f aca="false">OFFSET(TblConstr[[#This Row],[Cavern]],-1,0)+TblConstr[[#This Row],[Ch_Cavern]]</f>
        <v>6</v>
      </c>
      <c r="M51" s="198" t="n">
        <f aca="false">OFFSET(TblConstr[[#This Row],[Water]],-1,0)+TblConstr[[#This Row],[Ch_Water]]</f>
        <v>7</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0.128352490421456</v>
      </c>
      <c r="AJ51" s="130" t="n">
        <f aca="false">MIN(25%,(TblConstr[[#This Row],[Tot Fac]]+TblConstr[[#This Row],[Dest Fac]])/TblConstr[[#This Row],[Land]])</f>
        <v>0.123616236162362</v>
      </c>
      <c r="AK51" s="69" t="n">
        <f aca="false">TblProd[[#This Row],[Platinum]]</f>
        <v>509289</v>
      </c>
      <c r="AL51" s="69" t="n">
        <f aca="false">TblProd[[#This Row],[Lumber]]</f>
        <v>41077</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476</v>
      </c>
      <c r="AN51" s="69" t="n">
        <f aca="false">ROUNDDOWN( MAX(1 - MIN(facs_constr_factor*TblConstr[[#This Row],[Facs -DB]],facs_constr_max) + tech_1_11*TblTech[[#This Row],[11-1]] + tech_6_3_2*TblTech[[#This Row],[6-3]] + tech_5_2_3*TblTech[[#This Row],[5-2]], 1-global_constr_cap) * TblConstr[[#This Row],[RCPA Lumber]],0)</f>
        <v>82</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486</v>
      </c>
      <c r="AP51" s="69" t="n">
        <f aca="false">ROUNDDOWN( MAX(1 - MIN(facs_constr_factor*TblConstr[[#This Row],[Facs DB]],facs_constr_max) + tech_1_11*TblTech[[#This Row],[1-11]] + tech_6_3_2*TblTech[[#This Row],[6-3]] + tech_5_2_3*TblTech[[#This Row],[5-2]], 1-global_constr_cap) * ROUND((TblConstr[[#This Row],[Land]]-250)*0.285 + 87.5 + 0/4.25,0),0)</f>
        <v>85</v>
      </c>
      <c r="AQ51" s="1" t="n">
        <f aca="false">TblConstr[[#This Row],[build -db]]*TblConstr[[#This Row],[CPA Platinum -DB]] + TblConstr[[#This Row],[build db]]*TblConstr[[#This Row],[CPA Platinum DB]]</f>
        <v>-9796</v>
      </c>
      <c r="AR51" s="1" t="n">
        <f aca="false">TblConstr[[#This Row],[build -db]]*TblConstr[[#This Row],[CPA Lumber -DB]]+TblConstr[[#This Row],[build db]]*TblConstr[[#This Row],[CPA Lumber DB]]</f>
        <v>-1662</v>
      </c>
      <c r="AS51" s="69" t="n">
        <f aca="false">MIN(SUM(OFFSET(TblConstr[[#This Row],[Plain]:[Water]],-1,0))+SUM(TblConstr[[#This Row],[Dest Hom]:[Dest Doc]])+IF(TblConstr[[#This Row],[Hour]]&gt;12,SUM(OFFSET(TblExplore[[#This Row],[Plains Explore]:[Water Explore]],-12,0)),0),SUM(TblConstr[[#This Row],[Hom]:[Doc]]))</f>
        <v>-41</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1190</v>
      </c>
      <c r="AW51" s="69" t="n">
        <f aca="false">ROUND((TblConstr[[#This Row],[Land]]-250 - IF(TblExplore[[#This Row],[Land Bonus]]&lt;&gt;0,20,0))*0.285 + 87.5 + 0/4.25,0)</f>
        <v>165</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542</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321</v>
      </c>
      <c r="DA51" s="69" t="n">
        <f aca="false">H51+SUM(T40:U51)+SUM(BD51:BE51)</f>
        <v>27</v>
      </c>
      <c r="DB51" s="1" t="n">
        <f aca="false">I51+SUM(V40:W51)+SUM(BF51:BG51)</f>
        <v>3</v>
      </c>
      <c r="DC51" s="69" t="n">
        <f aca="false">J51+SUM(X40:Y51)+SUM(BH51:BI51)</f>
        <v>71</v>
      </c>
      <c r="DD51" s="69" t="n">
        <f aca="false">K51+SUM(AB40:AD51)+SUM(BL51:BN51)</f>
        <v>77</v>
      </c>
      <c r="DE51" s="1" t="n">
        <f aca="false">L51+SUM(AE40:AE51)+BO51</f>
        <v>6</v>
      </c>
      <c r="DF51" s="69" t="n">
        <f aca="false">M51+SUM(AG40:AG51)+BQ51</f>
        <v>17</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-54</v>
      </c>
      <c r="C52" s="172" t="n">
        <f aca="false">SUM(TblConstr[[#This Row],[Tot Hom]:[Tot Doc]])</f>
        <v>419</v>
      </c>
      <c r="D52" s="172" t="n">
        <f aca="false">SUM(O41:AG52)</f>
        <v>210</v>
      </c>
      <c r="E52" s="173"/>
      <c r="F52" s="33" t="n">
        <f aca="false">TblConstr[[#This Row],[Barren]]+TblConstr[[#This Row],[Buildings]]+TblConstr[[#This Row],[Incoming]]</f>
        <v>575</v>
      </c>
      <c r="G52" s="199" t="n">
        <f aca="false">OFFSET(TblConstr[[#This Row],[Plain]],-1,0)+TblConstr[[#This Row],[Ch_Plain]]</f>
        <v>-81</v>
      </c>
      <c r="H52" s="193" t="n">
        <f aca="false">OFFSET(TblConstr[[#This Row],[Forest]],-1,0)+TblConstr[[#This Row],[Ch_Forest]]</f>
        <v>2</v>
      </c>
      <c r="I52" s="200" t="n">
        <f aca="false">OFFSET(TblConstr[[#This Row],[Mountain]],-1,0)+TblConstr[[#This Row],[Ch_Mountain]]</f>
        <v>3</v>
      </c>
      <c r="J52" s="201" t="n">
        <f aca="false">OFFSET(TblConstr[[#This Row],[Hill]],-1,0)+TblConstr[[#This Row],[Ch_Hill]]</f>
        <v>4</v>
      </c>
      <c r="K52" s="202" t="n">
        <f aca="false">OFFSET(TblConstr[[#This Row],[Swamp]],-1,0)+TblConstr[[#This Row],[Ch_Swamp]]</f>
        <v>5</v>
      </c>
      <c r="L52" s="197" t="n">
        <f aca="false">OFFSET(TblConstr[[#This Row],[Cavern]],-1,0)+TblConstr[[#This Row],[Ch_Cavern]]</f>
        <v>6</v>
      </c>
      <c r="M52" s="198" t="n">
        <f aca="false">OFFSET(TblConstr[[#This Row],[Water]],-1,0)+TblConstr[[#This Row],[Ch_Water]]</f>
        <v>7</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0.120720720720721</v>
      </c>
      <c r="AJ52" s="130" t="n">
        <f aca="false">MIN(25%,(TblConstr[[#This Row],[Tot Fac]]+TblConstr[[#This Row],[Dest Fac]])/TblConstr[[#This Row],[Land]])</f>
        <v>0.116521739130435</v>
      </c>
      <c r="AK52" s="69" t="n">
        <f aca="false">TblProd[[#This Row],[Platinum]]</f>
        <v>558603</v>
      </c>
      <c r="AL52" s="69" t="n">
        <f aca="false">TblProd[[#This Row],[Lumber]]</f>
        <v>43558</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492</v>
      </c>
      <c r="AN52" s="69" t="n">
        <f aca="false">ROUNDDOWN( MAX(1 - MIN(facs_constr_factor*TblConstr[[#This Row],[Facs -DB]],facs_constr_max) + tech_1_11*TblTech[[#This Row],[11-1]] + tech_6_3_2*TblTech[[#This Row],[6-3]] + tech_5_2_3*TblTech[[#This Row],[5-2]], 1-global_constr_cap) * TblConstr[[#This Row],[RCPA Lumber]],0)</f>
        <v>87</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502</v>
      </c>
      <c r="AP52" s="69" t="n">
        <f aca="false">ROUNDDOWN( MAX(1 - MIN(facs_constr_factor*TblConstr[[#This Row],[Facs DB]],facs_constr_max) + tech_1_11*TblTech[[#This Row],[1-11]] + tech_6_3_2*TblTech[[#This Row],[6-3]] + tech_5_2_3*TblTech[[#This Row],[5-2]], 1-global_constr_cap) * ROUND((TblConstr[[#This Row],[Land]]-250)*0.285 + 87.5 + 0/4.25,0),0)</f>
        <v>90</v>
      </c>
      <c r="AQ52" s="1" t="n">
        <f aca="false">TblConstr[[#This Row],[build -db]]*TblConstr[[#This Row],[CPA Platinum -DB]] + TblConstr[[#This Row],[build db]]*TblConstr[[#This Row],[CPA Platinum DB]]</f>
        <v>-10132</v>
      </c>
      <c r="AR52" s="1" t="n">
        <f aca="false">TblConstr[[#This Row],[build -db]]*TblConstr[[#This Row],[CPA Lumber -DB]]+TblConstr[[#This Row],[build db]]*TblConstr[[#This Row],[CPA Lumber DB]]</f>
        <v>-1767</v>
      </c>
      <c r="AS52" s="69" t="n">
        <f aca="false">MIN(SUM(OFFSET(TblConstr[[#This Row],[Plain]:[Water]],-1,0))+SUM(TblConstr[[#This Row],[Dest Hom]:[Dest Doc]])+IF(TblConstr[[#This Row],[Hour]]&gt;12,SUM(OFFSET(TblExplore[[#This Row],[Plains Explore]:[Water Explore]],-12,0)),0),SUM(TblConstr[[#This Row],[Hom]:[Doc]]))</f>
        <v>-41</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1231</v>
      </c>
      <c r="AW52" s="69" t="n">
        <f aca="false">ROUND((TblConstr[[#This Row],[Land]]-250 - IF(TblExplore[[#This Row],[Land Bonus]]&lt;&gt;0,20,0))*0.285 + 87.5 + 0/4.25,0)</f>
        <v>174</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575</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334</v>
      </c>
      <c r="DA52" s="69" t="n">
        <f aca="false">H52+SUM(T41:U52)+SUM(BD52:BE52)</f>
        <v>27</v>
      </c>
      <c r="DB52" s="1" t="n">
        <f aca="false">I52+SUM(V41:W52)+SUM(BF52:BG52)</f>
        <v>3</v>
      </c>
      <c r="DC52" s="69" t="n">
        <f aca="false">J52+SUM(X41:Y52)+SUM(BH52:BI52)</f>
        <v>71</v>
      </c>
      <c r="DD52" s="69" t="n">
        <f aca="false">K52+SUM(AB41:AD52)+SUM(BL52:BN52)</f>
        <v>77</v>
      </c>
      <c r="DE52" s="1" t="n">
        <f aca="false">L52+SUM(AE41:AE52)+BO52</f>
        <v>6</v>
      </c>
      <c r="DF52" s="69" t="n">
        <f aca="false">M52+SUM(AG41:AG52)+BQ52</f>
        <v>17</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-54</v>
      </c>
      <c r="C53" s="172" t="n">
        <f aca="false">SUM(TblConstr[[#This Row],[Tot Hom]:[Tot Doc]])</f>
        <v>419</v>
      </c>
      <c r="D53" s="172" t="n">
        <f aca="false">SUM(O42:AG53)</f>
        <v>223</v>
      </c>
      <c r="E53" s="173"/>
      <c r="F53" s="33" t="n">
        <f aca="false">TblConstr[[#This Row],[Barren]]+TblConstr[[#This Row],[Buildings]]+TblConstr[[#This Row],[Incoming]]</f>
        <v>588</v>
      </c>
      <c r="G53" s="199" t="n">
        <f aca="false">OFFSET(TblConstr[[#This Row],[Plain]],-1,0)+TblConstr[[#This Row],[Ch_Plain]]</f>
        <v>-81</v>
      </c>
      <c r="H53" s="193" t="n">
        <f aca="false">OFFSET(TblConstr[[#This Row],[Forest]],-1,0)+TblConstr[[#This Row],[Ch_Forest]]</f>
        <v>2</v>
      </c>
      <c r="I53" s="200" t="n">
        <f aca="false">OFFSET(TblConstr[[#This Row],[Mountain]],-1,0)+TblConstr[[#This Row],[Ch_Mountain]]</f>
        <v>3</v>
      </c>
      <c r="J53" s="201" t="n">
        <f aca="false">OFFSET(TblConstr[[#This Row],[Hill]],-1,0)+TblConstr[[#This Row],[Ch_Hill]]</f>
        <v>4</v>
      </c>
      <c r="K53" s="202" t="n">
        <f aca="false">OFFSET(TblConstr[[#This Row],[Swamp]],-1,0)+TblConstr[[#This Row],[Ch_Swamp]]</f>
        <v>5</v>
      </c>
      <c r="L53" s="197" t="n">
        <f aca="false">OFFSET(TblConstr[[#This Row],[Cavern]],-1,0)+TblConstr[[#This Row],[Ch_Cavern]]</f>
        <v>6</v>
      </c>
      <c r="M53" s="198" t="n">
        <f aca="false">OFFSET(TblConstr[[#This Row],[Water]],-1,0)+TblConstr[[#This Row],[Ch_Water]]</f>
        <v>7</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0.113945578231293</v>
      </c>
      <c r="AJ53" s="130" t="n">
        <f aca="false">MIN(25%,(TblConstr[[#This Row],[Tot Fac]]+TblConstr[[#This Row],[Dest Fac]])/TblConstr[[#This Row],[Land]])</f>
        <v>0.113945578231293</v>
      </c>
      <c r="AK53" s="69" t="n">
        <f aca="false">TblProd[[#This Row],[Platinum]]</f>
        <v>619774</v>
      </c>
      <c r="AL53" s="69" t="n">
        <f aca="false">TblProd[[#This Row],[Lumber]]</f>
        <v>48019</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509</v>
      </c>
      <c r="AN53" s="69" t="n">
        <f aca="false">ROUNDDOWN( MAX(1 - MIN(facs_constr_factor*TblConstr[[#This Row],[Facs -DB]],facs_constr_max) + tech_1_11*TblTech[[#This Row],[11-1]] + tech_6_3_2*TblTech[[#This Row],[6-3]] + tech_5_2_3*TblTech[[#This Row],[5-2]], 1-global_constr_cap) * TblConstr[[#This Row],[RCPA Lumber]],0)</f>
        <v>92</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509</v>
      </c>
      <c r="AP53" s="69" t="n">
        <f aca="false">ROUNDDOWN( MAX(1 - MIN(facs_constr_factor*TblConstr[[#This Row],[Facs DB]],facs_constr_max) + tech_1_11*TblTech[[#This Row],[1-11]] + tech_6_3_2*TblTech[[#This Row],[6-3]] + tech_5_2_3*TblTech[[#This Row],[5-2]], 1-global_constr_cap) * ROUND((TblConstr[[#This Row],[Land]]-250)*0.285 + 87.5 + 0/4.25,0),0)</f>
        <v>92</v>
      </c>
      <c r="AQ53" s="1" t="n">
        <f aca="false">TblConstr[[#This Row],[build -db]]*TblConstr[[#This Row],[CPA Platinum -DB]] + TblConstr[[#This Row],[build db]]*TblConstr[[#This Row],[CPA Platinum DB]]</f>
        <v>-20869</v>
      </c>
      <c r="AR53" s="1" t="n">
        <f aca="false">TblConstr[[#This Row],[build -db]]*TblConstr[[#This Row],[CPA Lumber -DB]]+TblConstr[[#This Row],[build db]]*TblConstr[[#This Row],[CPA Lumber DB]]</f>
        <v>-3772</v>
      </c>
      <c r="AS53" s="69" t="n">
        <f aca="false">MIN(SUM(OFFSET(TblConstr[[#This Row],[Plain]:[Water]],-1,0))+SUM(TblConstr[[#This Row],[Dest Hom]:[Dest Doc]])+IF(TblConstr[[#This Row],[Hour]]&gt;12,SUM(OFFSET(TblExplore[[#This Row],[Plains Explore]:[Water Explore]],-12,0)),0),SUM(TblConstr[[#This Row],[Hom]:[Doc]]))</f>
        <v>-41</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1273</v>
      </c>
      <c r="AW53" s="69" t="n">
        <f aca="false">ROUND((TblConstr[[#This Row],[Land]]-250 - IF(TblExplore[[#This Row],[Land Bonus]]&lt;&gt;0,20,0))*0.285 + 87.5 + 0/4.25,0)</f>
        <v>184</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588</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341</v>
      </c>
      <c r="DA53" s="69" t="n">
        <f aca="false">H53+SUM(T42:U53)+SUM(BD53:BE53)</f>
        <v>27</v>
      </c>
      <c r="DB53" s="1" t="n">
        <f aca="false">I53+SUM(V42:W53)+SUM(BF53:BG53)</f>
        <v>3</v>
      </c>
      <c r="DC53" s="69" t="n">
        <f aca="false">J53+SUM(X42:Y53)+SUM(BH53:BI53)</f>
        <v>71</v>
      </c>
      <c r="DD53" s="69" t="n">
        <f aca="false">K53+SUM(AB42:AD53)+SUM(BL53:BN53)</f>
        <v>77</v>
      </c>
      <c r="DE53" s="1" t="n">
        <f aca="false">L53+SUM(AE42:AE53)+BO53</f>
        <v>6</v>
      </c>
      <c r="DF53" s="69" t="n">
        <f aca="false">M53+SUM(AG42:AG53)+BQ53</f>
        <v>23</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-54</v>
      </c>
      <c r="C54" s="172" t="n">
        <f aca="false">SUM(TblConstr[[#This Row],[Tot Hom]:[Tot Doc]])</f>
        <v>419</v>
      </c>
      <c r="D54" s="172" t="n">
        <f aca="false">SUM(O43:AG54)</f>
        <v>237</v>
      </c>
      <c r="E54" s="173"/>
      <c r="F54" s="33" t="n">
        <f aca="false">TblConstr[[#This Row],[Barren]]+TblConstr[[#This Row],[Buildings]]+TblConstr[[#This Row],[Incoming]]</f>
        <v>602</v>
      </c>
      <c r="G54" s="199" t="n">
        <f aca="false">OFFSET(TblConstr[[#This Row],[Plain]],-1,0)+TblConstr[[#This Row],[Ch_Plain]]</f>
        <v>-81</v>
      </c>
      <c r="H54" s="193" t="n">
        <f aca="false">OFFSET(TblConstr[[#This Row],[Forest]],-1,0)+TblConstr[[#This Row],[Ch_Forest]]</f>
        <v>2</v>
      </c>
      <c r="I54" s="200" t="n">
        <f aca="false">OFFSET(TblConstr[[#This Row],[Mountain]],-1,0)+TblConstr[[#This Row],[Ch_Mountain]]</f>
        <v>3</v>
      </c>
      <c r="J54" s="201" t="n">
        <f aca="false">OFFSET(TblConstr[[#This Row],[Hill]],-1,0)+TblConstr[[#This Row],[Ch_Hill]]</f>
        <v>4</v>
      </c>
      <c r="K54" s="202" t="n">
        <f aca="false">OFFSET(TblConstr[[#This Row],[Swamp]],-1,0)+TblConstr[[#This Row],[Ch_Swamp]]</f>
        <v>5</v>
      </c>
      <c r="L54" s="197" t="n">
        <f aca="false">OFFSET(TblConstr[[#This Row],[Cavern]],-1,0)+TblConstr[[#This Row],[Ch_Cavern]]</f>
        <v>6</v>
      </c>
      <c r="M54" s="198" t="n">
        <f aca="false">OFFSET(TblConstr[[#This Row],[Water]],-1,0)+TblConstr[[#This Row],[Ch_Water]]</f>
        <v>7</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0.111295681063123</v>
      </c>
      <c r="AJ54" s="130" t="n">
        <f aca="false">MIN(25%,(TblConstr[[#This Row],[Tot Fac]]+TblConstr[[#This Row],[Dest Fac]])/TblConstr[[#This Row],[Land]])</f>
        <v>0.111295681063123</v>
      </c>
      <c r="AK54" s="69" t="n">
        <f aca="false">TblProd[[#This Row],[Platinum]]</f>
        <v>680716</v>
      </c>
      <c r="AL54" s="69" t="n">
        <f aca="false">TblProd[[#This Row],[Lumber]]</f>
        <v>52424</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516</v>
      </c>
      <c r="AN54" s="69" t="n">
        <f aca="false">ROUNDDOWN( MAX(1 - MIN(facs_constr_factor*TblConstr[[#This Row],[Facs -DB]],facs_constr_max) + tech_1_11*TblTech[[#This Row],[11-1]] + tech_6_3_2*TblTech[[#This Row],[6-3]] + tech_5_2_3*TblTech[[#This Row],[5-2]], 1-global_constr_cap) * TblConstr[[#This Row],[RCPA Lumber]],0)</f>
        <v>94</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516</v>
      </c>
      <c r="AP54" s="69" t="n">
        <f aca="false">ROUNDDOWN( MAX(1 - MIN(facs_constr_factor*TblConstr[[#This Row],[Facs DB]],facs_constr_max) + tech_1_11*TblTech[[#This Row],[1-11]] + tech_6_3_2*TblTech[[#This Row],[6-3]] + tech_5_2_3*TblTech[[#This Row],[5-2]], 1-global_constr_cap) * ROUND((TblConstr[[#This Row],[Land]]-250)*0.285 + 87.5 + 0/4.25,0),0)</f>
        <v>94</v>
      </c>
      <c r="AQ54" s="1" t="n">
        <f aca="false">TblConstr[[#This Row],[build -db]]*TblConstr[[#This Row],[CPA Platinum -DB]] + TblConstr[[#This Row],[build db]]*TblConstr[[#This Row],[CPA Platinum DB]]</f>
        <v>-20640</v>
      </c>
      <c r="AR54" s="1" t="n">
        <f aca="false">TblConstr[[#This Row],[build -db]]*TblConstr[[#This Row],[CPA Lumber -DB]]+TblConstr[[#This Row],[build db]]*TblConstr[[#This Row],[CPA Lumber DB]]</f>
        <v>-3760</v>
      </c>
      <c r="AS54" s="69" t="n">
        <f aca="false">MIN(SUM(OFFSET(TblConstr[[#This Row],[Plain]:[Water]],-1,0))+SUM(TblConstr[[#This Row],[Dest Hom]:[Dest Doc]])+IF(TblConstr[[#This Row],[Hour]]&gt;12,SUM(OFFSET(TblExplore[[#This Row],[Plains Explore]:[Water Explore]],-12,0)),0),SUM(TblConstr[[#This Row],[Hom]:[Doc]]))</f>
        <v>-40</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1290</v>
      </c>
      <c r="AW54" s="69" t="n">
        <f aca="false">ROUND((TblConstr[[#This Row],[Land]]-250 - IF(TblExplore[[#This Row],[Land Bonus]]&lt;&gt;0,20,0))*0.285 + 87.5 + 0/4.25,0)</f>
        <v>188</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602</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347</v>
      </c>
      <c r="DA54" s="69" t="n">
        <f aca="false">H54+SUM(T43:U54)+SUM(BD54:BE54)</f>
        <v>27</v>
      </c>
      <c r="DB54" s="1" t="n">
        <f aca="false">I54+SUM(V43:W54)+SUM(BF54:BG54)</f>
        <v>3</v>
      </c>
      <c r="DC54" s="69" t="n">
        <f aca="false">J54+SUM(X43:Y54)+SUM(BH54:BI54)</f>
        <v>71</v>
      </c>
      <c r="DD54" s="69" t="n">
        <f aca="false">K54+SUM(AB43:AD54)+SUM(BL54:BN54)</f>
        <v>77</v>
      </c>
      <c r="DE54" s="1" t="n">
        <f aca="false">L54+SUM(AE43:AE54)+BO54</f>
        <v>6</v>
      </c>
      <c r="DF54" s="69" t="n">
        <f aca="false">M54+SUM(AG43:AG54)+BQ54</f>
        <v>31</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-54</v>
      </c>
      <c r="C55" s="172" t="n">
        <f aca="false">SUM(TblConstr[[#This Row],[Tot Hom]:[Tot Doc]])</f>
        <v>419</v>
      </c>
      <c r="D55" s="172" t="n">
        <f aca="false">SUM(O44:AG55)</f>
        <v>250</v>
      </c>
      <c r="E55" s="173"/>
      <c r="F55" s="33" t="n">
        <f aca="false">TblConstr[[#This Row],[Barren]]+TblConstr[[#This Row],[Buildings]]+TblConstr[[#This Row],[Incoming]]</f>
        <v>615</v>
      </c>
      <c r="G55" s="199" t="n">
        <f aca="false">OFFSET(TblConstr[[#This Row],[Plain]],-1,0)+TblConstr[[#This Row],[Ch_Plain]]</f>
        <v>-81</v>
      </c>
      <c r="H55" s="193" t="n">
        <f aca="false">OFFSET(TblConstr[[#This Row],[Forest]],-1,0)+TblConstr[[#This Row],[Ch_Forest]]</f>
        <v>2</v>
      </c>
      <c r="I55" s="200" t="n">
        <f aca="false">OFFSET(TblConstr[[#This Row],[Mountain]],-1,0)+TblConstr[[#This Row],[Ch_Mountain]]</f>
        <v>3</v>
      </c>
      <c r="J55" s="201" t="n">
        <f aca="false">OFFSET(TblConstr[[#This Row],[Hill]],-1,0)+TblConstr[[#This Row],[Ch_Hill]]</f>
        <v>4</v>
      </c>
      <c r="K55" s="202" t="n">
        <f aca="false">OFFSET(TblConstr[[#This Row],[Swamp]],-1,0)+TblConstr[[#This Row],[Ch_Swamp]]</f>
        <v>5</v>
      </c>
      <c r="L55" s="197" t="n">
        <f aca="false">OFFSET(TblConstr[[#This Row],[Cavern]],-1,0)+TblConstr[[#This Row],[Ch_Cavern]]</f>
        <v>6</v>
      </c>
      <c r="M55" s="198" t="n">
        <f aca="false">OFFSET(TblConstr[[#This Row],[Water]],-1,0)+TblConstr[[#This Row],[Ch_Water]]</f>
        <v>7</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0.108943089430894</v>
      </c>
      <c r="AJ55" s="130" t="n">
        <f aca="false">MIN(25%,(TblConstr[[#This Row],[Tot Fac]]+TblConstr[[#This Row],[Dest Fac]])/TblConstr[[#This Row],[Land]])</f>
        <v>0.108943089430894</v>
      </c>
      <c r="AK55" s="69" t="n">
        <f aca="false">TblProd[[#This Row],[Platinum]]</f>
        <v>742420</v>
      </c>
      <c r="AL55" s="69" t="n">
        <f aca="false">TblProd[[#This Row],[Lumber]]</f>
        <v>56961</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522</v>
      </c>
      <c r="AN55" s="69" t="n">
        <f aca="false">ROUNDDOWN( MAX(1 - MIN(facs_constr_factor*TblConstr[[#This Row],[Facs -DB]],facs_constr_max) + tech_1_11*TblTech[[#This Row],[11-1]] + tech_6_3_2*TblTech[[#This Row],[6-3]] + tech_5_2_3*TblTech[[#This Row],[5-2]], 1-global_constr_cap) * TblConstr[[#This Row],[RCPA Lumber]],0)</f>
        <v>96</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522</v>
      </c>
      <c r="AP55" s="69" t="n">
        <f aca="false">ROUNDDOWN( MAX(1 - MIN(facs_constr_factor*TblConstr[[#This Row],[Facs DB]],facs_constr_max) + tech_1_11*TblTech[[#This Row],[1-11]] + tech_6_3_2*TblTech[[#This Row],[6-3]] + tech_5_2_3*TblTech[[#This Row],[5-2]], 1-global_constr_cap) * ROUND((TblConstr[[#This Row],[Land]]-250)*0.285 + 87.5 + 0/4.25,0),0)</f>
        <v>96</v>
      </c>
      <c r="AQ55" s="1" t="n">
        <f aca="false">TblConstr[[#This Row],[build -db]]*TblConstr[[#This Row],[CPA Platinum -DB]] + TblConstr[[#This Row],[build db]]*TblConstr[[#This Row],[CPA Platinum DB]]</f>
        <v>-21402</v>
      </c>
      <c r="AR55" s="1" t="n">
        <f aca="false">TblConstr[[#This Row],[build -db]]*TblConstr[[#This Row],[CPA Lumber -DB]]+TblConstr[[#This Row],[build db]]*TblConstr[[#This Row],[CPA Lumber DB]]</f>
        <v>-3936</v>
      </c>
      <c r="AS55" s="69" t="n">
        <f aca="false">MIN(SUM(OFFSET(TblConstr[[#This Row],[Plain]:[Water]],-1,0))+SUM(TblConstr[[#This Row],[Dest Hom]:[Dest Doc]])+IF(TblConstr[[#This Row],[Hour]]&gt;12,SUM(OFFSET(TblExplore[[#This Row],[Plains Explore]:[Water Explore]],-12,0)),0),SUM(TblConstr[[#This Row],[Hom]:[Doc]]))</f>
        <v>-41</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1306</v>
      </c>
      <c r="AW55" s="69" t="n">
        <f aca="false">ROUND((TblConstr[[#This Row],[Land]]-250 - IF(TblExplore[[#This Row],[Land Bonus]]&lt;&gt;0,20,0))*0.285 + 87.5 + 0/4.25,0)</f>
        <v>192</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615</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349</v>
      </c>
      <c r="DA55" s="69" t="n">
        <f aca="false">H55+SUM(T44:U55)+SUM(BD55:BE55)</f>
        <v>27</v>
      </c>
      <c r="DB55" s="1" t="n">
        <f aca="false">I55+SUM(V44:W55)+SUM(BF55:BG55)</f>
        <v>3</v>
      </c>
      <c r="DC55" s="69" t="n">
        <f aca="false">J55+SUM(X44:Y55)+SUM(BH55:BI55)</f>
        <v>71</v>
      </c>
      <c r="DD55" s="69" t="n">
        <f aca="false">K55+SUM(AB44:AD55)+SUM(BL55:BN55)</f>
        <v>77</v>
      </c>
      <c r="DE55" s="1" t="n">
        <f aca="false">L55+SUM(AE44:AE55)+BO55</f>
        <v>6</v>
      </c>
      <c r="DF55" s="69" t="n">
        <f aca="false">M55+SUM(AG44:AG55)+BQ55</f>
        <v>31</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-54</v>
      </c>
      <c r="C56" s="172" t="n">
        <f aca="false">SUM(TblConstr[[#This Row],[Tot Hom]:[Tot Doc]])</f>
        <v>501</v>
      </c>
      <c r="D56" s="172" t="n">
        <f aca="false">SUM(O45:AG56)</f>
        <v>179</v>
      </c>
      <c r="E56" s="173"/>
      <c r="F56" s="33" t="n">
        <f aca="false">TblConstr[[#This Row],[Barren]]+TblConstr[[#This Row],[Buildings]]+TblConstr[[#This Row],[Incoming]]</f>
        <v>626</v>
      </c>
      <c r="G56" s="199" t="n">
        <f aca="false">OFFSET(TblConstr[[#This Row],[Plain]],-1,0)+TblConstr[[#This Row],[Ch_Plain]]</f>
        <v>-81</v>
      </c>
      <c r="H56" s="193" t="n">
        <f aca="false">OFFSET(TblConstr[[#This Row],[Forest]],-1,0)+TblConstr[[#This Row],[Ch_Forest]]</f>
        <v>2</v>
      </c>
      <c r="I56" s="200" t="n">
        <f aca="false">OFFSET(TblConstr[[#This Row],[Mountain]],-1,0)+TblConstr[[#This Row],[Ch_Mountain]]</f>
        <v>3</v>
      </c>
      <c r="J56" s="201" t="n">
        <f aca="false">OFFSET(TblConstr[[#This Row],[Hill]],-1,0)+TblConstr[[#This Row],[Ch_Hill]]</f>
        <v>4</v>
      </c>
      <c r="K56" s="202" t="n">
        <f aca="false">OFFSET(TblConstr[[#This Row],[Swamp]],-1,0)+TblConstr[[#This Row],[Ch_Swamp]]</f>
        <v>5</v>
      </c>
      <c r="L56" s="197" t="n">
        <f aca="false">OFFSET(TblConstr[[#This Row],[Cavern]],-1,0)+TblConstr[[#This Row],[Ch_Cavern]]</f>
        <v>6</v>
      </c>
      <c r="M56" s="198" t="n">
        <f aca="false">OFFSET(TblConstr[[#This Row],[Water]],-1,0)+TblConstr[[#This Row],[Ch_Water]]</f>
        <v>7</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0.10702875399361</v>
      </c>
      <c r="AJ56" s="130" t="n">
        <f aca="false">MIN(25%,(TblConstr[[#This Row],[Tot Fac]]+TblConstr[[#This Row],[Dest Fac]])/TblConstr[[#This Row],[Land]])</f>
        <v>0.10702875399361</v>
      </c>
      <c r="AK56" s="69" t="n">
        <f aca="false">TblProd[[#This Row],[Platinum]]</f>
        <v>809940</v>
      </c>
      <c r="AL56" s="69" t="n">
        <f aca="false">TblProd[[#This Row],[Lumber]]</f>
        <v>61687</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528</v>
      </c>
      <c r="AN56" s="69" t="n">
        <f aca="false">ROUNDDOWN( MAX(1 - MIN(facs_constr_factor*TblConstr[[#This Row],[Facs -DB]],facs_constr_max) + tech_1_11*TblTech[[#This Row],[11-1]] + tech_6_3_2*TblTech[[#This Row],[6-3]] + tech_5_2_3*TblTech[[#This Row],[5-2]], 1-global_constr_cap) * TblConstr[[#This Row],[RCPA Lumber]],0)</f>
        <v>97</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528</v>
      </c>
      <c r="AP56" s="69" t="n">
        <f aca="false">ROUNDDOWN( MAX(1 - MIN(facs_constr_factor*TblConstr[[#This Row],[Facs DB]],facs_constr_max) + tech_1_11*TblTech[[#This Row],[1-11]] + tech_6_3_2*TblTech[[#This Row],[6-3]] + tech_5_2_3*TblTech[[#This Row],[5-2]], 1-global_constr_cap) * ROUND((TblConstr[[#This Row],[Land]]-250)*0.285 + 87.5 + 0/4.25,0),0)</f>
        <v>97</v>
      </c>
      <c r="AQ56" s="1" t="n">
        <f aca="false">TblConstr[[#This Row],[build -db]]*TblConstr[[#This Row],[CPA Platinum -DB]] + TblConstr[[#This Row],[build db]]*TblConstr[[#This Row],[CPA Platinum DB]]</f>
        <v>-22704</v>
      </c>
      <c r="AR56" s="1" t="n">
        <f aca="false">TblConstr[[#This Row],[build -db]]*TblConstr[[#This Row],[CPA Lumber -DB]]+TblConstr[[#This Row],[build db]]*TblConstr[[#This Row],[CPA Lumber DB]]</f>
        <v>-4171</v>
      </c>
      <c r="AS56" s="69" t="n">
        <f aca="false">MIN(SUM(OFFSET(TblConstr[[#This Row],[Plain]:[Water]],-1,0))+SUM(TblConstr[[#This Row],[Dest Hom]:[Dest Doc]])+IF(TblConstr[[#This Row],[Hour]]&gt;12,SUM(OFFSET(TblExplore[[#This Row],[Plains Explore]:[Water Explore]],-12,0)),0),SUM(TblConstr[[#This Row],[Hom]:[Doc]]))</f>
        <v>-43</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1320</v>
      </c>
      <c r="AW56" s="69" t="n">
        <f aca="false">ROUND((TblConstr[[#This Row],[Land]]-250 - IF(TblExplore[[#This Row],[Land Bonus]]&lt;&gt;0,20,0))*0.285 + 87.5 + 0/4.25,0)</f>
        <v>195</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626</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349</v>
      </c>
      <c r="DA56" s="69" t="n">
        <f aca="false">H56+SUM(T45:U56)+SUM(BD56:BE56)</f>
        <v>27</v>
      </c>
      <c r="DB56" s="1" t="n">
        <f aca="false">I56+SUM(V45:W56)+SUM(BF56:BG56)</f>
        <v>3</v>
      </c>
      <c r="DC56" s="69" t="n">
        <f aca="false">J56+SUM(X45:Y56)+SUM(BH56:BI56)</f>
        <v>71</v>
      </c>
      <c r="DD56" s="69" t="n">
        <f aca="false">K56+SUM(AB45:AD56)+SUM(BL56:BN56)</f>
        <v>77</v>
      </c>
      <c r="DE56" s="1" t="n">
        <f aca="false">L56+SUM(AE45:AE56)+BO56</f>
        <v>6</v>
      </c>
      <c r="DF56" s="69" t="n">
        <f aca="false">M56+SUM(AG45:AG56)+BQ56</f>
        <v>31</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-54</v>
      </c>
      <c r="C57" s="172" t="n">
        <f aca="false">SUM(TblConstr[[#This Row],[Tot Hom]:[Tot Doc]])</f>
        <v>510</v>
      </c>
      <c r="D57" s="172" t="n">
        <f aca="false">SUM(O46:AG57)</f>
        <v>182</v>
      </c>
      <c r="E57" s="173"/>
      <c r="F57" s="33" t="n">
        <f aca="false">TblConstr[[#This Row],[Barren]]+TblConstr[[#This Row],[Buildings]]+TblConstr[[#This Row],[Incoming]]</f>
        <v>638</v>
      </c>
      <c r="G57" s="199" t="n">
        <f aca="false">OFFSET(TblConstr[[#This Row],[Plain]],-1,0)+TblConstr[[#This Row],[Ch_Plain]]</f>
        <v>-81</v>
      </c>
      <c r="H57" s="193" t="n">
        <f aca="false">OFFSET(TblConstr[[#This Row],[Forest]],-1,0)+TblConstr[[#This Row],[Ch_Forest]]</f>
        <v>2</v>
      </c>
      <c r="I57" s="200" t="n">
        <f aca="false">OFFSET(TblConstr[[#This Row],[Mountain]],-1,0)+TblConstr[[#This Row],[Ch_Mountain]]</f>
        <v>3</v>
      </c>
      <c r="J57" s="201" t="n">
        <f aca="false">OFFSET(TblConstr[[#This Row],[Hill]],-1,0)+TblConstr[[#This Row],[Ch_Hill]]</f>
        <v>4</v>
      </c>
      <c r="K57" s="202" t="n">
        <f aca="false">OFFSET(TblConstr[[#This Row],[Swamp]],-1,0)+TblConstr[[#This Row],[Ch_Swamp]]</f>
        <v>5</v>
      </c>
      <c r="L57" s="197" t="n">
        <f aca="false">OFFSET(TblConstr[[#This Row],[Cavern]],-1,0)+TblConstr[[#This Row],[Ch_Cavern]]</f>
        <v>6</v>
      </c>
      <c r="M57" s="198" t="n">
        <f aca="false">OFFSET(TblConstr[[#This Row],[Water]],-1,0)+TblConstr[[#This Row],[Ch_Water]]</f>
        <v>7</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0.105015673981191</v>
      </c>
      <c r="AJ57" s="130" t="n">
        <f aca="false">MIN(25%,(TblConstr[[#This Row],[Tot Fac]]+TblConstr[[#This Row],[Dest Fac]])/TblConstr[[#This Row],[Land]])</f>
        <v>0.105015673981191</v>
      </c>
      <c r="AK57" s="69" t="n">
        <f aca="false">TblProd[[#This Row],[Platinum]]</f>
        <v>877556</v>
      </c>
      <c r="AL57" s="69" t="n">
        <f aca="false">TblProd[[#This Row],[Lumber]]</f>
        <v>66353</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534</v>
      </c>
      <c r="AN57" s="69" t="n">
        <f aca="false">ROUNDDOWN( MAX(1 - MIN(facs_constr_factor*TblConstr[[#This Row],[Facs -DB]],facs_constr_max) + tech_1_11*TblTech[[#This Row],[11-1]] + tech_6_3_2*TblTech[[#This Row],[6-3]] + tech_5_2_3*TblTech[[#This Row],[5-2]], 1-global_constr_cap) * TblConstr[[#This Row],[RCPA Lumber]],0)</f>
        <v>99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534</v>
      </c>
      <c r="AP57" s="69" t="n">
        <f aca="false">ROUNDDOWN( MAX(1 - MIN(facs_constr_factor*TblConstr[[#This Row],[Facs DB]],facs_constr_max) + tech_1_11*TblTech[[#This Row],[1-11]] + tech_6_3_2*TblTech[[#This Row],[6-3]] + tech_5_2_3*TblTech[[#This Row],[5-2]], 1-global_constr_cap) * ROUND((TblConstr[[#This Row],[Land]]-250)*0.285 + 87.5 + 0/4.25,0),0)</f>
        <v>99</v>
      </c>
      <c r="AQ57" s="1" t="n">
        <f aca="false">TblConstr[[#This Row],[build -db]]*TblConstr[[#This Row],[CPA Platinum -DB]] + TblConstr[[#This Row],[build db]]*TblConstr[[#This Row],[CPA Platinum DB]]</f>
        <v>-22428</v>
      </c>
      <c r="AR57" s="1" t="n">
        <f aca="false">TblConstr[[#This Row],[build -db]]*TblConstr[[#This Row],[CPA Lumber -DB]]+TblConstr[[#This Row],[build db]]*TblConstr[[#This Row],[CPA Lumber DB]]</f>
        <v>-4158</v>
      </c>
      <c r="AS57" s="69" t="n">
        <f aca="false">MIN(SUM(OFFSET(TblConstr[[#This Row],[Plain]:[Water]],-1,0))+SUM(TblConstr[[#This Row],[Dest Hom]:[Dest Doc]])+IF(TblConstr[[#This Row],[Hour]]&gt;12,SUM(OFFSET(TblExplore[[#This Row],[Plains Explore]:[Water Explore]],-12,0)),0),SUM(TblConstr[[#This Row],[Hom]:[Doc]]))</f>
        <v>-42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1335</v>
      </c>
      <c r="AW57" s="69" t="n">
        <f aca="false">ROUND((TblConstr[[#This Row],[Land]]-250 - IF(TblExplore[[#This Row],[Land Bonus]]&lt;&gt;0,20,0))*0.285 + 87.5 + 0/4.25,0)</f>
        <v>198</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638</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349</v>
      </c>
      <c r="DA57" s="69" t="n">
        <f aca="false">H57+SUM(T46:U57)+SUM(BD57:BE57)</f>
        <v>27</v>
      </c>
      <c r="DB57" s="1" t="n">
        <f aca="false">I57+SUM(V46:W57)+SUM(BF57:BG57)</f>
        <v>3</v>
      </c>
      <c r="DC57" s="69" t="n">
        <f aca="false">J57+SUM(X46:Y57)+SUM(BH57:BI57)</f>
        <v>71</v>
      </c>
      <c r="DD57" s="69" t="n">
        <f aca="false">K57+SUM(AB46:AD57)+SUM(BL57:BN57)</f>
        <v>77</v>
      </c>
      <c r="DE57" s="1" t="n">
        <f aca="false">L57+SUM(AE46:AE57)+BO57</f>
        <v>6</v>
      </c>
      <c r="DF57" s="69" t="n">
        <f aca="false">M57+SUM(AG46:AG57)+BQ57</f>
        <v>31</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-54</v>
      </c>
      <c r="C58" s="172" t="n">
        <f aca="false">SUM(TblConstr[[#This Row],[Tot Hom]:[Tot Doc]])</f>
        <v>520</v>
      </c>
      <c r="D58" s="172" t="n">
        <f aca="false">SUM(O47:AG58)</f>
        <v>180</v>
      </c>
      <c r="E58" s="173"/>
      <c r="F58" s="33" t="n">
        <f aca="false">TblConstr[[#This Row],[Barren]]+TblConstr[[#This Row],[Buildings]]+TblConstr[[#This Row],[Incoming]]</f>
        <v>646</v>
      </c>
      <c r="G58" s="199" t="n">
        <f aca="false">OFFSET(TblConstr[[#This Row],[Plain]],-1,0)+TblConstr[[#This Row],[Ch_Plain]]</f>
        <v>-81</v>
      </c>
      <c r="H58" s="193" t="n">
        <f aca="false">OFFSET(TblConstr[[#This Row],[Forest]],-1,0)+TblConstr[[#This Row],[Ch_Forest]]</f>
        <v>2</v>
      </c>
      <c r="I58" s="200" t="n">
        <f aca="false">OFFSET(TblConstr[[#This Row],[Mountain]],-1,0)+TblConstr[[#This Row],[Ch_Mountain]]</f>
        <v>3</v>
      </c>
      <c r="J58" s="201" t="n">
        <f aca="false">OFFSET(TblConstr[[#This Row],[Hill]],-1,0)+TblConstr[[#This Row],[Ch_Hill]]</f>
        <v>4</v>
      </c>
      <c r="K58" s="202" t="n">
        <f aca="false">OFFSET(TblConstr[[#This Row],[Swamp]],-1,0)+TblConstr[[#This Row],[Ch_Swamp]]</f>
        <v>5</v>
      </c>
      <c r="L58" s="197" t="n">
        <f aca="false">OFFSET(TblConstr[[#This Row],[Cavern]],-1,0)+TblConstr[[#This Row],[Ch_Cavern]]</f>
        <v>6</v>
      </c>
      <c r="M58" s="198" t="n">
        <f aca="false">OFFSET(TblConstr[[#This Row],[Water]],-1,0)+TblConstr[[#This Row],[Ch_Water]]</f>
        <v>7</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0.103715170278638</v>
      </c>
      <c r="AJ58" s="130" t="n">
        <f aca="false">MIN(25%,(TblConstr[[#This Row],[Tot Fac]]+TblConstr[[#This Row],[Dest Fac]])/TblConstr[[#This Row],[Land]])</f>
        <v>0.103715170278638</v>
      </c>
      <c r="AK58" s="69" t="n">
        <f aca="false">TblProd[[#This Row],[Platinum]]</f>
        <v>947815</v>
      </c>
      <c r="AL58" s="69" t="n">
        <f aca="false">TblProd[[#This Row],[Lumber]]</f>
        <v>71414</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8" s="69" t="n">
        <f aca="false">ROUNDDOWN( MAX(1 - MIN(facs_constr_factor*TblConstr[[#This Row],[Facs -DB]],facs_constr_max) + tech_1_11*TblTech[[#This Row],[11-1]] + tech_6_3_2*TblTech[[#This Row],[6-3]] + tech_5_2_3*TblTech[[#This Row],[5-2]], 1-global_constr_cap) * TblConstr[[#This Row],[RCPA Lumber]],0)</f>
        <v>100</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8" s="69" t="n">
        <f aca="false">ROUNDDOWN( MAX(1 - MIN(facs_constr_factor*TblConstr[[#This Row],[Facs DB]],facs_constr_max) + tech_1_11*TblTech[[#This Row],[1-11]] + tech_6_3_2*TblTech[[#This Row],[6-3]] + tech_5_2_3*TblTech[[#This Row],[5-2]], 1-global_constr_cap) * ROUND((TblConstr[[#This Row],[Land]]-250)*0.285 + 87.5 + 0/4.25,0),0)</f>
        <v>100</v>
      </c>
      <c r="AQ58" s="1" t="n">
        <f aca="false">TblConstr[[#This Row],[build -db]]*TblConstr[[#This Row],[CPA Platinum -DB]] + TblConstr[[#This Row],[build db]]*TblConstr[[#This Row],[CPA Platinum DB]]</f>
        <v>-24748</v>
      </c>
      <c r="AR58" s="1" t="n">
        <f aca="false">TblConstr[[#This Row],[build -db]]*TblConstr[[#This Row],[CPA Lumber -DB]]+TblConstr[[#This Row],[build db]]*TblConstr[[#This Row],[CPA Lumber DB]]</f>
        <v>-4600</v>
      </c>
      <c r="AS58" s="69" t="n">
        <f aca="false">MIN(SUM(OFFSET(TblConstr[[#This Row],[Plain]:[Water]],-1,0))+SUM(TblConstr[[#This Row],[Dest Hom]:[Dest Doc]])+IF(TblConstr[[#This Row],[Hour]]&gt;12,SUM(OFFSET(TblExplore[[#This Row],[Plains Explore]:[Water Explore]],-12,0)),0),SUM(TblConstr[[#This Row],[Hom]:[Doc]]))</f>
        <v>-46</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1345</v>
      </c>
      <c r="AW58" s="69" t="n">
        <f aca="false">ROUND((TblConstr[[#This Row],[Land]]-250 - IF(TblExplore[[#This Row],[Land Bonus]]&lt;&gt;0,20,0))*0.285 + 87.5 + 0/4.25,0)</f>
        <v>200</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646</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349</v>
      </c>
      <c r="DA58" s="69" t="n">
        <f aca="false">H58+SUM(T47:U58)+SUM(BD58:BE58)</f>
        <v>27</v>
      </c>
      <c r="DB58" s="1" t="n">
        <f aca="false">I58+SUM(V47:W58)+SUM(BF58:BG58)</f>
        <v>3</v>
      </c>
      <c r="DC58" s="69" t="n">
        <f aca="false">J58+SUM(X47:Y58)+SUM(BH58:BI58)</f>
        <v>71</v>
      </c>
      <c r="DD58" s="69" t="n">
        <f aca="false">K58+SUM(AB47:AD58)+SUM(BL58:BN58)</f>
        <v>81</v>
      </c>
      <c r="DE58" s="1" t="n">
        <f aca="false">L58+SUM(AE47:AE58)+BO58</f>
        <v>6</v>
      </c>
      <c r="DF58" s="69" t="n">
        <f aca="false">M58+SUM(AG47:AG58)+BQ58</f>
        <v>31</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-54</v>
      </c>
      <c r="C59" s="172" t="n">
        <f aca="false">SUM(TblConstr[[#This Row],[Tot Hom]:[Tot Doc]])</f>
        <v>529</v>
      </c>
      <c r="D59" s="172" t="n">
        <f aca="false">SUM(O48:AG59)</f>
        <v>171</v>
      </c>
      <c r="E59" s="173"/>
      <c r="F59" s="33" t="n">
        <f aca="false">TblConstr[[#This Row],[Barren]]+TblConstr[[#This Row],[Buildings]]+TblConstr[[#This Row],[Incoming]]</f>
        <v>646</v>
      </c>
      <c r="G59" s="199" t="n">
        <f aca="false">OFFSET(TblConstr[[#This Row],[Plain]],-1,0)+TblConstr[[#This Row],[Ch_Plain]]</f>
        <v>-81</v>
      </c>
      <c r="H59" s="193" t="n">
        <f aca="false">OFFSET(TblConstr[[#This Row],[Forest]],-1,0)+TblConstr[[#This Row],[Ch_Forest]]</f>
        <v>2</v>
      </c>
      <c r="I59" s="200" t="n">
        <f aca="false">OFFSET(TblConstr[[#This Row],[Mountain]],-1,0)+TblConstr[[#This Row],[Ch_Mountain]]</f>
        <v>3</v>
      </c>
      <c r="J59" s="201" t="n">
        <f aca="false">OFFSET(TblConstr[[#This Row],[Hill]],-1,0)+TblConstr[[#This Row],[Ch_Hill]]</f>
        <v>4</v>
      </c>
      <c r="K59" s="202" t="n">
        <f aca="false">OFFSET(TblConstr[[#This Row],[Swamp]],-1,0)+TblConstr[[#This Row],[Ch_Swamp]]</f>
        <v>5</v>
      </c>
      <c r="L59" s="197" t="n">
        <f aca="false">OFFSET(TblConstr[[#This Row],[Cavern]],-1,0)+TblConstr[[#This Row],[Ch_Cavern]]</f>
        <v>6</v>
      </c>
      <c r="M59" s="198" t="n">
        <f aca="false">OFFSET(TblConstr[[#This Row],[Water]],-1,0)+TblConstr[[#This Row],[Ch_Water]]</f>
        <v>7</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0.103715170278638</v>
      </c>
      <c r="AJ59" s="130" t="n">
        <f aca="false">MIN(25%,(TblConstr[[#This Row],[Tot Fac]]+TblConstr[[#This Row],[Dest Fac]])/TblConstr[[#This Row],[Land]])</f>
        <v>0.103715170278638</v>
      </c>
      <c r="AK59" s="69" t="n">
        <f aca="false">TblProd[[#This Row],[Platinum]]</f>
        <v>1022126</v>
      </c>
      <c r="AL59" s="69" t="n">
        <f aca="false">TblProd[[#This Row],[Lumber]]</f>
        <v>77125</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59" s="69" t="n">
        <f aca="false">ROUNDDOWN( MAX(1 - MIN(facs_constr_factor*TblConstr[[#This Row],[Facs -DB]],facs_constr_max) + tech_1_11*TblTech[[#This Row],[11-1]] + tech_6_3_2*TblTech[[#This Row],[6-3]] + tech_5_2_3*TblTech[[#This Row],[5-2]], 1-global_constr_cap) * TblConstr[[#This Row],[RCPA Lumber]],0)</f>
        <v>100</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59" s="69" t="n">
        <f aca="false">ROUNDDOWN( MAX(1 - MIN(facs_constr_factor*TblConstr[[#This Row],[Facs DB]],facs_constr_max) + tech_1_11*TblTech[[#This Row],[1-11]] + tech_6_3_2*TblTech[[#This Row],[6-3]] + tech_5_2_3*TblTech[[#This Row],[5-2]], 1-global_constr_cap) * ROUND((TblConstr[[#This Row],[Land]]-250)*0.285 + 87.5 + 0/4.25,0),0)</f>
        <v>100</v>
      </c>
      <c r="AQ59" s="1" t="n">
        <f aca="false">TblConstr[[#This Row],[build -db]]*TblConstr[[#This Row],[CPA Platinum -DB]] + TblConstr[[#This Row],[build db]]*TblConstr[[#This Row],[CPA Platinum DB]]</f>
        <v>-28514</v>
      </c>
      <c r="AR59" s="1" t="n">
        <f aca="false">TblConstr[[#This Row],[build -db]]*TblConstr[[#This Row],[CPA Lumber -DB]]+TblConstr[[#This Row],[build db]]*TblConstr[[#This Row],[CPA Lumber DB]]</f>
        <v>-5300</v>
      </c>
      <c r="AS59" s="69" t="n">
        <f aca="false">MIN(SUM(OFFSET(TblConstr[[#This Row],[Plain]:[Water]],-1,0))+SUM(TblConstr[[#This Row],[Dest Hom]:[Dest Doc]])+IF(TblConstr[[#This Row],[Hour]]&gt;12,SUM(OFFSET(TblExplore[[#This Row],[Plains Explore]:[Water Explore]],-12,0)),0),SUM(TblConstr[[#This Row],[Hom]:[Doc]]))</f>
        <v>-53</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1345</v>
      </c>
      <c r="AW59" s="69" t="n">
        <f aca="false">ROUND((TblConstr[[#This Row],[Land]]-250 - IF(TblExplore[[#This Row],[Land Bonus]]&lt;&gt;0,20,0))*0.285 + 87.5 + 0/4.25,0)</f>
        <v>200</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646</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349</v>
      </c>
      <c r="DA59" s="69" t="n">
        <f aca="false">H59+SUM(T48:U59)+SUM(BD59:BE59)</f>
        <v>27</v>
      </c>
      <c r="DB59" s="1" t="n">
        <f aca="false">I59+SUM(V48:W59)+SUM(BF59:BG59)</f>
        <v>3</v>
      </c>
      <c r="DC59" s="69" t="n">
        <f aca="false">J59+SUM(X48:Y59)+SUM(BH59:BI59)</f>
        <v>71</v>
      </c>
      <c r="DD59" s="69" t="n">
        <f aca="false">K59+SUM(AB48:AD59)+SUM(BL59:BN59)</f>
        <v>81</v>
      </c>
      <c r="DE59" s="1" t="n">
        <f aca="false">L59+SUM(AE48:AE59)+BO59</f>
        <v>6</v>
      </c>
      <c r="DF59" s="69" t="n">
        <f aca="false">M59+SUM(AG48:AG59)+BQ59</f>
        <v>31</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-54</v>
      </c>
      <c r="C60" s="172" t="n">
        <f aca="false">SUM(TblConstr[[#This Row],[Tot Hom]:[Tot Doc]])</f>
        <v>538</v>
      </c>
      <c r="D60" s="172" t="n">
        <f aca="false">SUM(O49:AG60)</f>
        <v>162</v>
      </c>
      <c r="E60" s="173"/>
      <c r="F60" s="33" t="n">
        <f aca="false">TblConstr[[#This Row],[Barren]]+TblConstr[[#This Row],[Buildings]]+TblConstr[[#This Row],[Incoming]]</f>
        <v>646</v>
      </c>
      <c r="G60" s="199" t="n">
        <f aca="false">OFFSET(TblConstr[[#This Row],[Plain]],-1,0)+TblConstr[[#This Row],[Ch_Plain]]</f>
        <v>-81</v>
      </c>
      <c r="H60" s="193" t="n">
        <f aca="false">OFFSET(TblConstr[[#This Row],[Forest]],-1,0)+TblConstr[[#This Row],[Ch_Forest]]</f>
        <v>2</v>
      </c>
      <c r="I60" s="200" t="n">
        <f aca="false">OFFSET(TblConstr[[#This Row],[Mountain]],-1,0)+TblConstr[[#This Row],[Ch_Mountain]]</f>
        <v>3</v>
      </c>
      <c r="J60" s="201" t="n">
        <f aca="false">OFFSET(TblConstr[[#This Row],[Hill]],-1,0)+TblConstr[[#This Row],[Ch_Hill]]</f>
        <v>4</v>
      </c>
      <c r="K60" s="202" t="n">
        <f aca="false">OFFSET(TblConstr[[#This Row],[Swamp]],-1,0)+TblConstr[[#This Row],[Ch_Swamp]]</f>
        <v>5</v>
      </c>
      <c r="L60" s="197" t="n">
        <f aca="false">OFFSET(TblConstr[[#This Row],[Cavern]],-1,0)+TblConstr[[#This Row],[Ch_Cavern]]</f>
        <v>6</v>
      </c>
      <c r="M60" s="198" t="n">
        <f aca="false">OFFSET(TblConstr[[#This Row],[Water]],-1,0)+TblConstr[[#This Row],[Ch_Water]]</f>
        <v>7</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0.102167182662539</v>
      </c>
      <c r="AJ60" s="130" t="n">
        <f aca="false">MIN(25%,(TblConstr[[#This Row],[Tot Fac]]+TblConstr[[#This Row],[Dest Fac]])/TblConstr[[#This Row],[Land]])</f>
        <v>0.102167182662539</v>
      </c>
      <c r="AK60" s="69" t="n">
        <f aca="false">TblProd[[#This Row],[Platinum]]</f>
        <v>1096468</v>
      </c>
      <c r="AL60" s="69" t="n">
        <f aca="false">TblProd[[#This Row],[Lumber]]</f>
        <v>82779</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0" s="69" t="n">
        <f aca="false">ROUNDDOWN( MAX(1 - MIN(facs_constr_factor*TblConstr[[#This Row],[Facs -DB]],facs_constr_max) + tech_1_11*TblTech[[#This Row],[11-1]] + tech_6_3_2*TblTech[[#This Row],[6-3]] + tech_5_2_3*TblTech[[#This Row],[5-2]], 1-global_constr_cap) * TblConstr[[#This Row],[RCPA Lumber]],0)</f>
        <v>100</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0" s="69" t="n">
        <f aca="false">ROUNDDOWN( MAX(1 - MIN(facs_constr_factor*TblConstr[[#This Row],[Facs DB]],facs_constr_max) + tech_1_11*TblTech[[#This Row],[1-11]] + tech_6_3_2*TblTech[[#This Row],[6-3]] + tech_5_2_3*TblTech[[#This Row],[5-2]], 1-global_constr_cap) * ROUND((TblConstr[[#This Row],[Land]]-250)*0.285 + 87.5 + 0/4.25,0),0)</f>
        <v>100</v>
      </c>
      <c r="AQ60" s="1" t="n">
        <f aca="false">TblConstr[[#This Row],[build -db]]*TblConstr[[#This Row],[CPA Platinum -DB]] + TblConstr[[#This Row],[build db]]*TblConstr[[#This Row],[CPA Platinum DB]]</f>
        <v>-28514</v>
      </c>
      <c r="AR60" s="1" t="n">
        <f aca="false">TblConstr[[#This Row],[build -db]]*TblConstr[[#This Row],[CPA Lumber -DB]]+TblConstr[[#This Row],[build db]]*TblConstr[[#This Row],[CPA Lumber DB]]</f>
        <v>-5300</v>
      </c>
      <c r="AS60" s="69" t="n">
        <f aca="false">MIN(SUM(OFFSET(TblConstr[[#This Row],[Plain]:[Water]],-1,0))+SUM(TblConstr[[#This Row],[Dest Hom]:[Dest Doc]])+IF(TblConstr[[#This Row],[Hour]]&gt;12,SUM(OFFSET(TblExplore[[#This Row],[Plains Explore]:[Water Explore]],-12,0)),0),SUM(TblConstr[[#This Row],[Hom]:[Doc]]))</f>
        <v>-53</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1345</v>
      </c>
      <c r="AW60" s="69" t="n">
        <f aca="false">ROUND((TblConstr[[#This Row],[Land]]-250 - IF(TblExplore[[#This Row],[Land Bonus]]&lt;&gt;0,20,0))*0.285 + 87.5 + 0/4.25,0)</f>
        <v>200</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646</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349</v>
      </c>
      <c r="DA60" s="69" t="n">
        <f aca="false">H60+SUM(T49:U60)+SUM(BD60:BE60)</f>
        <v>27</v>
      </c>
      <c r="DB60" s="1" t="n">
        <f aca="false">I60+SUM(V49:W60)+SUM(BF60:BG60)</f>
        <v>3</v>
      </c>
      <c r="DC60" s="69" t="n">
        <f aca="false">J60+SUM(X49:Y60)+SUM(BH60:BI60)</f>
        <v>71</v>
      </c>
      <c r="DD60" s="69" t="n">
        <f aca="false">K60+SUM(AB49:AD60)+SUM(BL60:BN60)</f>
        <v>81</v>
      </c>
      <c r="DE60" s="1" t="n">
        <f aca="false">L60+SUM(AE49:AE60)+BO60</f>
        <v>6</v>
      </c>
      <c r="DF60" s="69" t="n">
        <f aca="false">M60+SUM(AG49:AG60)+BQ60</f>
        <v>31</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-54</v>
      </c>
      <c r="C61" s="172" t="n">
        <f aca="false">SUM(TblConstr[[#This Row],[Tot Hom]:[Tot Doc]])</f>
        <v>548</v>
      </c>
      <c r="D61" s="172" t="n">
        <f aca="false">SUM(O50:AG61)</f>
        <v>152</v>
      </c>
      <c r="E61" s="173"/>
      <c r="F61" s="33" t="n">
        <f aca="false">TblConstr[[#This Row],[Barren]]+TblConstr[[#This Row],[Buildings]]+TblConstr[[#This Row],[Incoming]]</f>
        <v>646</v>
      </c>
      <c r="G61" s="199" t="n">
        <f aca="false">OFFSET(TblConstr[[#This Row],[Plain]],-1,0)+TblConstr[[#This Row],[Ch_Plain]]</f>
        <v>-81</v>
      </c>
      <c r="H61" s="193" t="n">
        <f aca="false">OFFSET(TblConstr[[#This Row],[Forest]],-1,0)+TblConstr[[#This Row],[Ch_Forest]]</f>
        <v>2</v>
      </c>
      <c r="I61" s="200" t="n">
        <f aca="false">OFFSET(TblConstr[[#This Row],[Mountain]],-1,0)+TblConstr[[#This Row],[Ch_Mountain]]</f>
        <v>3</v>
      </c>
      <c r="J61" s="201" t="n">
        <f aca="false">OFFSET(TblConstr[[#This Row],[Hill]],-1,0)+TblConstr[[#This Row],[Ch_Hill]]</f>
        <v>4</v>
      </c>
      <c r="K61" s="202" t="n">
        <f aca="false">OFFSET(TblConstr[[#This Row],[Swamp]],-1,0)+TblConstr[[#This Row],[Ch_Swamp]]</f>
        <v>5</v>
      </c>
      <c r="L61" s="197" t="n">
        <f aca="false">OFFSET(TblConstr[[#This Row],[Cavern]],-1,0)+TblConstr[[#This Row],[Ch_Cavern]]</f>
        <v>6</v>
      </c>
      <c r="M61" s="198" t="n">
        <f aca="false">OFFSET(TblConstr[[#This Row],[Water]],-1,0)+TblConstr[[#This Row],[Ch_Water]]</f>
        <v>7</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0.10061919504644</v>
      </c>
      <c r="AJ61" s="130" t="n">
        <f aca="false">MIN(25%,(TblConstr[[#This Row],[Tot Fac]]+TblConstr[[#This Row],[Dest Fac]])/TblConstr[[#This Row],[Land]])</f>
        <v>0.10061919504644</v>
      </c>
      <c r="AK61" s="69" t="n">
        <f aca="false">TblProd[[#This Row],[Platinum]]</f>
        <v>1170586</v>
      </c>
      <c r="AL61" s="69" t="n">
        <f aca="false">TblProd[[#This Row],[Lumber]]</f>
        <v>88376</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538</v>
      </c>
      <c r="AN61" s="69" t="n">
        <f aca="false">ROUNDDOWN( MAX(1 - MIN(facs_constr_factor*TblConstr[[#This Row],[Facs -DB]],facs_constr_max) + tech_1_11*TblTech[[#This Row],[11-1]] + tech_6_3_2*TblTech[[#This Row],[6-3]] + tech_5_2_3*TblTech[[#This Row],[5-2]], 1-global_constr_cap) * TblConstr[[#This Row],[RCPA Lumber]],0)</f>
        <v>100</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538</v>
      </c>
      <c r="AP61" s="69" t="n">
        <f aca="false">ROUNDDOWN( MAX(1 - MIN(facs_constr_factor*TblConstr[[#This Row],[Facs DB]],facs_constr_max) + tech_1_11*TblTech[[#This Row],[1-11]] + tech_6_3_2*TblTech[[#This Row],[6-3]] + tech_5_2_3*TblTech[[#This Row],[5-2]], 1-global_constr_cap) * ROUND((TblConstr[[#This Row],[Land]]-250)*0.285 + 87.5 + 0/4.25,0),0)</f>
        <v>100</v>
      </c>
      <c r="AQ61" s="1" t="n">
        <f aca="false">TblConstr[[#This Row],[build -db]]*TblConstr[[#This Row],[CPA Platinum -DB]] + TblConstr[[#This Row],[build db]]*TblConstr[[#This Row],[CPA Platinum DB]]</f>
        <v>-28514</v>
      </c>
      <c r="AR61" s="1" t="n">
        <f aca="false">TblConstr[[#This Row],[build -db]]*TblConstr[[#This Row],[CPA Lumber -DB]]+TblConstr[[#This Row],[build db]]*TblConstr[[#This Row],[CPA Lumber DB]]</f>
        <v>-5300</v>
      </c>
      <c r="AS61" s="69" t="n">
        <f aca="false">MIN(SUM(OFFSET(TblConstr[[#This Row],[Plain]:[Water]],-1,0))+SUM(TblConstr[[#This Row],[Dest Hom]:[Dest Doc]])+IF(TblConstr[[#This Row],[Hour]]&gt;12,SUM(OFFSET(TblExplore[[#This Row],[Plains Explore]:[Water Explore]],-12,0)),0),SUM(TblConstr[[#This Row],[Hom]:[Doc]]))</f>
        <v>-53</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1345</v>
      </c>
      <c r="AW61" s="69" t="n">
        <f aca="false">ROUND((TblConstr[[#This Row],[Land]]-250 - IF(TblExplore[[#This Row],[Land Bonus]]&lt;&gt;0,20,0))*0.285 + 87.5 + 0/4.25,0)</f>
        <v>200</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646</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349</v>
      </c>
      <c r="DA61" s="69" t="n">
        <f aca="false">H61+SUM(T50:U61)+SUM(BD61:BE61)</f>
        <v>27</v>
      </c>
      <c r="DB61" s="1" t="n">
        <f aca="false">I61+SUM(V50:W61)+SUM(BF61:BG61)</f>
        <v>3</v>
      </c>
      <c r="DC61" s="69" t="n">
        <f aca="false">J61+SUM(X50:Y61)+SUM(BH61:BI61)</f>
        <v>71</v>
      </c>
      <c r="DD61" s="69" t="n">
        <f aca="false">K61+SUM(AB50:AD61)+SUM(BL61:BN61)</f>
        <v>81</v>
      </c>
      <c r="DE61" s="1" t="n">
        <f aca="false">L61+SUM(AE50:AE61)+BO61</f>
        <v>6</v>
      </c>
      <c r="DF61" s="69" t="n">
        <f aca="false">M61+SUM(AG50:AG61)+BQ61</f>
        <v>31</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-54</v>
      </c>
      <c r="C62" s="172" t="n">
        <f aca="false">SUM(TblConstr[[#This Row],[Tot Hom]:[Tot Doc]])</f>
        <v>559</v>
      </c>
      <c r="D62" s="172" t="n">
        <f aca="false">SUM(O51:AG62)</f>
        <v>141</v>
      </c>
      <c r="E62" s="173"/>
      <c r="F62" s="33" t="n">
        <f aca="false">TblConstr[[#This Row],[Barren]]+TblConstr[[#This Row],[Buildings]]+TblConstr[[#This Row],[Incoming]]</f>
        <v>646</v>
      </c>
      <c r="G62" s="199" t="n">
        <f aca="false">OFFSET(TblConstr[[#This Row],[Plain]],-1,0)+TblConstr[[#This Row],[Ch_Plain]]</f>
        <v>-81</v>
      </c>
      <c r="H62" s="193" t="n">
        <f aca="false">OFFSET(TblConstr[[#This Row],[Forest]],-1,0)+TblConstr[[#This Row],[Ch_Forest]]</f>
        <v>2</v>
      </c>
      <c r="I62" s="200" t="n">
        <f aca="false">OFFSET(TblConstr[[#This Row],[Mountain]],-1,0)+TblConstr[[#This Row],[Ch_Mountain]]</f>
        <v>3</v>
      </c>
      <c r="J62" s="201" t="n">
        <f aca="false">OFFSET(TblConstr[[#This Row],[Hill]],-1,0)+TblConstr[[#This Row],[Ch_Hill]]</f>
        <v>4</v>
      </c>
      <c r="K62" s="202" t="n">
        <f aca="false">OFFSET(TblConstr[[#This Row],[Swamp]],-1,0)+TblConstr[[#This Row],[Ch_Swamp]]</f>
        <v>5</v>
      </c>
      <c r="L62" s="197" t="n">
        <f aca="false">OFFSET(TblConstr[[#This Row],[Cavern]],-1,0)+TblConstr[[#This Row],[Ch_Cavern]]</f>
        <v>6</v>
      </c>
      <c r="M62" s="198" t="n">
        <f aca="false">OFFSET(TblConstr[[#This Row],[Water]],-1,0)+TblConstr[[#This Row],[Ch_Water]]</f>
        <v>7</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0.0990712074303406</v>
      </c>
      <c r="AJ62" s="130" t="n">
        <f aca="false">MIN(25%,(TblConstr[[#This Row],[Tot Fac]]+TblConstr[[#This Row],[Dest Fac]])/TblConstr[[#This Row],[Land]])</f>
        <v>0.0990712074303406</v>
      </c>
      <c r="AK62" s="69" t="n">
        <f aca="false">TblProd[[#This Row],[Platinum]]</f>
        <v>1244865</v>
      </c>
      <c r="AL62" s="69" t="n">
        <f aca="false">TblProd[[#This Row],[Lumber]]</f>
        <v>93917</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544</v>
      </c>
      <c r="AN62" s="69" t="n">
        <f aca="false">ROUNDDOWN( MAX(1 - MIN(facs_constr_factor*TblConstr[[#This Row],[Facs -DB]],facs_constr_max) + tech_1_11*TblTech[[#This Row],[11-1]] + tech_6_3_2*TblTech[[#This Row],[6-3]] + tech_5_2_3*TblTech[[#This Row],[5-2]], 1-global_constr_cap) * TblConstr[[#This Row],[RCPA Lumber]],0)</f>
        <v>100</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544</v>
      </c>
      <c r="AP62" s="69" t="n">
        <f aca="false">ROUNDDOWN( MAX(1 - MIN(facs_constr_factor*TblConstr[[#This Row],[Facs DB]],facs_constr_max) + tech_1_11*TblTech[[#This Row],[1-11]] + tech_6_3_2*TblTech[[#This Row],[6-3]] + tech_5_2_3*TblTech[[#This Row],[5-2]], 1-global_constr_cap) * ROUND((TblConstr[[#This Row],[Land]]-250)*0.285 + 87.5 + 0/4.25,0),0)</f>
        <v>100</v>
      </c>
      <c r="AQ62" s="1" t="n">
        <f aca="false">TblConstr[[#This Row],[build -db]]*TblConstr[[#This Row],[CPA Platinum -DB]] + TblConstr[[#This Row],[build db]]*TblConstr[[#This Row],[CPA Platinum DB]]</f>
        <v>-28832</v>
      </c>
      <c r="AR62" s="1" t="n">
        <f aca="false">TblConstr[[#This Row],[build -db]]*TblConstr[[#This Row],[CPA Lumber -DB]]+TblConstr[[#This Row],[build db]]*TblConstr[[#This Row],[CPA Lumber DB]]</f>
        <v>-5300</v>
      </c>
      <c r="AS62" s="69" t="n">
        <f aca="false">MIN(SUM(OFFSET(TblConstr[[#This Row],[Plain]:[Water]],-1,0))+SUM(TblConstr[[#This Row],[Dest Hom]:[Dest Doc]])+IF(TblConstr[[#This Row],[Hour]]&gt;12,SUM(OFFSET(TblExplore[[#This Row],[Plains Explore]:[Water Explore]],-12,0)),0),SUM(TblConstr[[#This Row],[Hom]:[Doc]]))</f>
        <v>-53</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1345</v>
      </c>
      <c r="AW62" s="69" t="n">
        <f aca="false">ROUND((TblConstr[[#This Row],[Land]]-250 - IF(TblExplore[[#This Row],[Land Bonus]]&lt;&gt;0,20,0))*0.285 + 87.5 + 0/4.25,0)</f>
        <v>200</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646</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349</v>
      </c>
      <c r="DA62" s="69" t="n">
        <f aca="false">H62+SUM(T51:U62)+SUM(BD62:BE62)</f>
        <v>27</v>
      </c>
      <c r="DB62" s="1" t="n">
        <f aca="false">I62+SUM(V51:W62)+SUM(BF62:BG62)</f>
        <v>3</v>
      </c>
      <c r="DC62" s="69" t="n">
        <f aca="false">J62+SUM(X51:Y62)+SUM(BH62:BI62)</f>
        <v>71</v>
      </c>
      <c r="DD62" s="69" t="n">
        <f aca="false">K62+SUM(AB51:AD62)+SUM(BL62:BN62)</f>
        <v>81</v>
      </c>
      <c r="DE62" s="1" t="n">
        <f aca="false">L62+SUM(AE51:AE62)+BO62</f>
        <v>6</v>
      </c>
      <c r="DF62" s="69" t="n">
        <f aca="false">M62+SUM(AG51:AG62)+BQ62</f>
        <v>31</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-54</v>
      </c>
      <c r="C63" s="172" t="n">
        <f aca="false">SUM(TblConstr[[#This Row],[Tot Hom]:[Tot Doc]])</f>
        <v>591</v>
      </c>
      <c r="D63" s="172" t="n">
        <f aca="false">SUM(O52:AG63)</f>
        <v>109</v>
      </c>
      <c r="E63" s="173"/>
      <c r="F63" s="33" t="n">
        <f aca="false">TblConstr[[#This Row],[Barren]]+TblConstr[[#This Row],[Buildings]]+TblConstr[[#This Row],[Incoming]]</f>
        <v>646</v>
      </c>
      <c r="G63" s="199" t="n">
        <f aca="false">OFFSET(TblConstr[[#This Row],[Plain]],-1,0)+TblConstr[[#This Row],[Ch_Plain]]</f>
        <v>-81</v>
      </c>
      <c r="H63" s="193" t="n">
        <f aca="false">OFFSET(TblConstr[[#This Row],[Forest]],-1,0)+TblConstr[[#This Row],[Ch_Forest]]</f>
        <v>2</v>
      </c>
      <c r="I63" s="200" t="n">
        <f aca="false">OFFSET(TblConstr[[#This Row],[Mountain]],-1,0)+TblConstr[[#This Row],[Ch_Mountain]]</f>
        <v>3</v>
      </c>
      <c r="J63" s="201" t="n">
        <f aca="false">OFFSET(TblConstr[[#This Row],[Hill]],-1,0)+TblConstr[[#This Row],[Ch_Hill]]</f>
        <v>4</v>
      </c>
      <c r="K63" s="202" t="n">
        <f aca="false">OFFSET(TblConstr[[#This Row],[Swamp]],-1,0)+TblConstr[[#This Row],[Ch_Swamp]]</f>
        <v>5</v>
      </c>
      <c r="L63" s="197" t="n">
        <f aca="false">OFFSET(TblConstr[[#This Row],[Cavern]],-1,0)+TblConstr[[#This Row],[Ch_Cavern]]</f>
        <v>6</v>
      </c>
      <c r="M63" s="198" t="n">
        <f aca="false">OFFSET(TblConstr[[#This Row],[Water]],-1,0)+TblConstr[[#This Row],[Ch_Water]]</f>
        <v>7</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0.0975232198142415</v>
      </c>
      <c r="AJ63" s="130" t="n">
        <f aca="false">MIN(25%,(TblConstr[[#This Row],[Tot Fac]]+TblConstr[[#This Row],[Dest Fac]])/TblConstr[[#This Row],[Land]])</f>
        <v>0.0975232198142415</v>
      </c>
      <c r="AK63" s="69" t="n">
        <f aca="false">TblProd[[#This Row],[Platinum]]</f>
        <v>1319455</v>
      </c>
      <c r="AL63" s="69" t="n">
        <f aca="false">TblProd[[#This Row],[Lumber]]</f>
        <v>99509</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554</v>
      </c>
      <c r="AN63" s="69" t="n">
        <f aca="false">ROUNDDOWN( MAX(1 - MIN(facs_constr_factor*TblConstr[[#This Row],[Facs -DB]],facs_constr_max) + tech_1_11*TblTech[[#This Row],[11-1]] + tech_6_3_2*TblTech[[#This Row],[6-3]] + tech_5_2_3*TblTech[[#This Row],[5-2]], 1-global_constr_cap) * TblConstr[[#This Row],[RCPA Lumber]],0)</f>
        <v>102</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554</v>
      </c>
      <c r="AP63" s="69" t="n">
        <f aca="false">ROUNDDOWN( MAX(1 - MIN(facs_constr_factor*TblConstr[[#This Row],[Facs DB]],facs_constr_max) + tech_1_11*TblTech[[#This Row],[1-11]] + tech_6_3_2*TblTech[[#This Row],[6-3]] + tech_5_2_3*TblTech[[#This Row],[5-2]], 1-global_constr_cap) * ROUND((TblConstr[[#This Row],[Land]]-250)*0.285 + 87.5 + 0/4.25,0),0)</f>
        <v>102</v>
      </c>
      <c r="AQ63" s="1" t="n">
        <f aca="false">TblConstr[[#This Row],[build -db]]*TblConstr[[#This Row],[CPA Platinum -DB]] + TblConstr[[#This Row],[build db]]*TblConstr[[#This Row],[CPA Platinum DB]]</f>
        <v>-29362</v>
      </c>
      <c r="AR63" s="1" t="n">
        <f aca="false">TblConstr[[#This Row],[build -db]]*TblConstr[[#This Row],[CPA Lumber -DB]]+TblConstr[[#This Row],[build db]]*TblConstr[[#This Row],[CPA Lumber DB]]</f>
        <v>-5406</v>
      </c>
      <c r="AS63" s="69" t="n">
        <f aca="false">MIN(SUM(OFFSET(TblConstr[[#This Row],[Plain]:[Water]],-1,0))+SUM(TblConstr[[#This Row],[Dest Hom]:[Dest Doc]])+IF(TblConstr[[#This Row],[Hour]]&gt;12,SUM(OFFSET(TblExplore[[#This Row],[Plains Explore]:[Water Explore]],-12,0)),0),SUM(TblConstr[[#This Row],[Hom]:[Doc]]))</f>
        <v>-53</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1345</v>
      </c>
      <c r="AW63" s="69" t="n">
        <f aca="false">ROUND((TblConstr[[#This Row],[Land]]-250 - IF(TblExplore[[#This Row],[Land Bonus]]&lt;&gt;0,20,0))*0.285 + 87.5 + 0/4.25,0)</f>
        <v>200</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646</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349</v>
      </c>
      <c r="DA63" s="69" t="n">
        <f aca="false">H63+SUM(T52:U63)+SUM(BD63:BE63)</f>
        <v>27</v>
      </c>
      <c r="DB63" s="1" t="n">
        <f aca="false">I63+SUM(V52:W63)+SUM(BF63:BG63)</f>
        <v>3</v>
      </c>
      <c r="DC63" s="69" t="n">
        <f aca="false">J63+SUM(X52:Y63)+SUM(BH63:BI63)</f>
        <v>71</v>
      </c>
      <c r="DD63" s="69" t="n">
        <f aca="false">K63+SUM(AB52:AD63)+SUM(BL63:BN63)</f>
        <v>81</v>
      </c>
      <c r="DE63" s="1" t="n">
        <f aca="false">L63+SUM(AE52:AE63)+BO63</f>
        <v>6</v>
      </c>
      <c r="DF63" s="69" t="n">
        <f aca="false">M63+SUM(AG52:AG63)+BQ63</f>
        <v>31</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-54</v>
      </c>
      <c r="C64" s="172" t="n">
        <f aca="false">SUM(TblConstr[[#This Row],[Tot Hom]:[Tot Doc]])</f>
        <v>574</v>
      </c>
      <c r="D64" s="172" t="n">
        <f aca="false">SUM(O53:AG64)</f>
        <v>126</v>
      </c>
      <c r="E64" s="173"/>
      <c r="F64" s="33" t="n">
        <f aca="false">TblConstr[[#This Row],[Barren]]+TblConstr[[#This Row],[Buildings]]+TblConstr[[#This Row],[Incoming]]</f>
        <v>646</v>
      </c>
      <c r="G64" s="199" t="n">
        <f aca="false">OFFSET(TblConstr[[#This Row],[Plain]],-1,0)+TblConstr[[#This Row],[Ch_Plain]]</f>
        <v>-81</v>
      </c>
      <c r="H64" s="193" t="n">
        <f aca="false">OFFSET(TblConstr[[#This Row],[Forest]],-1,0)+TblConstr[[#This Row],[Ch_Forest]]</f>
        <v>2</v>
      </c>
      <c r="I64" s="200" t="n">
        <f aca="false">OFFSET(TblConstr[[#This Row],[Mountain]],-1,0)+TblConstr[[#This Row],[Ch_Mountain]]</f>
        <v>3</v>
      </c>
      <c r="J64" s="201" t="n">
        <f aca="false">OFFSET(TblConstr[[#This Row],[Hill]],-1,0)+TblConstr[[#This Row],[Ch_Hill]]</f>
        <v>4</v>
      </c>
      <c r="K64" s="202" t="n">
        <f aca="false">OFFSET(TblConstr[[#This Row],[Swamp]],-1,0)+TblConstr[[#This Row],[Ch_Swamp]]</f>
        <v>5</v>
      </c>
      <c r="L64" s="197" t="n">
        <f aca="false">OFFSET(TblConstr[[#This Row],[Cavern]],-1,0)+TblConstr[[#This Row],[Ch_Cavern]]</f>
        <v>6</v>
      </c>
      <c r="M64" s="198" t="n">
        <f aca="false">OFFSET(TblConstr[[#This Row],[Water]],-1,0)+TblConstr[[#This Row],[Ch_Water]]</f>
        <v>7</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0.0959752321981424</v>
      </c>
      <c r="AJ64" s="130" t="n">
        <f aca="false">MIN(25%,(TblConstr[[#This Row],[Tot Fac]]+TblConstr[[#This Row],[Dest Fac]])/TblConstr[[#This Row],[Land]])</f>
        <v>0.0959752321981424</v>
      </c>
      <c r="AK64" s="69" t="n">
        <f aca="false">TblProd[[#This Row],[Platinum]]</f>
        <v>618020</v>
      </c>
      <c r="AL64" s="69" t="n">
        <f aca="false">TblProd[[#This Row],[Lumber]]</f>
        <v>100055</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64" s="69" t="n">
        <f aca="false">ROUNDDOWN( MAX(1 - MIN(facs_constr_factor*TblConstr[[#This Row],[Facs -DB]],facs_constr_max) + tech_1_11*TblTech[[#This Row],[11-1]] + tech_6_3_2*TblTech[[#This Row],[6-3]] + tech_5_2_3*TblTech[[#This Row],[5-2]], 1-global_constr_cap) * TblConstr[[#This Row],[RCPA Lumber]],0)</f>
        <v>104</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64" s="69" t="n">
        <f aca="false">ROUNDDOWN( MAX(1 - MIN(facs_constr_factor*TblConstr[[#This Row],[Facs DB]],facs_constr_max) + tech_1_11*TblTech[[#This Row],[1-11]] + tech_6_3_2*TblTech[[#This Row],[6-3]] + tech_5_2_3*TblTech[[#This Row],[5-2]], 1-global_constr_cap) * ROUND((TblConstr[[#This Row],[Land]]-250)*0.285 + 87.5 + 0/4.25,0),0)</f>
        <v>104</v>
      </c>
      <c r="AQ64" s="1" t="n">
        <f aca="false">TblConstr[[#This Row],[build -db]]*TblConstr[[#This Row],[CPA Platinum -DB]] + TblConstr[[#This Row],[build db]]*TblConstr[[#This Row],[CPA Platinum DB]]</f>
        <v>-2260</v>
      </c>
      <c r="AR64" s="1" t="n">
        <f aca="false">TblConstr[[#This Row],[build -db]]*TblConstr[[#This Row],[CPA Lumber -DB]]+TblConstr[[#This Row],[build db]]*TblConstr[[#This Row],[CPA Lumber DB]]</f>
        <v>-416</v>
      </c>
      <c r="AS64" s="69" t="n">
        <f aca="false">MIN(SUM(OFFSET(TblConstr[[#This Row],[Plain]:[Water]],-1,0))+SUM(TblConstr[[#This Row],[Dest Hom]:[Dest Doc]])+IF(TblConstr[[#This Row],[Hour]]&gt;12,SUM(OFFSET(TblExplore[[#This Row],[Plains Explore]:[Water Explore]],-12,0)),0),SUM(TblConstr[[#This Row],[Hom]:[Doc]]))</f>
        <v>-4</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1345</v>
      </c>
      <c r="AW64" s="69" t="n">
        <f aca="false">ROUND((TblConstr[[#This Row],[Land]]-250 - IF(TblExplore[[#This Row],[Land Bonus]]&lt;&gt;0,20,0))*0.285 + 87.5 + 0/4.25,0)</f>
        <v>200</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646</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349</v>
      </c>
      <c r="DA64" s="69" t="n">
        <f aca="false">H64+SUM(T53:U64)+SUM(BD64:BE64)</f>
        <v>27</v>
      </c>
      <c r="DB64" s="1" t="n">
        <f aca="false">I64+SUM(V53:W64)+SUM(BF64:BG64)</f>
        <v>3</v>
      </c>
      <c r="DC64" s="69" t="n">
        <f aca="false">J64+SUM(X53:Y64)+SUM(BH64:BI64)</f>
        <v>71</v>
      </c>
      <c r="DD64" s="69" t="n">
        <f aca="false">K64+SUM(AB53:AD64)+SUM(BL64:BN64)</f>
        <v>81</v>
      </c>
      <c r="DE64" s="1" t="n">
        <f aca="false">L64+SUM(AE53:AE64)+BO64</f>
        <v>6</v>
      </c>
      <c r="DF64" s="69" t="n">
        <f aca="false">M64+SUM(AG53:AG64)+BQ64</f>
        <v>31</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-54</v>
      </c>
      <c r="C65" s="172" t="n">
        <f aca="false">SUM(TblConstr[[#This Row],[Tot Hom]:[Tot Doc]])</f>
        <v>582</v>
      </c>
      <c r="D65" s="172" t="n">
        <f aca="false">SUM(O54:AG65)</f>
        <v>118</v>
      </c>
      <c r="E65" s="173"/>
      <c r="F65" s="33" t="n">
        <f aca="false">TblConstr[[#This Row],[Barren]]+TblConstr[[#This Row],[Buildings]]+TblConstr[[#This Row],[Incoming]]</f>
        <v>646</v>
      </c>
      <c r="G65" s="199" t="n">
        <f aca="false">OFFSET(TblConstr[[#This Row],[Plain]],-1,0)+TblConstr[[#This Row],[Ch_Plain]]</f>
        <v>-81</v>
      </c>
      <c r="H65" s="193" t="n">
        <f aca="false">OFFSET(TblConstr[[#This Row],[Forest]],-1,0)+TblConstr[[#This Row],[Ch_Forest]]</f>
        <v>2</v>
      </c>
      <c r="I65" s="200" t="n">
        <f aca="false">OFFSET(TblConstr[[#This Row],[Mountain]],-1,0)+TblConstr[[#This Row],[Ch_Mountain]]</f>
        <v>3</v>
      </c>
      <c r="J65" s="201" t="n">
        <f aca="false">OFFSET(TblConstr[[#This Row],[Hill]],-1,0)+TblConstr[[#This Row],[Ch_Hill]]</f>
        <v>4</v>
      </c>
      <c r="K65" s="202" t="n">
        <f aca="false">OFFSET(TblConstr[[#This Row],[Swamp]],-1,0)+TblConstr[[#This Row],[Ch_Swamp]]</f>
        <v>5</v>
      </c>
      <c r="L65" s="197" t="n">
        <f aca="false">OFFSET(TblConstr[[#This Row],[Cavern]],-1,0)+TblConstr[[#This Row],[Ch_Cavern]]</f>
        <v>6</v>
      </c>
      <c r="M65" s="198" t="n">
        <f aca="false">OFFSET(TblConstr[[#This Row],[Water]],-1,0)+TblConstr[[#This Row],[Ch_Water]]</f>
        <v>7</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0.0185758513931889</v>
      </c>
      <c r="AJ65" s="130" t="n">
        <f aca="false">MIN(25%,(TblConstr[[#This Row],[Tot Fac]]+TblConstr[[#This Row],[Dest Fac]])/TblConstr[[#This Row],[Land]])</f>
        <v>0.0185758513931889</v>
      </c>
      <c r="AK65" s="69" t="n">
        <f aca="false">TblProd[[#This Row],[Platinum]]</f>
        <v>718144</v>
      </c>
      <c r="AL65" s="69" t="n">
        <f aca="false">TblProd[[#This Row],[Lumber]]</f>
        <v>109048</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1085</v>
      </c>
      <c r="AN65" s="69" t="n">
        <f aca="false">ROUNDDOWN( MAX(1 - MIN(facs_constr_factor*TblConstr[[#This Row],[Facs -DB]],facs_constr_max) + tech_1_11*TblTech[[#This Row],[11-1]] + tech_6_3_2*TblTech[[#This Row],[6-3]] + tech_5_2_3*TblTech[[#This Row],[5-2]], 1-global_constr_cap) * TblConstr[[#This Row],[RCPA Lumber]],0)</f>
        <v>181</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1085</v>
      </c>
      <c r="AP65" s="69" t="n">
        <f aca="false">ROUNDDOWN( MAX(1 - MIN(facs_constr_factor*TblConstr[[#This Row],[Facs DB]],facs_constr_max) + tech_1_11*TblTech[[#This Row],[1-11]] + tech_6_3_2*TblTech[[#This Row],[6-3]] + tech_5_2_3*TblTech[[#This Row],[5-2]], 1-global_constr_cap) * ROUND((TblConstr[[#This Row],[Land]]-250)*0.285 + 87.5 + 0/4.25,0),0)</f>
        <v>181</v>
      </c>
      <c r="AQ65" s="1" t="n">
        <f aca="false">TblConstr[[#This Row],[build -db]]*TblConstr[[#This Row],[CPA Platinum -DB]] + TblConstr[[#This Row],[build db]]*TblConstr[[#This Row],[CPA Platinum DB]]</f>
        <v>-53165</v>
      </c>
      <c r="AR65" s="1" t="n">
        <f aca="false">TblConstr[[#This Row],[build -db]]*TblConstr[[#This Row],[CPA Lumber -DB]]+TblConstr[[#This Row],[build db]]*TblConstr[[#This Row],[CPA Lumber DB]]</f>
        <v>-8869</v>
      </c>
      <c r="AS65" s="69" t="n">
        <f aca="false">MIN(SUM(OFFSET(TblConstr[[#This Row],[Plain]:[Water]],-1,0))+SUM(TblConstr[[#This Row],[Dest Hom]:[Dest Doc]])+IF(TblConstr[[#This Row],[Hour]]&gt;12,SUM(OFFSET(TblExplore[[#This Row],[Plains Explore]:[Water Explore]],-12,0)),0),SUM(TblConstr[[#This Row],[Hom]:[Doc]]))</f>
        <v>-49</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1345</v>
      </c>
      <c r="AW65" s="69" t="n">
        <f aca="false">ROUND((TblConstr[[#This Row],[Land]]-250 - IF(TblExplore[[#This Row],[Land Bonus]]&lt;&gt;0,20,0))*0.285 + 87.5 + 0/4.25,0)</f>
        <v>200</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646</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349</v>
      </c>
      <c r="DA65" s="69" t="n">
        <f aca="false">H65+SUM(T54:U65)+SUM(BD65:BE65)</f>
        <v>27</v>
      </c>
      <c r="DB65" s="1" t="n">
        <f aca="false">I65+SUM(V54:W65)+SUM(BF65:BG65)</f>
        <v>3</v>
      </c>
      <c r="DC65" s="69" t="n">
        <f aca="false">J65+SUM(X54:Y65)+SUM(BH65:BI65)</f>
        <v>66</v>
      </c>
      <c r="DD65" s="69" t="n">
        <f aca="false">K65+SUM(AB54:AD65)+SUM(BL65:BN65)</f>
        <v>81</v>
      </c>
      <c r="DE65" s="1" t="n">
        <f aca="false">L65+SUM(AE54:AE65)+BO65</f>
        <v>6</v>
      </c>
      <c r="DF65" s="69" t="n">
        <f aca="false">M65+SUM(AG54:AG65)+BQ65</f>
        <v>31</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-54</v>
      </c>
      <c r="C66" s="172" t="n">
        <f aca="false">SUM(TblConstr[[#This Row],[Tot Hom]:[Tot Doc]])</f>
        <v>591</v>
      </c>
      <c r="D66" s="172" t="n">
        <f aca="false">SUM(O55:AG66)</f>
        <v>109</v>
      </c>
      <c r="E66" s="173"/>
      <c r="F66" s="33" t="n">
        <f aca="false">TblConstr[[#This Row],[Barren]]+TblConstr[[#This Row],[Buildings]]+TblConstr[[#This Row],[Incoming]]</f>
        <v>646</v>
      </c>
      <c r="G66" s="199" t="n">
        <f aca="false">OFFSET(TblConstr[[#This Row],[Plain]],-1,0)+TblConstr[[#This Row],[Ch_Plain]]</f>
        <v>-81</v>
      </c>
      <c r="H66" s="193" t="n">
        <f aca="false">OFFSET(TblConstr[[#This Row],[Forest]],-1,0)+TblConstr[[#This Row],[Ch_Forest]]</f>
        <v>2</v>
      </c>
      <c r="I66" s="200" t="n">
        <f aca="false">OFFSET(TblConstr[[#This Row],[Mountain]],-1,0)+TblConstr[[#This Row],[Ch_Mountain]]</f>
        <v>3</v>
      </c>
      <c r="J66" s="201" t="n">
        <f aca="false">OFFSET(TblConstr[[#This Row],[Hill]],-1,0)+TblConstr[[#This Row],[Ch_Hill]]</f>
        <v>4</v>
      </c>
      <c r="K66" s="202" t="n">
        <f aca="false">OFFSET(TblConstr[[#This Row],[Swamp]],-1,0)+TblConstr[[#This Row],[Ch_Swamp]]</f>
        <v>5</v>
      </c>
      <c r="L66" s="197" t="n">
        <f aca="false">OFFSET(TblConstr[[#This Row],[Cavern]],-1,0)+TblConstr[[#This Row],[Ch_Cavern]]</f>
        <v>6</v>
      </c>
      <c r="M66" s="198" t="n">
        <f aca="false">OFFSET(TblConstr[[#This Row],[Water]],-1,0)+TblConstr[[#This Row],[Ch_Water]]</f>
        <v>7</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0.0108359133126935</v>
      </c>
      <c r="AJ66" s="130" t="n">
        <f aca="false">MIN(25%,(TblConstr[[#This Row],[Tot Fac]]+TblConstr[[#This Row],[Dest Fac]])/TblConstr[[#This Row],[Land]])</f>
        <v>0.0108359133126935</v>
      </c>
      <c r="AK66" s="69" t="n">
        <f aca="false">TblProd[[#This Row],[Platinum]]</f>
        <v>820522</v>
      </c>
      <c r="AL66" s="69" t="n">
        <f aca="false">TblProd[[#This Row],[Lumber]]</f>
        <v>118344</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1137</v>
      </c>
      <c r="AN66" s="69" t="n">
        <f aca="false">ROUNDDOWN( MAX(1 - MIN(facs_constr_factor*TblConstr[[#This Row],[Facs -DB]],facs_constr_max) + tech_1_11*TblTech[[#This Row],[11-1]] + tech_6_3_2*TblTech[[#This Row],[6-3]] + tech_5_2_3*TblTech[[#This Row],[5-2]], 1-global_constr_cap) * TblConstr[[#This Row],[RCPA Lumber]],0)</f>
        <v>189</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1137</v>
      </c>
      <c r="AP66" s="69" t="n">
        <f aca="false">ROUNDDOWN( MAX(1 - MIN(facs_constr_factor*TblConstr[[#This Row],[Facs DB]],facs_constr_max) + tech_1_11*TblTech[[#This Row],[1-11]] + tech_6_3_2*TblTech[[#This Row],[6-3]] + tech_5_2_3*TblTech[[#This Row],[5-2]], 1-global_constr_cap) * ROUND((TblConstr[[#This Row],[Land]]-250)*0.285 + 87.5 + 0/4.25,0),0)</f>
        <v>189</v>
      </c>
      <c r="AQ66" s="1" t="n">
        <f aca="false">TblConstr[[#This Row],[build -db]]*TblConstr[[#This Row],[CPA Platinum -DB]] + TblConstr[[#This Row],[build db]]*TblConstr[[#This Row],[CPA Platinum DB]]</f>
        <v>-55713</v>
      </c>
      <c r="AR66" s="1" t="n">
        <f aca="false">TblConstr[[#This Row],[build -db]]*TblConstr[[#This Row],[CPA Lumber -DB]]+TblConstr[[#This Row],[build db]]*TblConstr[[#This Row],[CPA Lumber DB]]</f>
        <v>-9261</v>
      </c>
      <c r="AS66" s="69" t="n">
        <f aca="false">MIN(SUM(OFFSET(TblConstr[[#This Row],[Plain]:[Water]],-1,0))+SUM(TblConstr[[#This Row],[Dest Hom]:[Dest Doc]])+IF(TblConstr[[#This Row],[Hour]]&gt;12,SUM(OFFSET(TblExplore[[#This Row],[Plains Explore]:[Water Explore]],-12,0)),0),SUM(TblConstr[[#This Row],[Hom]:[Doc]]))</f>
        <v>-49</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1345</v>
      </c>
      <c r="AW66" s="69" t="n">
        <f aca="false">ROUND((TblConstr[[#This Row],[Land]]-250 - IF(TblExplore[[#This Row],[Land Bonus]]&lt;&gt;0,20,0))*0.285 + 87.5 + 0/4.25,0)</f>
        <v>200</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646</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349</v>
      </c>
      <c r="DA66" s="69" t="n">
        <f aca="false">H66+SUM(T55:U66)+SUM(BD66:BE66)</f>
        <v>27</v>
      </c>
      <c r="DB66" s="1" t="n">
        <f aca="false">I66+SUM(V55:W66)+SUM(BF66:BG66)</f>
        <v>3</v>
      </c>
      <c r="DC66" s="69" t="n">
        <f aca="false">J66+SUM(X55:Y66)+SUM(BH66:BI66)</f>
        <v>61</v>
      </c>
      <c r="DD66" s="69" t="n">
        <f aca="false">K66+SUM(AB55:AD66)+SUM(BL66:BN66)</f>
        <v>81</v>
      </c>
      <c r="DE66" s="1" t="n">
        <f aca="false">L66+SUM(AE55:AE66)+BO66</f>
        <v>6</v>
      </c>
      <c r="DF66" s="69" t="n">
        <f aca="false">M66+SUM(AG55:AG66)+BQ66</f>
        <v>31</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-54</v>
      </c>
      <c r="C67" s="172" t="n">
        <f aca="false">SUM(TblConstr[[#This Row],[Tot Hom]:[Tot Doc]])</f>
        <v>602</v>
      </c>
      <c r="D67" s="172" t="n">
        <f aca="false">SUM(O56:AG67)</f>
        <v>98</v>
      </c>
      <c r="E67" s="173"/>
      <c r="F67" s="33" t="n">
        <f aca="false">TblConstr[[#This Row],[Barren]]+TblConstr[[#This Row],[Buildings]]+TblConstr[[#This Row],[Incoming]]</f>
        <v>646</v>
      </c>
      <c r="G67" s="199" t="n">
        <f aca="false">OFFSET(TblConstr[[#This Row],[Plain]],-1,0)+TblConstr[[#This Row],[Ch_Plain]]</f>
        <v>-81</v>
      </c>
      <c r="H67" s="193" t="n">
        <f aca="false">OFFSET(TblConstr[[#This Row],[Forest]],-1,0)+TblConstr[[#This Row],[Ch_Forest]]</f>
        <v>2</v>
      </c>
      <c r="I67" s="200" t="n">
        <f aca="false">OFFSET(TblConstr[[#This Row],[Mountain]],-1,0)+TblConstr[[#This Row],[Ch_Mountain]]</f>
        <v>3</v>
      </c>
      <c r="J67" s="201" t="n">
        <f aca="false">OFFSET(TblConstr[[#This Row],[Hill]],-1,0)+TblConstr[[#This Row],[Ch_Hill]]</f>
        <v>4</v>
      </c>
      <c r="K67" s="202" t="n">
        <f aca="false">OFFSET(TblConstr[[#This Row],[Swamp]],-1,0)+TblConstr[[#This Row],[Ch_Swamp]]</f>
        <v>5</v>
      </c>
      <c r="L67" s="197" t="n">
        <f aca="false">OFFSET(TblConstr[[#This Row],[Cavern]],-1,0)+TblConstr[[#This Row],[Ch_Cavern]]</f>
        <v>6</v>
      </c>
      <c r="M67" s="198" t="n">
        <f aca="false">OFFSET(TblConstr[[#This Row],[Water]],-1,0)+TblConstr[[#This Row],[Ch_Water]]</f>
        <v>7</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0.00309597523219814</v>
      </c>
      <c r="AJ67" s="130" t="n">
        <f aca="false">MIN(25%,(TblConstr[[#This Row],[Tot Fac]]+TblConstr[[#This Row],[Dest Fac]])/TblConstr[[#This Row],[Land]])</f>
        <v>0.00309597523219814</v>
      </c>
      <c r="AK67" s="69" t="n">
        <f aca="false">TblProd[[#This Row],[Platinum]]</f>
        <v>794516</v>
      </c>
      <c r="AL67" s="69" t="n">
        <f aca="false">TblProd[[#This Row],[Lumber]]</f>
        <v>128478</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1189</v>
      </c>
      <c r="AN67" s="69" t="n">
        <f aca="false">ROUNDDOWN( MAX(1 - MIN(facs_constr_factor*TblConstr[[#This Row],[Facs -DB]],facs_constr_max) + tech_1_11*TblTech[[#This Row],[11-1]] + tech_6_3_2*TblTech[[#This Row],[6-3]] + tech_5_2_3*TblTech[[#This Row],[5-2]], 1-global_constr_cap) * TblConstr[[#This Row],[RCPA Lumber]],0)</f>
        <v>196</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1189</v>
      </c>
      <c r="AP67" s="69" t="n">
        <f aca="false">ROUNDDOWN( MAX(1 - MIN(facs_constr_factor*TblConstr[[#This Row],[Facs DB]],facs_constr_max) + tech_1_11*TblTech[[#This Row],[1-11]] + tech_6_3_2*TblTech[[#This Row],[6-3]] + tech_5_2_3*TblTech[[#This Row],[5-2]], 1-global_constr_cap) * ROUND((TblConstr[[#This Row],[Land]]-250)*0.285 + 87.5 + 0/4.25,0),0)</f>
        <v>196</v>
      </c>
      <c r="AQ67" s="1" t="n">
        <f aca="false">TblConstr[[#This Row],[build -db]]*TblConstr[[#This Row],[CPA Platinum -DB]] + TblConstr[[#This Row],[build db]]*TblConstr[[#This Row],[CPA Platinum DB]]</f>
        <v>-61828</v>
      </c>
      <c r="AR67" s="1" t="n">
        <f aca="false">TblConstr[[#This Row],[build -db]]*TblConstr[[#This Row],[CPA Lumber -DB]]+TblConstr[[#This Row],[build db]]*TblConstr[[#This Row],[CPA Lumber DB]]</f>
        <v>-10192</v>
      </c>
      <c r="AS67" s="69" t="n">
        <f aca="false">MIN(SUM(OFFSET(TblConstr[[#This Row],[Plain]:[Water]],-1,0))+SUM(TblConstr[[#This Row],[Dest Hom]:[Dest Doc]])+IF(TblConstr[[#This Row],[Hour]]&gt;12,SUM(OFFSET(TblExplore[[#This Row],[Plains Explore]:[Water Explore]],-12,0)),0),SUM(TblConstr[[#This Row],[Hom]:[Doc]]))</f>
        <v>-52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1345</v>
      </c>
      <c r="AW67" s="69" t="n">
        <f aca="false">ROUND((TblConstr[[#This Row],[Land]]-250 - IF(TblExplore[[#This Row],[Land Bonus]]&lt;&gt;0,20,0))*0.285 + 87.5 + 0/4.25,0)</f>
        <v>200</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646</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349</v>
      </c>
      <c r="DA67" s="69" t="n">
        <f aca="false">H67+SUM(T56:U67)+SUM(BD67:BE67)</f>
        <v>27</v>
      </c>
      <c r="DB67" s="1" t="n">
        <f aca="false">I67+SUM(V56:W67)+SUM(BF67:BG67)</f>
        <v>3</v>
      </c>
      <c r="DC67" s="69" t="n">
        <f aca="false">J67+SUM(X56:Y67)+SUM(BH67:BI67)</f>
        <v>59</v>
      </c>
      <c r="DD67" s="69" t="n">
        <f aca="false">K67+SUM(AB56:AD67)+SUM(BL67:BN67)</f>
        <v>81</v>
      </c>
      <c r="DE67" s="1" t="n">
        <f aca="false">L67+SUM(AE56:AE67)+BO67</f>
        <v>6</v>
      </c>
      <c r="DF67" s="69" t="n">
        <f aca="false">M67+SUM(AG56:AG67)+BQ67</f>
        <v>31</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-54</v>
      </c>
      <c r="C68" s="172" t="n">
        <f aca="false">SUM(TblConstr[[#This Row],[Tot Hom]:[Tot Doc]])</f>
        <v>613</v>
      </c>
      <c r="D68" s="172" t="n">
        <f aca="false">SUM(O57:AG68)</f>
        <v>87</v>
      </c>
      <c r="E68" s="173"/>
      <c r="F68" s="33" t="n">
        <f aca="false">TblConstr[[#This Row],[Barren]]+TblConstr[[#This Row],[Buildings]]+TblConstr[[#This Row],[Incoming]]</f>
        <v>646</v>
      </c>
      <c r="G68" s="199" t="n">
        <f aca="false">OFFSET(TblConstr[[#This Row],[Plain]],-1,0)+TblConstr[[#This Row],[Ch_Plain]]</f>
        <v>-81</v>
      </c>
      <c r="H68" s="193" t="n">
        <f aca="false">OFFSET(TblConstr[[#This Row],[Forest]],-1,0)+TblConstr[[#This Row],[Ch_Forest]]</f>
        <v>2</v>
      </c>
      <c r="I68" s="200" t="n">
        <f aca="false">OFFSET(TblConstr[[#This Row],[Mountain]],-1,0)+TblConstr[[#This Row],[Ch_Mountain]]</f>
        <v>3</v>
      </c>
      <c r="J68" s="201" t="n">
        <f aca="false">OFFSET(TblConstr[[#This Row],[Hill]],-1,0)+TblConstr[[#This Row],[Ch_Hill]]</f>
        <v>4</v>
      </c>
      <c r="K68" s="202" t="n">
        <f aca="false">OFFSET(TblConstr[[#This Row],[Swamp]],-1,0)+TblConstr[[#This Row],[Ch_Swamp]]</f>
        <v>5</v>
      </c>
      <c r="L68" s="197" t="n">
        <f aca="false">OFFSET(TblConstr[[#This Row],[Cavern]],-1,0)+TblConstr[[#This Row],[Ch_Cavern]]</f>
        <v>6</v>
      </c>
      <c r="M68" s="198" t="n">
        <f aca="false">OFFSET(TblConstr[[#This Row],[Water]],-1,0)+TblConstr[[#This Row],[Ch_Water]]</f>
        <v>7</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887582</v>
      </c>
      <c r="AL68" s="69" t="n">
        <f aca="false">TblProd[[#This Row],[Lumber]]</f>
        <v>139118</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8" s="69" t="n">
        <f aca="false">ROUNDDOWN( MAX(1 - MIN(facs_constr_factor*TblConstr[[#This Row],[Facs -DB]],facs_constr_max) + tech_1_11*TblTech[[#This Row],[11-1]] + tech_6_3_2*TblTech[[#This Row],[6-3]] + tech_5_2_3*TblTech[[#This Row],[5-2]], 1-global_constr_cap) * TblConstr[[#This Row],[RCPA Lumber]],0)</f>
        <v>200</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8" s="69" t="n">
        <f aca="false">ROUNDDOWN( MAX(1 - MIN(facs_constr_factor*TblConstr[[#This Row],[Facs DB]],facs_constr_max) + tech_1_11*TblTech[[#This Row],[1-11]] + tech_6_3_2*TblTech[[#This Row],[6-3]] + tech_5_2_3*TblTech[[#This Row],[5-2]], 1-global_constr_cap) * ROUND((TblConstr[[#This Row],[Land]]-250)*0.285 + 87.5 + 0/4.25,0),0)</f>
        <v>200</v>
      </c>
      <c r="AQ68" s="1" t="n">
        <f aca="false">TblConstr[[#This Row],[build -db]]*TblConstr[[#This Row],[CPA Platinum -DB]] + TblConstr[[#This Row],[build db]]*TblConstr[[#This Row],[CPA Platinum DB]]</f>
        <v>-65340</v>
      </c>
      <c r="AR68" s="1" t="n">
        <f aca="false">TblConstr[[#This Row],[build -db]]*TblConstr[[#This Row],[CPA Lumber -DB]]+TblConstr[[#This Row],[build db]]*TblConstr[[#This Row],[CPA Lumber DB]]</f>
        <v>-10800</v>
      </c>
      <c r="AS68" s="69" t="n">
        <f aca="false">MIN(SUM(OFFSET(TblConstr[[#This Row],[Plain]:[Water]],-1,0))+SUM(TblConstr[[#This Row],[Dest Hom]:[Dest Doc]])+IF(TblConstr[[#This Row],[Hour]]&gt;12,SUM(OFFSET(TblExplore[[#This Row],[Plains Explore]:[Water Explore]],-12,0)),0),SUM(TblConstr[[#This Row],[Hom]:[Doc]]))</f>
        <v>-54</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1345</v>
      </c>
      <c r="AW68" s="69" t="n">
        <f aca="false">ROUND((TblConstr[[#This Row],[Land]]-250 - IF(TblExplore[[#This Row],[Land Bonus]]&lt;&gt;0,20,0))*0.285 + 87.5 + 0/4.25,0)</f>
        <v>200</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646</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349</v>
      </c>
      <c r="DA68" s="69" t="n">
        <f aca="false">H68+SUM(T57:U68)+SUM(BD68:BE68)</f>
        <v>27</v>
      </c>
      <c r="DB68" s="1" t="n">
        <f aca="false">I68+SUM(V57:W68)+SUM(BF68:BG68)</f>
        <v>3</v>
      </c>
      <c r="DC68" s="69" t="n">
        <f aca="false">J68+SUM(X57:Y68)+SUM(BH68:BI68)</f>
        <v>59</v>
      </c>
      <c r="DD68" s="69" t="n">
        <f aca="false">K68+SUM(AB57:AD68)+SUM(BL68:BN68)</f>
        <v>81</v>
      </c>
      <c r="DE68" s="1" t="n">
        <f aca="false">L68+SUM(AE57:AE68)+BO68</f>
        <v>6</v>
      </c>
      <c r="DF68" s="69" t="n">
        <f aca="false">M68+SUM(AG57:AG68)+BQ68</f>
        <v>31</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-54</v>
      </c>
      <c r="C69" s="172" t="n">
        <f aca="false">SUM(TblConstr[[#This Row],[Tot Hom]:[Tot Doc]])</f>
        <v>625</v>
      </c>
      <c r="D69" s="172" t="n">
        <f aca="false">SUM(O58:AG69)</f>
        <v>75</v>
      </c>
      <c r="E69" s="173"/>
      <c r="F69" s="33" t="n">
        <f aca="false">TblConstr[[#This Row],[Barren]]+TblConstr[[#This Row],[Buildings]]+TblConstr[[#This Row],[Incoming]]</f>
        <v>646</v>
      </c>
      <c r="G69" s="199" t="n">
        <f aca="false">OFFSET(TblConstr[[#This Row],[Plain]],-1,0)+TblConstr[[#This Row],[Ch_Plain]]</f>
        <v>-81</v>
      </c>
      <c r="H69" s="193" t="n">
        <f aca="false">OFFSET(TblConstr[[#This Row],[Forest]],-1,0)+TblConstr[[#This Row],[Ch_Forest]]</f>
        <v>2</v>
      </c>
      <c r="I69" s="200" t="n">
        <f aca="false">OFFSET(TblConstr[[#This Row],[Mountain]],-1,0)+TblConstr[[#This Row],[Ch_Mountain]]</f>
        <v>3</v>
      </c>
      <c r="J69" s="201" t="n">
        <f aca="false">OFFSET(TblConstr[[#This Row],[Hill]],-1,0)+TblConstr[[#This Row],[Ch_Hill]]</f>
        <v>4</v>
      </c>
      <c r="K69" s="202" t="n">
        <f aca="false">OFFSET(TblConstr[[#This Row],[Swamp]],-1,0)+TblConstr[[#This Row],[Ch_Swamp]]</f>
        <v>5</v>
      </c>
      <c r="L69" s="197" t="n">
        <f aca="false">OFFSET(TblConstr[[#This Row],[Cavern]],-1,0)+TblConstr[[#This Row],[Ch_Cavern]]</f>
        <v>6</v>
      </c>
      <c r="M69" s="198" t="n">
        <f aca="false">OFFSET(TblConstr[[#This Row],[Water]],-1,0)+TblConstr[[#This Row],[Ch_Water]]</f>
        <v>7</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980815</v>
      </c>
      <c r="AL69" s="69" t="n">
        <f aca="false">TblProd[[#This Row],[Lumber]]</f>
        <v>149652</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69" s="69" t="n">
        <f aca="false">ROUNDDOWN( MAX(1 - MIN(facs_constr_factor*TblConstr[[#This Row],[Facs -DB]],facs_constr_max) + tech_1_11*TblTech[[#This Row],[11-1]] + tech_6_3_2*TblTech[[#This Row],[6-3]] + tech_5_2_3*TblTech[[#This Row],[5-2]], 1-global_constr_cap) * TblConstr[[#This Row],[RCPA Lumber]],0)</f>
        <v>200</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69" s="69" t="n">
        <f aca="false">ROUNDDOWN( MAX(1 - MIN(facs_constr_factor*TblConstr[[#This Row],[Facs DB]],facs_constr_max) + tech_1_11*TblTech[[#This Row],[1-11]] + tech_6_3_2*TblTech[[#This Row],[6-3]] + tech_5_2_3*TblTech[[#This Row],[5-2]], 1-global_constr_cap) * ROUND((TblConstr[[#This Row],[Land]]-250)*0.285 + 87.5 + 0/4.25,0),0)</f>
        <v>200</v>
      </c>
      <c r="AQ69" s="1" t="n">
        <f aca="false">TblConstr[[#This Row],[build -db]]*TblConstr[[#This Row],[CPA Platinum -DB]] + TblConstr[[#This Row],[build db]]*TblConstr[[#This Row],[CPA Platinum DB]]</f>
        <v>-65340</v>
      </c>
      <c r="AR69" s="1" t="n">
        <f aca="false">TblConstr[[#This Row],[build -db]]*TblConstr[[#This Row],[CPA Lumber -DB]]+TblConstr[[#This Row],[build db]]*TblConstr[[#This Row],[CPA Lumber DB]]</f>
        <v>-10800</v>
      </c>
      <c r="AS69" s="69" t="n">
        <f aca="false">MIN(SUM(OFFSET(TblConstr[[#This Row],[Plain]:[Water]],-1,0))+SUM(TblConstr[[#This Row],[Dest Hom]:[Dest Doc]])+IF(TblConstr[[#This Row],[Hour]]&gt;12,SUM(OFFSET(TblExplore[[#This Row],[Plains Explore]:[Water Explore]],-12,0)),0),SUM(TblConstr[[#This Row],[Hom]:[Doc]]))</f>
        <v>-54</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1345</v>
      </c>
      <c r="AW69" s="69" t="n">
        <f aca="false">ROUND((TblConstr[[#This Row],[Land]]-250 - IF(TblExplore[[#This Row],[Land Bonus]]&lt;&gt;0,20,0))*0.285 + 87.5 + 0/4.25,0)</f>
        <v>200</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646</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349</v>
      </c>
      <c r="DA69" s="69" t="n">
        <f aca="false">H69+SUM(T58:U69)+SUM(BD69:BE69)</f>
        <v>27</v>
      </c>
      <c r="DB69" s="1" t="n">
        <f aca="false">I69+SUM(V58:W69)+SUM(BF69:BG69)</f>
        <v>3</v>
      </c>
      <c r="DC69" s="69" t="n">
        <f aca="false">J69+SUM(X58:Y69)+SUM(BH69:BI69)</f>
        <v>59</v>
      </c>
      <c r="DD69" s="69" t="n">
        <f aca="false">K69+SUM(AB58:AD69)+SUM(BL69:BN69)</f>
        <v>81</v>
      </c>
      <c r="DE69" s="1" t="n">
        <f aca="false">L69+SUM(AE58:AE69)+BO69</f>
        <v>6</v>
      </c>
      <c r="DF69" s="69" t="n">
        <f aca="false">M69+SUM(AG58:AG69)+BQ69</f>
        <v>31</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-54</v>
      </c>
      <c r="C70" s="172" t="n">
        <f aca="false">SUM(TblConstr[[#This Row],[Tot Hom]:[Tot Doc]])</f>
        <v>633</v>
      </c>
      <c r="D70" s="172" t="n">
        <f aca="false">SUM(O59:AG70)</f>
        <v>67</v>
      </c>
      <c r="E70" s="173"/>
      <c r="F70" s="33" t="n">
        <f aca="false">TblConstr[[#This Row],[Barren]]+TblConstr[[#This Row],[Buildings]]+TblConstr[[#This Row],[Incoming]]</f>
        <v>646</v>
      </c>
      <c r="G70" s="199" t="n">
        <f aca="false">OFFSET(TblConstr[[#This Row],[Plain]],-1,0)+TblConstr[[#This Row],[Ch_Plain]]</f>
        <v>-81</v>
      </c>
      <c r="H70" s="193" t="n">
        <f aca="false">OFFSET(TblConstr[[#This Row],[Forest]],-1,0)+TblConstr[[#This Row],[Ch_Forest]]</f>
        <v>2</v>
      </c>
      <c r="I70" s="200" t="n">
        <f aca="false">OFFSET(TblConstr[[#This Row],[Mountain]],-1,0)+TblConstr[[#This Row],[Ch_Mountain]]</f>
        <v>3</v>
      </c>
      <c r="J70" s="201" t="n">
        <f aca="false">OFFSET(TblConstr[[#This Row],[Hill]],-1,0)+TblConstr[[#This Row],[Ch_Hill]]</f>
        <v>4</v>
      </c>
      <c r="K70" s="202" t="n">
        <f aca="false">OFFSET(TblConstr[[#This Row],[Swamp]],-1,0)+TblConstr[[#This Row],[Ch_Swamp]]</f>
        <v>5</v>
      </c>
      <c r="L70" s="197" t="n">
        <f aca="false">OFFSET(TblConstr[[#This Row],[Cavern]],-1,0)+TblConstr[[#This Row],[Ch_Cavern]]</f>
        <v>6</v>
      </c>
      <c r="M70" s="198" t="n">
        <f aca="false">OFFSET(TblConstr[[#This Row],[Water]],-1,0)+TblConstr[[#This Row],[Ch_Water]]</f>
        <v>7</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1048413</v>
      </c>
      <c r="AL70" s="69" t="n">
        <f aca="false">TblProd[[#This Row],[Lumber]]</f>
        <v>160080</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0" s="69" t="n">
        <f aca="false">ROUNDDOWN( MAX(1 - MIN(facs_constr_factor*TblConstr[[#This Row],[Facs -DB]],facs_constr_max) + tech_1_11*TblTech[[#This Row],[11-1]] + tech_6_3_2*TblTech[[#This Row],[6-3]] + tech_5_2_3*TblTech[[#This Row],[5-2]], 1-global_constr_cap) * TblConstr[[#This Row],[RCPA Lumber]],0)</f>
        <v>200</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0" s="69" t="n">
        <f aca="false">ROUNDDOWN( MAX(1 - MIN(facs_constr_factor*TblConstr[[#This Row],[Facs DB]],facs_constr_max) + tech_1_11*TblTech[[#This Row],[1-11]] + tech_6_3_2*TblTech[[#This Row],[6-3]] + tech_5_2_3*TblTech[[#This Row],[5-2]], 1-global_constr_cap) * ROUND((TblConstr[[#This Row],[Land]]-250)*0.285 + 87.5 + 0/4.25,0),0)</f>
        <v>200</v>
      </c>
      <c r="AQ70" s="1" t="n">
        <f aca="false">TblConstr[[#This Row],[build -db]]*TblConstr[[#This Row],[CPA Platinum -DB]] + TblConstr[[#This Row],[build db]]*TblConstr[[#This Row],[CPA Platinum DB]]</f>
        <v>-65340</v>
      </c>
      <c r="AR70" s="1" t="n">
        <f aca="false">TblConstr[[#This Row],[build -db]]*TblConstr[[#This Row],[CPA Lumber -DB]]+TblConstr[[#This Row],[build db]]*TblConstr[[#This Row],[CPA Lumber DB]]</f>
        <v>-10800</v>
      </c>
      <c r="AS70" s="69" t="n">
        <f aca="false">MIN(SUM(OFFSET(TblConstr[[#This Row],[Plain]:[Water]],-1,0))+SUM(TblConstr[[#This Row],[Dest Hom]:[Dest Doc]])+IF(TblConstr[[#This Row],[Hour]]&gt;12,SUM(OFFSET(TblExplore[[#This Row],[Plains Explore]:[Water Explore]],-12,0)),0),SUM(TblConstr[[#This Row],[Hom]:[Doc]]))</f>
        <v>-54</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1345</v>
      </c>
      <c r="AW70" s="69" t="n">
        <f aca="false">ROUND((TblConstr[[#This Row],[Land]]-250 - IF(TblExplore[[#This Row],[Land Bonus]]&lt;&gt;0,20,0))*0.285 + 87.5 + 0/4.25,0)</f>
        <v>200</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646</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349</v>
      </c>
      <c r="DA70" s="69" t="n">
        <f aca="false">H70+SUM(T59:U70)+SUM(BD70:BE70)</f>
        <v>27</v>
      </c>
      <c r="DB70" s="1" t="n">
        <f aca="false">I70+SUM(V59:W70)+SUM(BF70:BG70)</f>
        <v>3</v>
      </c>
      <c r="DC70" s="69" t="n">
        <f aca="false">J70+SUM(X59:Y70)+SUM(BH70:BI70)</f>
        <v>59</v>
      </c>
      <c r="DD70" s="69" t="n">
        <f aca="false">K70+SUM(AB59:AD70)+SUM(BL70:BN70)</f>
        <v>81</v>
      </c>
      <c r="DE70" s="1" t="n">
        <f aca="false">L70+SUM(AE59:AE70)+BO70</f>
        <v>6</v>
      </c>
      <c r="DF70" s="69" t="n">
        <f aca="false">M70+SUM(AG59:AG70)+BQ70</f>
        <v>31</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-54</v>
      </c>
      <c r="C71" s="172" t="n">
        <f aca="false">SUM(TblConstr[[#This Row],[Tot Hom]:[Tot Doc]])</f>
        <v>634</v>
      </c>
      <c r="D71" s="172" t="n">
        <f aca="false">SUM(O60:AG71)</f>
        <v>66</v>
      </c>
      <c r="E71" s="173"/>
      <c r="F71" s="33" t="n">
        <f aca="false">TblConstr[[#This Row],[Barren]]+TblConstr[[#This Row],[Buildings]]+TblConstr[[#This Row],[Incoming]]</f>
        <v>646</v>
      </c>
      <c r="G71" s="199" t="n">
        <f aca="false">OFFSET(TblConstr[[#This Row],[Plain]],-1,0)+TblConstr[[#This Row],[Ch_Plain]]</f>
        <v>-81</v>
      </c>
      <c r="H71" s="193" t="n">
        <f aca="false">OFFSET(TblConstr[[#This Row],[Forest]],-1,0)+TblConstr[[#This Row],[Ch_Forest]]</f>
        <v>2</v>
      </c>
      <c r="I71" s="200" t="n">
        <f aca="false">OFFSET(TblConstr[[#This Row],[Mountain]],-1,0)+TblConstr[[#This Row],[Ch_Mountain]]</f>
        <v>3</v>
      </c>
      <c r="J71" s="201" t="n">
        <f aca="false">OFFSET(TblConstr[[#This Row],[Hill]],-1,0)+TblConstr[[#This Row],[Ch_Hill]]</f>
        <v>4</v>
      </c>
      <c r="K71" s="202" t="n">
        <f aca="false">OFFSET(TblConstr[[#This Row],[Swamp]],-1,0)+TblConstr[[#This Row],[Ch_Swamp]]</f>
        <v>5</v>
      </c>
      <c r="L71" s="197" t="n">
        <f aca="false">OFFSET(TblConstr[[#This Row],[Cavern]],-1,0)+TblConstr[[#This Row],[Ch_Cavern]]</f>
        <v>6</v>
      </c>
      <c r="M71" s="198" t="n">
        <f aca="false">OFFSET(TblConstr[[#This Row],[Water]],-1,0)+TblConstr[[#This Row],[Ch_Water]]</f>
        <v>7</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1119594</v>
      </c>
      <c r="AL71" s="69" t="n">
        <f aca="false">TblProd[[#This Row],[Lumber]]</f>
        <v>170404</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1" s="69" t="n">
        <f aca="false">ROUNDDOWN( MAX(1 - MIN(facs_constr_factor*TblConstr[[#This Row],[Facs -DB]],facs_constr_max) + tech_1_11*TblTech[[#This Row],[11-1]] + tech_6_3_2*TblTech[[#This Row],[6-3]] + tech_5_2_3*TblTech[[#This Row],[5-2]], 1-global_constr_cap) * TblConstr[[#This Row],[RCPA Lumber]],0)</f>
        <v>200</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1" s="69" t="n">
        <f aca="false">ROUNDDOWN( MAX(1 - MIN(facs_constr_factor*TblConstr[[#This Row],[Facs DB]],facs_constr_max) + tech_1_11*TblTech[[#This Row],[1-11]] + tech_6_3_2*TblTech[[#This Row],[6-3]] + tech_5_2_3*TblTech[[#This Row],[5-2]], 1-global_constr_cap) * ROUND((TblConstr[[#This Row],[Land]]-250)*0.285 + 87.5 + 0/4.25,0),0)</f>
        <v>200</v>
      </c>
      <c r="AQ71" s="1" t="n">
        <f aca="false">TblConstr[[#This Row],[build -db]]*TblConstr[[#This Row],[CPA Platinum -DB]] + TblConstr[[#This Row],[build db]]*TblConstr[[#This Row],[CPA Platinum DB]]</f>
        <v>-65340</v>
      </c>
      <c r="AR71" s="1" t="n">
        <f aca="false">TblConstr[[#This Row],[build -db]]*TblConstr[[#This Row],[CPA Lumber -DB]]+TblConstr[[#This Row],[build db]]*TblConstr[[#This Row],[CPA Lumber DB]]</f>
        <v>-10800</v>
      </c>
      <c r="AS71" s="69" t="n">
        <f aca="false">MIN(SUM(OFFSET(TblConstr[[#This Row],[Plain]:[Water]],-1,0))+SUM(TblConstr[[#This Row],[Dest Hom]:[Dest Doc]])+IF(TblConstr[[#This Row],[Hour]]&gt;12,SUM(OFFSET(TblExplore[[#This Row],[Plains Explore]:[Water Explore]],-12,0)),0),SUM(TblConstr[[#This Row],[Hom]:[Doc]]))</f>
        <v>-54</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1345</v>
      </c>
      <c r="AW71" s="69" t="n">
        <f aca="false">ROUND((TblConstr[[#This Row],[Land]]-250 - IF(TblExplore[[#This Row],[Land Bonus]]&lt;&gt;0,20,0))*0.285 + 87.5 + 0/4.25,0)</f>
        <v>200</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646</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349</v>
      </c>
      <c r="DA71" s="69" t="n">
        <f aca="false">H71+SUM(T60:U71)+SUM(BD71:BE71)</f>
        <v>27</v>
      </c>
      <c r="DB71" s="1" t="n">
        <f aca="false">I71+SUM(V60:W71)+SUM(BF71:BG71)</f>
        <v>3</v>
      </c>
      <c r="DC71" s="69" t="n">
        <f aca="false">J71+SUM(X60:Y71)+SUM(BH71:BI71)</f>
        <v>59</v>
      </c>
      <c r="DD71" s="69" t="n">
        <f aca="false">K71+SUM(AB60:AD71)+SUM(BL71:BN71)</f>
        <v>81</v>
      </c>
      <c r="DE71" s="1" t="n">
        <f aca="false">L71+SUM(AE60:AE71)+BO71</f>
        <v>6</v>
      </c>
      <c r="DF71" s="69" t="n">
        <f aca="false">M71+SUM(AG60:AG71)+BQ71</f>
        <v>31</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-54</v>
      </c>
      <c r="C72" s="172" t="n">
        <f aca="false">SUM(TblConstr[[#This Row],[Tot Hom]:[Tot Doc]])</f>
        <v>635</v>
      </c>
      <c r="D72" s="172" t="n">
        <f aca="false">SUM(O61:AG72)</f>
        <v>65</v>
      </c>
      <c r="E72" s="173"/>
      <c r="F72" s="33" t="n">
        <f aca="false">TblConstr[[#This Row],[Barren]]+TblConstr[[#This Row],[Buildings]]+TblConstr[[#This Row],[Incoming]]</f>
        <v>646</v>
      </c>
      <c r="G72" s="199" t="n">
        <f aca="false">OFFSET(TblConstr[[#This Row],[Plain]],-1,0)+TblConstr[[#This Row],[Ch_Plain]]</f>
        <v>-81</v>
      </c>
      <c r="H72" s="193" t="n">
        <f aca="false">OFFSET(TblConstr[[#This Row],[Forest]],-1,0)+TblConstr[[#This Row],[Ch_Forest]]</f>
        <v>2</v>
      </c>
      <c r="I72" s="200" t="n">
        <f aca="false">OFFSET(TblConstr[[#This Row],[Mountain]],-1,0)+TblConstr[[#This Row],[Ch_Mountain]]</f>
        <v>3</v>
      </c>
      <c r="J72" s="201" t="n">
        <f aca="false">OFFSET(TblConstr[[#This Row],[Hill]],-1,0)+TblConstr[[#This Row],[Ch_Hill]]</f>
        <v>4</v>
      </c>
      <c r="K72" s="202" t="n">
        <f aca="false">OFFSET(TblConstr[[#This Row],[Swamp]],-1,0)+TblConstr[[#This Row],[Ch_Swamp]]</f>
        <v>5</v>
      </c>
      <c r="L72" s="197" t="n">
        <f aca="false">OFFSET(TblConstr[[#This Row],[Cavern]],-1,0)+TblConstr[[#This Row],[Ch_Cavern]]</f>
        <v>6</v>
      </c>
      <c r="M72" s="198" t="n">
        <f aca="false">OFFSET(TblConstr[[#This Row],[Water]],-1,0)+TblConstr[[#This Row],[Ch_Water]]</f>
        <v>7</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1169451</v>
      </c>
      <c r="AL72" s="69" t="n">
        <f aca="false">TblProd[[#This Row],[Lumber]]</f>
        <v>180625</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2" s="69" t="n">
        <f aca="false">ROUNDDOWN( MAX(1 - MIN(facs_constr_factor*TblConstr[[#This Row],[Facs -DB]],facs_constr_max) + tech_1_11*TblTech[[#This Row],[11-1]] + tech_6_3_2*TblTech[[#This Row],[6-3]] + tech_5_2_3*TblTech[[#This Row],[5-2]], 1-global_constr_cap) * TblConstr[[#This Row],[RCPA Lumber]],0)</f>
        <v>200</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2" s="69" t="n">
        <f aca="false">ROUNDDOWN( MAX(1 - MIN(facs_constr_factor*TblConstr[[#This Row],[Facs DB]],facs_constr_max) + tech_1_11*TblTech[[#This Row],[1-11]] + tech_6_3_2*TblTech[[#This Row],[6-3]] + tech_5_2_3*TblTech[[#This Row],[5-2]], 1-global_constr_cap) * ROUND((TblConstr[[#This Row],[Land]]-250)*0.285 + 87.5 + 0/4.25,0),0)</f>
        <v>200</v>
      </c>
      <c r="AQ72" s="1" t="n">
        <f aca="false">TblConstr[[#This Row],[build -db]]*TblConstr[[#This Row],[CPA Platinum -DB]] + TblConstr[[#This Row],[build db]]*TblConstr[[#This Row],[CPA Platinum DB]]</f>
        <v>-65340</v>
      </c>
      <c r="AR72" s="1" t="n">
        <f aca="false">TblConstr[[#This Row],[build -db]]*TblConstr[[#This Row],[CPA Lumber -DB]]+TblConstr[[#This Row],[build db]]*TblConstr[[#This Row],[CPA Lumber DB]]</f>
        <v>-10800</v>
      </c>
      <c r="AS72" s="69" t="n">
        <f aca="false">MIN(SUM(OFFSET(TblConstr[[#This Row],[Plain]:[Water]],-1,0))+SUM(TblConstr[[#This Row],[Dest Hom]:[Dest Doc]])+IF(TblConstr[[#This Row],[Hour]]&gt;12,SUM(OFFSET(TblExplore[[#This Row],[Plains Explore]:[Water Explore]],-12,0)),0),SUM(TblConstr[[#This Row],[Hom]:[Doc]]))</f>
        <v>-54</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1345</v>
      </c>
      <c r="AW72" s="69" t="n">
        <f aca="false">ROUND((TblConstr[[#This Row],[Land]]-250 - IF(TblExplore[[#This Row],[Land Bonus]]&lt;&gt;0,20,0))*0.285 + 87.5 + 0/4.25,0)</f>
        <v>200</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646</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349</v>
      </c>
      <c r="DA72" s="69" t="n">
        <f aca="false">H72+SUM(T61:U72)+SUM(BD72:BE72)</f>
        <v>27</v>
      </c>
      <c r="DB72" s="1" t="n">
        <f aca="false">I72+SUM(V61:W72)+SUM(BF72:BG72)</f>
        <v>3</v>
      </c>
      <c r="DC72" s="69" t="n">
        <f aca="false">J72+SUM(X61:Y72)+SUM(BH72:BI72)</f>
        <v>59</v>
      </c>
      <c r="DD72" s="69" t="n">
        <f aca="false">K72+SUM(AB61:AD72)+SUM(BL72:BN72)</f>
        <v>81</v>
      </c>
      <c r="DE72" s="1" t="n">
        <f aca="false">L72+SUM(AE61:AE72)+BO72</f>
        <v>6</v>
      </c>
      <c r="DF72" s="69" t="n">
        <f aca="false">M72+SUM(AG61:AG72)+BQ72</f>
        <v>31</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-54</v>
      </c>
      <c r="C73" s="172" t="n">
        <f aca="false">SUM(TblConstr[[#This Row],[Tot Hom]:[Tot Doc]])</f>
        <v>636</v>
      </c>
      <c r="D73" s="172" t="n">
        <f aca="false">SUM(O62:AG73)</f>
        <v>64</v>
      </c>
      <c r="E73" s="173"/>
      <c r="F73" s="33" t="n">
        <f aca="false">TblConstr[[#This Row],[Barren]]+TblConstr[[#This Row],[Buildings]]+TblConstr[[#This Row],[Incoming]]</f>
        <v>646</v>
      </c>
      <c r="G73" s="199" t="n">
        <f aca="false">OFFSET(TblConstr[[#This Row],[Plain]],-1,0)+TblConstr[[#This Row],[Ch_Plain]]</f>
        <v>-81</v>
      </c>
      <c r="H73" s="193" t="n">
        <f aca="false">OFFSET(TblConstr[[#This Row],[Forest]],-1,0)+TblConstr[[#This Row],[Ch_Forest]]</f>
        <v>2</v>
      </c>
      <c r="I73" s="200" t="n">
        <f aca="false">OFFSET(TblConstr[[#This Row],[Mountain]],-1,0)+TblConstr[[#This Row],[Ch_Mountain]]</f>
        <v>3</v>
      </c>
      <c r="J73" s="201" t="n">
        <f aca="false">OFFSET(TblConstr[[#This Row],[Hill]],-1,0)+TblConstr[[#This Row],[Ch_Hill]]</f>
        <v>4</v>
      </c>
      <c r="K73" s="202" t="n">
        <f aca="false">OFFSET(TblConstr[[#This Row],[Swamp]],-1,0)+TblConstr[[#This Row],[Ch_Swamp]]</f>
        <v>5</v>
      </c>
      <c r="L73" s="197" t="n">
        <f aca="false">OFFSET(TblConstr[[#This Row],[Cavern]],-1,0)+TblConstr[[#This Row],[Ch_Cavern]]</f>
        <v>6</v>
      </c>
      <c r="M73" s="198" t="n">
        <f aca="false">OFFSET(TblConstr[[#This Row],[Water]],-1,0)+TblConstr[[#This Row],[Ch_Water]]</f>
        <v>7</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1219619</v>
      </c>
      <c r="AL73" s="69" t="n">
        <f aca="false">TblProd[[#This Row],[Lumber]]</f>
        <v>190744</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3" s="69" t="n">
        <f aca="false">ROUNDDOWN( MAX(1 - MIN(facs_constr_factor*TblConstr[[#This Row],[Facs -DB]],facs_constr_max) + tech_1_11*TblTech[[#This Row],[11-1]] + tech_6_3_2*TblTech[[#This Row],[6-3]] + tech_5_2_3*TblTech[[#This Row],[5-2]], 1-global_constr_cap) * TblConstr[[#This Row],[RCPA Lumber]],0)</f>
        <v>200</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3" s="69" t="n">
        <f aca="false">ROUNDDOWN( MAX(1 - MIN(facs_constr_factor*TblConstr[[#This Row],[Facs DB]],facs_constr_max) + tech_1_11*TblTech[[#This Row],[1-11]] + tech_6_3_2*TblTech[[#This Row],[6-3]] + tech_5_2_3*TblTech[[#This Row],[5-2]], 1-global_constr_cap) * ROUND((TblConstr[[#This Row],[Land]]-250)*0.285 + 87.5 + 0/4.25,0),0)</f>
        <v>200</v>
      </c>
      <c r="AQ73" s="1" t="n">
        <f aca="false">TblConstr[[#This Row],[build -db]]*TblConstr[[#This Row],[CPA Platinum -DB]] + TblConstr[[#This Row],[build db]]*TblConstr[[#This Row],[CPA Platinum DB]]</f>
        <v>-65340</v>
      </c>
      <c r="AR73" s="1" t="n">
        <f aca="false">TblConstr[[#This Row],[build -db]]*TblConstr[[#This Row],[CPA Lumber -DB]]+TblConstr[[#This Row],[build db]]*TblConstr[[#This Row],[CPA Lumber DB]]</f>
        <v>-10800</v>
      </c>
      <c r="AS73" s="69" t="n">
        <f aca="false">MIN(SUM(OFFSET(TblConstr[[#This Row],[Plain]:[Water]],-1,0))+SUM(TblConstr[[#This Row],[Dest Hom]:[Dest Doc]])+IF(TblConstr[[#This Row],[Hour]]&gt;12,SUM(OFFSET(TblExplore[[#This Row],[Plains Explore]:[Water Explore]],-12,0)),0),SUM(TblConstr[[#This Row],[Hom]:[Doc]]))</f>
        <v>-54</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1345</v>
      </c>
      <c r="AW73" s="69" t="n">
        <f aca="false">ROUND((TblConstr[[#This Row],[Land]]-250 - IF(TblExplore[[#This Row],[Land Bonus]]&lt;&gt;0,20,0))*0.285 + 87.5 + 0/4.25,0)</f>
        <v>200</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646</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349</v>
      </c>
      <c r="DA73" s="69" t="n">
        <f aca="false">H73+SUM(T62:U73)+SUM(BD73:BE73)</f>
        <v>27</v>
      </c>
      <c r="DB73" s="1" t="n">
        <f aca="false">I73+SUM(V62:W73)+SUM(BF73:BG73)</f>
        <v>3</v>
      </c>
      <c r="DC73" s="69" t="n">
        <f aca="false">J73+SUM(X62:Y73)+SUM(BH73:BI73)</f>
        <v>59</v>
      </c>
      <c r="DD73" s="69" t="n">
        <f aca="false">K73+SUM(AB62:AD73)+SUM(BL73:BN73)</f>
        <v>81</v>
      </c>
      <c r="DE73" s="1" t="n">
        <f aca="false">L73+SUM(AE62:AE73)+BO73</f>
        <v>6</v>
      </c>
      <c r="DF73" s="69" t="n">
        <f aca="false">M73+SUM(AG62:AG73)+BQ73</f>
        <v>31</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-54</v>
      </c>
      <c r="C74" s="172" t="n">
        <f aca="false">SUM(TblConstr[[#This Row],[Tot Hom]:[Tot Doc]])</f>
        <v>637</v>
      </c>
      <c r="D74" s="172" t="n">
        <f aca="false">SUM(O63:AG74)</f>
        <v>63</v>
      </c>
      <c r="E74" s="173"/>
      <c r="F74" s="33" t="n">
        <f aca="false">TblConstr[[#This Row],[Barren]]+TblConstr[[#This Row],[Buildings]]+TblConstr[[#This Row],[Incoming]]</f>
        <v>646</v>
      </c>
      <c r="G74" s="199" t="n">
        <f aca="false">OFFSET(TblConstr[[#This Row],[Plain]],-1,0)+TblConstr[[#This Row],[Ch_Plain]]</f>
        <v>-81</v>
      </c>
      <c r="H74" s="193" t="n">
        <f aca="false">OFFSET(TblConstr[[#This Row],[Forest]],-1,0)+TblConstr[[#This Row],[Ch_Forest]]</f>
        <v>2</v>
      </c>
      <c r="I74" s="200" t="n">
        <f aca="false">OFFSET(TblConstr[[#This Row],[Mountain]],-1,0)+TblConstr[[#This Row],[Ch_Mountain]]</f>
        <v>3</v>
      </c>
      <c r="J74" s="201" t="n">
        <f aca="false">OFFSET(TblConstr[[#This Row],[Hill]],-1,0)+TblConstr[[#This Row],[Ch_Hill]]</f>
        <v>4</v>
      </c>
      <c r="K74" s="202" t="n">
        <f aca="false">OFFSET(TblConstr[[#This Row],[Swamp]],-1,0)+TblConstr[[#This Row],[Ch_Swamp]]</f>
        <v>5</v>
      </c>
      <c r="L74" s="197" t="n">
        <f aca="false">OFFSET(TblConstr[[#This Row],[Cavern]],-1,0)+TblConstr[[#This Row],[Ch_Cavern]]</f>
        <v>6</v>
      </c>
      <c r="M74" s="198" t="n">
        <f aca="false">OFFSET(TblConstr[[#This Row],[Water]],-1,0)+TblConstr[[#This Row],[Ch_Water]]</f>
        <v>7</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1270101</v>
      </c>
      <c r="AL74" s="69" t="n">
        <f aca="false">TblProd[[#This Row],[Lumber]]</f>
        <v>200762</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4" s="69" t="n">
        <f aca="false">ROUNDDOWN( MAX(1 - MIN(facs_constr_factor*TblConstr[[#This Row],[Facs -DB]],facs_constr_max) + tech_1_11*TblTech[[#This Row],[11-1]] + tech_6_3_2*TblTech[[#This Row],[6-3]] + tech_5_2_3*TblTech[[#This Row],[5-2]], 1-global_constr_cap) * TblConstr[[#This Row],[RCPA Lumber]],0)</f>
        <v>200</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4" s="69" t="n">
        <f aca="false">ROUNDDOWN( MAX(1 - MIN(facs_constr_factor*TblConstr[[#This Row],[Facs DB]],facs_constr_max) + tech_1_11*TblTech[[#This Row],[1-11]] + tech_6_3_2*TblTech[[#This Row],[6-3]] + tech_5_2_3*TblTech[[#This Row],[5-2]], 1-global_constr_cap) * ROUND((TblConstr[[#This Row],[Land]]-250)*0.285 + 87.5 + 0/4.25,0),0)</f>
        <v>200</v>
      </c>
      <c r="AQ74" s="1" t="n">
        <f aca="false">TblConstr[[#This Row],[build -db]]*TblConstr[[#This Row],[CPA Platinum -DB]] + TblConstr[[#This Row],[build db]]*TblConstr[[#This Row],[CPA Platinum DB]]</f>
        <v>-65340</v>
      </c>
      <c r="AR74" s="1" t="n">
        <f aca="false">TblConstr[[#This Row],[build -db]]*TblConstr[[#This Row],[CPA Lumber -DB]]+TblConstr[[#This Row],[build db]]*TblConstr[[#This Row],[CPA Lumber DB]]</f>
        <v>-10800</v>
      </c>
      <c r="AS74" s="69" t="n">
        <f aca="false">MIN(SUM(OFFSET(TblConstr[[#This Row],[Plain]:[Water]],-1,0))+SUM(TblConstr[[#This Row],[Dest Hom]:[Dest Doc]])+IF(TblConstr[[#This Row],[Hour]]&gt;12,SUM(OFFSET(TblExplore[[#This Row],[Plains Explore]:[Water Explore]],-12,0)),0),SUM(TblConstr[[#This Row],[Hom]:[Doc]]))</f>
        <v>-54</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1345</v>
      </c>
      <c r="AW74" s="69" t="n">
        <f aca="false">ROUND((TblConstr[[#This Row],[Land]]-250 - IF(TblExplore[[#This Row],[Land Bonus]]&lt;&gt;0,20,0))*0.285 + 87.5 + 0/4.25,0)</f>
        <v>200</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646</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349</v>
      </c>
      <c r="DA74" s="69" t="n">
        <f aca="false">H74+SUM(T63:U74)+SUM(BD74:BE74)</f>
        <v>27</v>
      </c>
      <c r="DB74" s="1" t="n">
        <f aca="false">I74+SUM(V63:W74)+SUM(BF74:BG74)</f>
        <v>3</v>
      </c>
      <c r="DC74" s="69" t="n">
        <f aca="false">J74+SUM(X63:Y74)+SUM(BH74:BI74)</f>
        <v>59</v>
      </c>
      <c r="DD74" s="69" t="n">
        <f aca="false">K74+SUM(AB63:AD74)+SUM(BL74:BN74)</f>
        <v>81</v>
      </c>
      <c r="DE74" s="1" t="n">
        <f aca="false">L74+SUM(AE63:AE74)+BO74</f>
        <v>6</v>
      </c>
      <c r="DF74" s="69" t="n">
        <f aca="false">M74+SUM(AG63:AG74)+BQ74</f>
        <v>31</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-54</v>
      </c>
      <c r="C75" s="172" t="n">
        <f aca="false">SUM(TblConstr[[#This Row],[Tot Hom]:[Tot Doc]])</f>
        <v>638</v>
      </c>
      <c r="D75" s="172" t="n">
        <f aca="false">SUM(O64:AG75)</f>
        <v>62</v>
      </c>
      <c r="E75" s="173"/>
      <c r="F75" s="33" t="n">
        <f aca="false">TblConstr[[#This Row],[Barren]]+TblConstr[[#This Row],[Buildings]]+TblConstr[[#This Row],[Incoming]]</f>
        <v>646</v>
      </c>
      <c r="G75" s="199" t="n">
        <f aca="false">OFFSET(TblConstr[[#This Row],[Plain]],-1,0)+TblConstr[[#This Row],[Ch_Plain]]</f>
        <v>-81</v>
      </c>
      <c r="H75" s="193" t="n">
        <f aca="false">OFFSET(TblConstr[[#This Row],[Forest]],-1,0)+TblConstr[[#This Row],[Ch_Forest]]</f>
        <v>2</v>
      </c>
      <c r="I75" s="200" t="n">
        <f aca="false">OFFSET(TblConstr[[#This Row],[Mountain]],-1,0)+TblConstr[[#This Row],[Ch_Mountain]]</f>
        <v>3</v>
      </c>
      <c r="J75" s="201" t="n">
        <f aca="false">OFFSET(TblConstr[[#This Row],[Hill]],-1,0)+TblConstr[[#This Row],[Ch_Hill]]</f>
        <v>4</v>
      </c>
      <c r="K75" s="202" t="n">
        <f aca="false">OFFSET(TblConstr[[#This Row],[Swamp]],-1,0)+TblConstr[[#This Row],[Ch_Swamp]]</f>
        <v>5</v>
      </c>
      <c r="L75" s="197" t="n">
        <f aca="false">OFFSET(TblConstr[[#This Row],[Cavern]],-1,0)+TblConstr[[#This Row],[Ch_Cavern]]</f>
        <v>6</v>
      </c>
      <c r="M75" s="198" t="n">
        <f aca="false">OFFSET(TblConstr[[#This Row],[Water]],-1,0)+TblConstr[[#This Row],[Ch_Water]]</f>
        <v>7</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1320899</v>
      </c>
      <c r="AL75" s="69" t="n">
        <f aca="false">TblProd[[#This Row],[Lumber]]</f>
        <v>210679</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5" s="69" t="n">
        <f aca="false">ROUNDDOWN( MAX(1 - MIN(facs_constr_factor*TblConstr[[#This Row],[Facs -DB]],facs_constr_max) + tech_1_11*TblTech[[#This Row],[11-1]] + tech_6_3_2*TblTech[[#This Row],[6-3]] + tech_5_2_3*TblTech[[#This Row],[5-2]], 1-global_constr_cap) * TblConstr[[#This Row],[RCPA Lumber]],0)</f>
        <v>200</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5" s="69" t="n">
        <f aca="false">ROUNDDOWN( MAX(1 - MIN(facs_constr_factor*TblConstr[[#This Row],[Facs DB]],facs_constr_max) + tech_1_11*TblTech[[#This Row],[1-11]] + tech_6_3_2*TblTech[[#This Row],[6-3]] + tech_5_2_3*TblTech[[#This Row],[5-2]], 1-global_constr_cap) * ROUND((TblConstr[[#This Row],[Land]]-250)*0.285 + 87.5 + 0/4.25,0),0)</f>
        <v>200</v>
      </c>
      <c r="AQ75" s="1" t="n">
        <f aca="false">TblConstr[[#This Row],[build -db]]*TblConstr[[#This Row],[CPA Platinum -DB]] + TblConstr[[#This Row],[build db]]*TblConstr[[#This Row],[CPA Platinum DB]]</f>
        <v>-65340</v>
      </c>
      <c r="AR75" s="1" t="n">
        <f aca="false">TblConstr[[#This Row],[build -db]]*TblConstr[[#This Row],[CPA Lumber -DB]]+TblConstr[[#This Row],[build db]]*TblConstr[[#This Row],[CPA Lumber DB]]</f>
        <v>-10800</v>
      </c>
      <c r="AS75" s="69" t="n">
        <f aca="false">MIN(SUM(OFFSET(TblConstr[[#This Row],[Plain]:[Water]],-1,0))+SUM(TblConstr[[#This Row],[Dest Hom]:[Dest Doc]])+IF(TblConstr[[#This Row],[Hour]]&gt;12,SUM(OFFSET(TblExplore[[#This Row],[Plains Explore]:[Water Explore]],-12,0)),0),SUM(TblConstr[[#This Row],[Hom]:[Doc]]))</f>
        <v>-54</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1345</v>
      </c>
      <c r="AW75" s="69" t="n">
        <f aca="false">ROUND((TblConstr[[#This Row],[Land]]-250 - IF(TblExplore[[#This Row],[Land Bonus]]&lt;&gt;0,20,0))*0.285 + 87.5 + 0/4.25,0)</f>
        <v>200</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646</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349</v>
      </c>
      <c r="DA75" s="69" t="n">
        <f aca="false">H75+SUM(T64:U75)+SUM(BD75:BE75)</f>
        <v>27</v>
      </c>
      <c r="DB75" s="1" t="n">
        <f aca="false">I75+SUM(V64:W75)+SUM(BF75:BG75)</f>
        <v>3</v>
      </c>
      <c r="DC75" s="69" t="n">
        <f aca="false">J75+SUM(X64:Y75)+SUM(BH75:BI75)</f>
        <v>59</v>
      </c>
      <c r="DD75" s="69" t="n">
        <f aca="false">K75+SUM(AB64:AD75)+SUM(BL75:BN75)</f>
        <v>81</v>
      </c>
      <c r="DE75" s="1" t="n">
        <f aca="false">L75+SUM(AE64:AE75)+BO75</f>
        <v>6</v>
      </c>
      <c r="DF75" s="69" t="n">
        <f aca="false">M75+SUM(AG64:AG75)+BQ75</f>
        <v>31</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-54</v>
      </c>
      <c r="C76" s="212" t="n">
        <f aca="false">SUM(TblConstr[[#This Row],[Tot Hom]:[Tot Doc]])</f>
        <v>688</v>
      </c>
      <c r="D76" s="212" t="n">
        <f aca="false">SUM(O65:AG76)</f>
        <v>12</v>
      </c>
      <c r="E76" s="213"/>
      <c r="F76" s="214" t="n">
        <f aca="false">TblConstr[[#This Row],[Barren]]+TblConstr[[#This Row],[Buildings]]+TblConstr[[#This Row],[Incoming]]</f>
        <v>646</v>
      </c>
      <c r="G76" s="215" t="n">
        <f aca="false">OFFSET(TblConstr[[#This Row],[Plain]],-1,0)+TblConstr[[#This Row],[Ch_Plain]]</f>
        <v>-81</v>
      </c>
      <c r="H76" s="216" t="n">
        <f aca="false">OFFSET(TblConstr[[#This Row],[Forest]],-1,0)+TblConstr[[#This Row],[Ch_Forest]]</f>
        <v>2</v>
      </c>
      <c r="I76" s="217" t="n">
        <f aca="false">OFFSET(TblConstr[[#This Row],[Mountain]],-1,0)+TblConstr[[#This Row],[Ch_Mountain]]</f>
        <v>3</v>
      </c>
      <c r="J76" s="218" t="n">
        <f aca="false">OFFSET(TblConstr[[#This Row],[Hill]],-1,0)+TblConstr[[#This Row],[Ch_Hill]]</f>
        <v>4</v>
      </c>
      <c r="K76" s="219" t="n">
        <f aca="false">OFFSET(TblConstr[[#This Row],[Swamp]],-1,0)+TblConstr[[#This Row],[Ch_Swamp]]</f>
        <v>5</v>
      </c>
      <c r="L76" s="220" t="n">
        <f aca="false">OFFSET(TblConstr[[#This Row],[Cavern]],-1,0)+TblConstr[[#This Row],[Ch_Cavern]]</f>
        <v>6</v>
      </c>
      <c r="M76" s="221" t="n">
        <f aca="false">OFFSET(TblConstr[[#This Row],[Water]],-1,0)+TblConstr[[#This Row],[Ch_Water]]</f>
        <v>7</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1372417</v>
      </c>
      <c r="AL76" s="226" t="n">
        <f aca="false">TblProd[[#This Row],[Lumber]]</f>
        <v>220497</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6" s="226" t="n">
        <f aca="false">ROUNDDOWN( MAX(1 - MIN(facs_constr_factor*TblConstr[[#This Row],[Facs -DB]],facs_constr_max) + tech_1_11*TblTech[[#This Row],[11-1]] + tech_6_3_2*TblTech[[#This Row],[6-3]] + tech_5_2_3*TblTech[[#This Row],[5-2]], 1-global_constr_cap) * TblConstr[[#This Row],[RCPA Lumber]],0)</f>
        <v>200</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6" s="226" t="n">
        <f aca="false">ROUNDDOWN( MAX(1 - MIN(facs_constr_factor*TblConstr[[#This Row],[Facs DB]],facs_constr_max) + tech_1_11*TblTech[[#This Row],[1-11]] + tech_6_3_2*TblTech[[#This Row],[6-3]] + tech_5_2_3*TblTech[[#This Row],[5-2]], 1-global_constr_cap) * ROUND((TblConstr[[#This Row],[Land]]-250)*0.285 + 87.5 + 0/4.25,0),0)</f>
        <v>200</v>
      </c>
      <c r="AQ76" s="1" t="n">
        <f aca="false">TblConstr[[#This Row],[build -db]]*TblConstr[[#This Row],[CPA Platinum -DB]] + TblConstr[[#This Row],[build db]]*TblConstr[[#This Row],[CPA Platinum DB]]</f>
        <v>-65340</v>
      </c>
      <c r="AR76" s="1" t="n">
        <f aca="false">TblConstr[[#This Row],[build -db]]*TblConstr[[#This Row],[CPA Lumber -DB]]+TblConstr[[#This Row],[build db]]*TblConstr[[#This Row],[CPA Lumber DB]]</f>
        <v>-10800</v>
      </c>
      <c r="AS76" s="226" t="n">
        <f aca="false">MIN(SUM(OFFSET(TblConstr[[#This Row],[Plain]:[Water]],-1,0))+SUM(TblConstr[[#This Row],[Dest Hom]:[Dest Doc]])+IF(TblConstr[[#This Row],[Hour]]&gt;12,SUM(OFFSET(TblExplore[[#This Row],[Plains Explore]:[Water Explore]],-12,0)),0),SUM(TblConstr[[#This Row],[Hom]:[Doc]]))</f>
        <v>-54</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1345</v>
      </c>
      <c r="AW76" s="226" t="n">
        <f aca="false">ROUND((TblConstr[[#This Row],[Land]]-250 - IF(TblExplore[[#This Row],[Land Bonus]]&lt;&gt;0,20,0))*0.285 + 87.5 + 0/4.25,0)</f>
        <v>200</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646</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349</v>
      </c>
      <c r="DA76" s="226" t="n">
        <f aca="false">H76+SUM(T65:U76)+SUM(BD76:BE76)</f>
        <v>27</v>
      </c>
      <c r="DB76" s="239" t="n">
        <f aca="false">I76+SUM(V65:W76)+SUM(BF76:BG76)</f>
        <v>3</v>
      </c>
      <c r="DC76" s="226" t="n">
        <f aca="false">J76+SUM(X65:Y76)+SUM(BH76:BI76)</f>
        <v>59</v>
      </c>
      <c r="DD76" s="226" t="n">
        <f aca="false">K76+SUM(AB65:AD76)+SUM(BL76:BN76)</f>
        <v>81</v>
      </c>
      <c r="DE76" s="239" t="n">
        <f aca="false">L76+SUM(AE65:AE76)+BO76</f>
        <v>6</v>
      </c>
      <c r="DF76" s="226" t="n">
        <f aca="false">M76+SUM(AG65:AG76)+BQ76</f>
        <v>31</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-54</v>
      </c>
      <c r="C77" s="172" t="n">
        <f aca="false">SUM(TblConstr[[#This Row],[Tot Hom]:[Tot Doc]])</f>
        <v>693</v>
      </c>
      <c r="D77" s="172" t="n">
        <f aca="false">SUM(O66:AG77)</f>
        <v>7</v>
      </c>
      <c r="E77" s="173"/>
      <c r="F77" s="33" t="n">
        <f aca="false">TblConstr[[#This Row],[Barren]]+TblConstr[[#This Row],[Buildings]]+TblConstr[[#This Row],[Incoming]]</f>
        <v>646</v>
      </c>
      <c r="G77" s="199" t="n">
        <f aca="false">OFFSET(TblConstr[[#This Row],[Plain]],-1,0)+TblConstr[[#This Row],[Ch_Plain]]</f>
        <v>-81</v>
      </c>
      <c r="H77" s="193" t="n">
        <f aca="false">OFFSET(TblConstr[[#This Row],[Forest]],-1,0)+TblConstr[[#This Row],[Ch_Forest]]</f>
        <v>2</v>
      </c>
      <c r="I77" s="200" t="n">
        <f aca="false">OFFSET(TblConstr[[#This Row],[Mountain]],-1,0)+TblConstr[[#This Row],[Ch_Mountain]]</f>
        <v>3</v>
      </c>
      <c r="J77" s="201" t="n">
        <f aca="false">OFFSET(TblConstr[[#This Row],[Hill]],-1,0)+TblConstr[[#This Row],[Ch_Hill]]</f>
        <v>4</v>
      </c>
      <c r="K77" s="202" t="n">
        <f aca="false">OFFSET(TblConstr[[#This Row],[Swamp]],-1,0)+TblConstr[[#This Row],[Ch_Swamp]]</f>
        <v>5</v>
      </c>
      <c r="L77" s="197" t="n">
        <f aca="false">OFFSET(TblConstr[[#This Row],[Cavern]],-1,0)+TblConstr[[#This Row],[Ch_Cavern]]</f>
        <v>6</v>
      </c>
      <c r="M77" s="198" t="n">
        <f aca="false">OFFSET(TblConstr[[#This Row],[Water]],-1,0)+TblConstr[[#This Row],[Ch_Water]]</f>
        <v>7</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1444626</v>
      </c>
      <c r="AL77" s="69" t="n">
        <f aca="false">TblProd[[#This Row],[Lumber]]</f>
        <v>230217</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7" s="69" t="n">
        <f aca="false">ROUNDDOWN( MAX(1 - MIN(facs_constr_factor*TblConstr[[#This Row],[Facs -DB]],facs_constr_max) + tech_1_11*TblTech[[#This Row],[11-1]] + tech_6_3_2*TblTech[[#This Row],[6-3]] + tech_5_2_3*TblTech[[#This Row],[5-2]], 1-global_constr_cap) * TblConstr[[#This Row],[RCPA Lumber]],0)</f>
        <v>200</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7" s="69" t="n">
        <f aca="false">ROUNDDOWN( MAX(1 - MIN(facs_constr_factor*TblConstr[[#This Row],[Facs DB]],facs_constr_max) + tech_1_11*TblTech[[#This Row],[1-11]] + tech_6_3_2*TblTech[[#This Row],[6-3]] + tech_5_2_3*TblTech[[#This Row],[5-2]], 1-global_constr_cap) * ROUND((TblConstr[[#This Row],[Land]]-250)*0.285 + 87.5 + 0/4.25,0),0)</f>
        <v>200</v>
      </c>
      <c r="AQ77" s="1" t="n">
        <f aca="false">TblConstr[[#This Row],[build -db]]*TblConstr[[#This Row],[CPA Platinum -DB]] + TblConstr[[#This Row],[build db]]*TblConstr[[#This Row],[CPA Platinum DB]]</f>
        <v>-65340</v>
      </c>
      <c r="AR77" s="1" t="n">
        <f aca="false">TblConstr[[#This Row],[build -db]]*TblConstr[[#This Row],[CPA Lumber -DB]]+TblConstr[[#This Row],[build db]]*TblConstr[[#This Row],[CPA Lumber DB]]</f>
        <v>-10800</v>
      </c>
      <c r="AS77" s="69" t="n">
        <f aca="false">MIN(SUM(OFFSET(TblConstr[[#This Row],[Plain]:[Water]],-1,0))+SUM(TblConstr[[#This Row],[Dest Hom]:[Dest Doc]])+IF(TblConstr[[#This Row],[Hour]]&gt;12,SUM(OFFSET(TblExplore[[#This Row],[Plains Explore]:[Water Explore]],-12,0)),0),SUM(TblConstr[[#This Row],[Hom]:[Doc]]))</f>
        <v>-54</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1345</v>
      </c>
      <c r="AW77" s="69" t="n">
        <f aca="false">ROUND((TblConstr[[#This Row],[Land]]-250 - IF(TblExplore[[#This Row],[Land Bonus]]&lt;&gt;0,20,0))*0.285 + 87.5 + 0/4.25,0)</f>
        <v>200</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646</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349</v>
      </c>
      <c r="DA77" s="69" t="n">
        <f aca="false">H77+SUM(T66:U77)+SUM(BD77:BE77)</f>
        <v>27</v>
      </c>
      <c r="DB77" s="1" t="n">
        <f aca="false">I77+SUM(V66:W77)+SUM(BF77:BG77)</f>
        <v>3</v>
      </c>
      <c r="DC77" s="69" t="n">
        <f aca="false">J77+SUM(X66:Y77)+SUM(BH77:BI77)</f>
        <v>59</v>
      </c>
      <c r="DD77" s="69" t="n">
        <f aca="false">K77+SUM(AB66:AD77)+SUM(BL77:BN77)</f>
        <v>81</v>
      </c>
      <c r="DE77" s="1" t="n">
        <f aca="false">L77+SUM(AE66:AE77)+BO77</f>
        <v>6</v>
      </c>
      <c r="DF77" s="69" t="n">
        <f aca="false">M77+SUM(AG66:AG77)+BQ77</f>
        <v>31</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-54</v>
      </c>
      <c r="C78" s="172" t="n">
        <f aca="false">SUM(TblConstr[[#This Row],[Tot Hom]:[Tot Doc]])</f>
        <v>698</v>
      </c>
      <c r="D78" s="172" t="n">
        <f aca="false">SUM(O67:AG78)</f>
        <v>2</v>
      </c>
      <c r="E78" s="173"/>
      <c r="F78" s="33" t="n">
        <f aca="false">TblConstr[[#This Row],[Barren]]+TblConstr[[#This Row],[Buildings]]+TblConstr[[#This Row],[Incoming]]</f>
        <v>646</v>
      </c>
      <c r="G78" s="199" t="n">
        <f aca="false">OFFSET(TblConstr[[#This Row],[Plain]],-1,0)+TblConstr[[#This Row],[Ch_Plain]]</f>
        <v>-81</v>
      </c>
      <c r="H78" s="193" t="n">
        <f aca="false">OFFSET(TblConstr[[#This Row],[Forest]],-1,0)+TblConstr[[#This Row],[Ch_Forest]]</f>
        <v>2</v>
      </c>
      <c r="I78" s="200" t="n">
        <f aca="false">OFFSET(TblConstr[[#This Row],[Mountain]],-1,0)+TblConstr[[#This Row],[Ch_Mountain]]</f>
        <v>3</v>
      </c>
      <c r="J78" s="201" t="n">
        <f aca="false">OFFSET(TblConstr[[#This Row],[Hill]],-1,0)+TblConstr[[#This Row],[Ch_Hill]]</f>
        <v>4</v>
      </c>
      <c r="K78" s="202" t="n">
        <f aca="false">OFFSET(TblConstr[[#This Row],[Swamp]],-1,0)+TblConstr[[#This Row],[Ch_Swamp]]</f>
        <v>5</v>
      </c>
      <c r="L78" s="197" t="n">
        <f aca="false">OFFSET(TblConstr[[#This Row],[Cavern]],-1,0)+TblConstr[[#This Row],[Ch_Cavern]]</f>
        <v>6</v>
      </c>
      <c r="M78" s="198" t="n">
        <f aca="false">OFFSET(TblConstr[[#This Row],[Water]],-1,0)+TblConstr[[#This Row],[Ch_Water]]</f>
        <v>7</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1536850</v>
      </c>
      <c r="AL78" s="69" t="n">
        <f aca="false">TblProd[[#This Row],[Lumber]]</f>
        <v>239840</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8" s="69" t="n">
        <f aca="false">ROUNDDOWN( MAX(1 - MIN(facs_constr_factor*TblConstr[[#This Row],[Facs -DB]],facs_constr_max) + tech_1_11*TblTech[[#This Row],[11-1]] + tech_6_3_2*TblTech[[#This Row],[6-3]] + tech_5_2_3*TblTech[[#This Row],[5-2]], 1-global_constr_cap) * TblConstr[[#This Row],[RCPA Lumber]],0)</f>
        <v>200</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8" s="69" t="n">
        <f aca="false">ROUNDDOWN( MAX(1 - MIN(facs_constr_factor*TblConstr[[#This Row],[Facs DB]],facs_constr_max) + tech_1_11*TblTech[[#This Row],[1-11]] + tech_6_3_2*TblTech[[#This Row],[6-3]] + tech_5_2_3*TblTech[[#This Row],[5-2]], 1-global_constr_cap) * ROUND((TblConstr[[#This Row],[Land]]-250)*0.285 + 87.5 + 0/4.25,0),0)</f>
        <v>200</v>
      </c>
      <c r="AQ78" s="1" t="n">
        <f aca="false">TblConstr[[#This Row],[build -db]]*TblConstr[[#This Row],[CPA Platinum -DB]] + TblConstr[[#This Row],[build db]]*TblConstr[[#This Row],[CPA Platinum DB]]</f>
        <v>-65340</v>
      </c>
      <c r="AR78" s="1" t="n">
        <f aca="false">TblConstr[[#This Row],[build -db]]*TblConstr[[#This Row],[CPA Lumber -DB]]+TblConstr[[#This Row],[build db]]*TblConstr[[#This Row],[CPA Lumber DB]]</f>
        <v>-10800</v>
      </c>
      <c r="AS78" s="69" t="n">
        <f aca="false">MIN(SUM(OFFSET(TblConstr[[#This Row],[Plain]:[Water]],-1,0))+SUM(TblConstr[[#This Row],[Dest Hom]:[Dest Doc]])+IF(TblConstr[[#This Row],[Hour]]&gt;12,SUM(OFFSET(TblExplore[[#This Row],[Plains Explore]:[Water Explore]],-12,0)),0),SUM(TblConstr[[#This Row],[Hom]:[Doc]]))</f>
        <v>-54</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1345</v>
      </c>
      <c r="AW78" s="69" t="n">
        <f aca="false">ROUND((TblConstr[[#This Row],[Land]]-250 - IF(TblExplore[[#This Row],[Land Bonus]]&lt;&gt;0,20,0))*0.285 + 87.5 + 0/4.25,0)</f>
        <v>200</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646</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349</v>
      </c>
      <c r="DA78" s="69" t="n">
        <f aca="false">H78+SUM(T67:U78)+SUM(BD78:BE78)</f>
        <v>27</v>
      </c>
      <c r="DB78" s="1" t="n">
        <f aca="false">I78+SUM(V67:W78)+SUM(BF78:BG78)</f>
        <v>3</v>
      </c>
      <c r="DC78" s="69" t="n">
        <f aca="false">J78+SUM(X67:Y78)+SUM(BH78:BI78)</f>
        <v>59</v>
      </c>
      <c r="DD78" s="69" t="n">
        <f aca="false">K78+SUM(AB67:AD78)+SUM(BL78:BN78)</f>
        <v>81</v>
      </c>
      <c r="DE78" s="1" t="n">
        <f aca="false">L78+SUM(AE67:AE78)+BO78</f>
        <v>6</v>
      </c>
      <c r="DF78" s="69" t="n">
        <f aca="false">M78+SUM(AG67:AG78)+BQ78</f>
        <v>31</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-54</v>
      </c>
      <c r="C79" s="172" t="n">
        <f aca="false">SUM(TblConstr[[#This Row],[Tot Hom]:[Tot Doc]])</f>
        <v>700</v>
      </c>
      <c r="D79" s="172" t="n">
        <f aca="false">SUM(O68:AG79)</f>
        <v>0</v>
      </c>
      <c r="E79" s="173"/>
      <c r="F79" s="33" t="n">
        <f aca="false">TblConstr[[#This Row],[Barren]]+TblConstr[[#This Row],[Buildings]]+TblConstr[[#This Row],[Incoming]]</f>
        <v>646</v>
      </c>
      <c r="G79" s="199" t="n">
        <f aca="false">OFFSET(TblConstr[[#This Row],[Plain]],-1,0)+TblConstr[[#This Row],[Ch_Plain]]</f>
        <v>-81</v>
      </c>
      <c r="H79" s="193" t="n">
        <f aca="false">OFFSET(TblConstr[[#This Row],[Forest]],-1,0)+TblConstr[[#This Row],[Ch_Forest]]</f>
        <v>2</v>
      </c>
      <c r="I79" s="200" t="n">
        <f aca="false">OFFSET(TblConstr[[#This Row],[Mountain]],-1,0)+TblConstr[[#This Row],[Ch_Mountain]]</f>
        <v>3</v>
      </c>
      <c r="J79" s="201" t="n">
        <f aca="false">OFFSET(TblConstr[[#This Row],[Hill]],-1,0)+TblConstr[[#This Row],[Ch_Hill]]</f>
        <v>4</v>
      </c>
      <c r="K79" s="202" t="n">
        <f aca="false">OFFSET(TblConstr[[#This Row],[Swamp]],-1,0)+TblConstr[[#This Row],[Ch_Swamp]]</f>
        <v>5</v>
      </c>
      <c r="L79" s="197" t="n">
        <f aca="false">OFFSET(TblConstr[[#This Row],[Cavern]],-1,0)+TblConstr[[#This Row],[Ch_Cavern]]</f>
        <v>6</v>
      </c>
      <c r="M79" s="198" t="n">
        <f aca="false">OFFSET(TblConstr[[#This Row],[Water]],-1,0)+TblConstr[[#This Row],[Ch_Water]]</f>
        <v>7</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1629086</v>
      </c>
      <c r="AL79" s="69" t="n">
        <f aca="false">TblProd[[#This Row],[Lumber]]</f>
        <v>249367</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79" s="69" t="n">
        <f aca="false">ROUNDDOWN( MAX(1 - MIN(facs_constr_factor*TblConstr[[#This Row],[Facs -DB]],facs_constr_max) + tech_1_11*TblTech[[#This Row],[11-1]] + tech_6_3_2*TblTech[[#This Row],[6-3]] + tech_5_2_3*TblTech[[#This Row],[5-2]], 1-global_constr_cap) * TblConstr[[#This Row],[RCPA Lumber]],0)</f>
        <v>200</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79" s="69" t="n">
        <f aca="false">ROUNDDOWN( MAX(1 - MIN(facs_constr_factor*TblConstr[[#This Row],[Facs DB]],facs_constr_max) + tech_1_11*TblTech[[#This Row],[1-11]] + tech_6_3_2*TblTech[[#This Row],[6-3]] + tech_5_2_3*TblTech[[#This Row],[5-2]], 1-global_constr_cap) * ROUND((TblConstr[[#This Row],[Land]]-250)*0.285 + 87.5 + 0/4.25,0),0)</f>
        <v>200</v>
      </c>
      <c r="AQ79" s="1" t="n">
        <f aca="false">TblConstr[[#This Row],[build -db]]*TblConstr[[#This Row],[CPA Platinum -DB]] + TblConstr[[#This Row],[build db]]*TblConstr[[#This Row],[CPA Platinum DB]]</f>
        <v>-65340</v>
      </c>
      <c r="AR79" s="1" t="n">
        <f aca="false">TblConstr[[#This Row],[build -db]]*TblConstr[[#This Row],[CPA Lumber -DB]]+TblConstr[[#This Row],[build db]]*TblConstr[[#This Row],[CPA Lumber DB]]</f>
        <v>-10800</v>
      </c>
      <c r="AS79" s="69" t="n">
        <f aca="false">MIN(SUM(OFFSET(TblConstr[[#This Row],[Plain]:[Water]],-1,0))+SUM(TblConstr[[#This Row],[Dest Hom]:[Dest Doc]])+IF(TblConstr[[#This Row],[Hour]]&gt;12,SUM(OFFSET(TblExplore[[#This Row],[Plains Explore]:[Water Explore]],-12,0)),0),SUM(TblConstr[[#This Row],[Hom]:[Doc]]))</f>
        <v>-54</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1345</v>
      </c>
      <c r="AW79" s="69" t="n">
        <f aca="false">ROUND((TblConstr[[#This Row],[Land]]-250 - IF(TblExplore[[#This Row],[Land Bonus]]&lt;&gt;0,20,0))*0.285 + 87.5 + 0/4.25,0)</f>
        <v>200</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646</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349</v>
      </c>
      <c r="DA79" s="69" t="n">
        <f aca="false">H79+SUM(T68:U79)+SUM(BD79:BE79)</f>
        <v>27</v>
      </c>
      <c r="DB79" s="1" t="n">
        <f aca="false">I79+SUM(V68:W79)+SUM(BF79:BG79)</f>
        <v>3</v>
      </c>
      <c r="DC79" s="69" t="n">
        <f aca="false">J79+SUM(X68:Y79)+SUM(BH79:BI79)</f>
        <v>59</v>
      </c>
      <c r="DD79" s="69" t="n">
        <f aca="false">K79+SUM(AB68:AD79)+SUM(BL79:BN79)</f>
        <v>81</v>
      </c>
      <c r="DE79" s="1" t="n">
        <f aca="false">L79+SUM(AE68:AE79)+BO79</f>
        <v>6</v>
      </c>
      <c r="DF79" s="69" t="n">
        <f aca="false">M79+SUM(AG68:AG79)+BQ79</f>
        <v>31</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-54</v>
      </c>
      <c r="C80" s="172" t="n">
        <f aca="false">SUM(TblConstr[[#This Row],[Tot Hom]:[Tot Doc]])</f>
        <v>700</v>
      </c>
      <c r="D80" s="172" t="n">
        <f aca="false">SUM(O69:AG80)</f>
        <v>0</v>
      </c>
      <c r="E80" s="173"/>
      <c r="F80" s="33" t="n">
        <f aca="false">TblConstr[[#This Row],[Barren]]+TblConstr[[#This Row],[Buildings]]+TblConstr[[#This Row],[Incoming]]</f>
        <v>646</v>
      </c>
      <c r="G80" s="199" t="n">
        <f aca="false">OFFSET(TblConstr[[#This Row],[Plain]],-1,0)+TblConstr[[#This Row],[Ch_Plain]]</f>
        <v>-81</v>
      </c>
      <c r="H80" s="193" t="n">
        <f aca="false">OFFSET(TblConstr[[#This Row],[Forest]],-1,0)+TblConstr[[#This Row],[Ch_Forest]]</f>
        <v>2</v>
      </c>
      <c r="I80" s="200" t="n">
        <f aca="false">OFFSET(TblConstr[[#This Row],[Mountain]],-1,0)+TblConstr[[#This Row],[Ch_Mountain]]</f>
        <v>3</v>
      </c>
      <c r="J80" s="201" t="n">
        <f aca="false">OFFSET(TblConstr[[#This Row],[Hill]],-1,0)+TblConstr[[#This Row],[Ch_Hill]]</f>
        <v>4</v>
      </c>
      <c r="K80" s="202" t="n">
        <f aca="false">OFFSET(TblConstr[[#This Row],[Swamp]],-1,0)+TblConstr[[#This Row],[Ch_Swamp]]</f>
        <v>5</v>
      </c>
      <c r="L80" s="197" t="n">
        <f aca="false">OFFSET(TblConstr[[#This Row],[Cavern]],-1,0)+TblConstr[[#This Row],[Ch_Cavern]]</f>
        <v>6</v>
      </c>
      <c r="M80" s="198" t="n">
        <f aca="false">OFFSET(TblConstr[[#This Row],[Water]],-1,0)+TblConstr[[#This Row],[Ch_Water]]</f>
        <v>7</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1777315</v>
      </c>
      <c r="AL80" s="69" t="n">
        <f aca="false">TblProd[[#This Row],[Lumber]]</f>
        <v>258798</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0" s="69" t="n">
        <f aca="false">ROUNDDOWN( MAX(1 - MIN(facs_constr_factor*TblConstr[[#This Row],[Facs -DB]],facs_constr_max) + tech_1_11*TblTech[[#This Row],[11-1]] + tech_6_3_2*TblTech[[#This Row],[6-3]] + tech_5_2_3*TblTech[[#This Row],[5-2]], 1-global_constr_cap) * TblConstr[[#This Row],[RCPA Lumber]],0)</f>
        <v>200</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0" s="69" t="n">
        <f aca="false">ROUNDDOWN( MAX(1 - MIN(facs_constr_factor*TblConstr[[#This Row],[Facs DB]],facs_constr_max) + tech_1_11*TblTech[[#This Row],[1-11]] + tech_6_3_2*TblTech[[#This Row],[6-3]] + tech_5_2_3*TblTech[[#This Row],[5-2]], 1-global_constr_cap) * ROUND((TblConstr[[#This Row],[Land]]-250)*0.285 + 87.5 + 0/4.25,0),0)</f>
        <v>200</v>
      </c>
      <c r="AQ80" s="1" t="n">
        <f aca="false">TblConstr[[#This Row],[build -db]]*TblConstr[[#This Row],[CPA Platinum -DB]] + TblConstr[[#This Row],[build db]]*TblConstr[[#This Row],[CPA Platinum DB]]</f>
        <v>-65340</v>
      </c>
      <c r="AR80" s="1" t="n">
        <f aca="false">TblConstr[[#This Row],[build -db]]*TblConstr[[#This Row],[CPA Lumber -DB]]+TblConstr[[#This Row],[build db]]*TblConstr[[#This Row],[CPA Lumber DB]]</f>
        <v>-10800</v>
      </c>
      <c r="AS80" s="69" t="n">
        <f aca="false">MIN(SUM(OFFSET(TblConstr[[#This Row],[Plain]:[Water]],-1,0))+SUM(TblConstr[[#This Row],[Dest Hom]:[Dest Doc]])+IF(TblConstr[[#This Row],[Hour]]&gt;12,SUM(OFFSET(TblExplore[[#This Row],[Plains Explore]:[Water Explore]],-12,0)),0),SUM(TblConstr[[#This Row],[Hom]:[Doc]]))</f>
        <v>-54</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1345</v>
      </c>
      <c r="AW80" s="69" t="n">
        <f aca="false">ROUND((TblConstr[[#This Row],[Land]]-250 - IF(TblExplore[[#This Row],[Land Bonus]]&lt;&gt;0,20,0))*0.285 + 87.5 + 0/4.25,0)</f>
        <v>200</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646</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349</v>
      </c>
      <c r="DA80" s="69" t="n">
        <f aca="false">H80+SUM(T69:U80)+SUM(BD80:BE80)</f>
        <v>27</v>
      </c>
      <c r="DB80" s="1" t="n">
        <f aca="false">I80+SUM(V69:W80)+SUM(BF80:BG80)</f>
        <v>3</v>
      </c>
      <c r="DC80" s="69" t="n">
        <f aca="false">J80+SUM(X69:Y80)+SUM(BH80:BI80)</f>
        <v>59</v>
      </c>
      <c r="DD80" s="69" t="n">
        <f aca="false">K80+SUM(AB69:AD80)+SUM(BL80:BN80)</f>
        <v>81</v>
      </c>
      <c r="DE80" s="1" t="n">
        <f aca="false">L80+SUM(AE69:AE80)+BO80</f>
        <v>6</v>
      </c>
      <c r="DF80" s="69" t="n">
        <f aca="false">M80+SUM(AG69:AG80)+BQ80</f>
        <v>31</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-54</v>
      </c>
      <c r="C81" s="172" t="n">
        <f aca="false">SUM(TblConstr[[#This Row],[Tot Hom]:[Tot Doc]])</f>
        <v>700</v>
      </c>
      <c r="D81" s="172" t="n">
        <f aca="false">SUM(O70:AG81)</f>
        <v>0</v>
      </c>
      <c r="E81" s="173"/>
      <c r="F81" s="33" t="n">
        <f aca="false">TblConstr[[#This Row],[Barren]]+TblConstr[[#This Row],[Buildings]]+TblConstr[[#This Row],[Incoming]]</f>
        <v>646</v>
      </c>
      <c r="G81" s="199" t="n">
        <f aca="false">OFFSET(TblConstr[[#This Row],[Plain]],-1,0)+TblConstr[[#This Row],[Ch_Plain]]</f>
        <v>-81</v>
      </c>
      <c r="H81" s="193" t="n">
        <f aca="false">OFFSET(TblConstr[[#This Row],[Forest]],-1,0)+TblConstr[[#This Row],[Ch_Forest]]</f>
        <v>2</v>
      </c>
      <c r="I81" s="200" t="n">
        <f aca="false">OFFSET(TblConstr[[#This Row],[Mountain]],-1,0)+TblConstr[[#This Row],[Ch_Mountain]]</f>
        <v>3</v>
      </c>
      <c r="J81" s="201" t="n">
        <f aca="false">OFFSET(TblConstr[[#This Row],[Hill]],-1,0)+TblConstr[[#This Row],[Ch_Hill]]</f>
        <v>4</v>
      </c>
      <c r="K81" s="202" t="n">
        <f aca="false">OFFSET(TblConstr[[#This Row],[Swamp]],-1,0)+TblConstr[[#This Row],[Ch_Swamp]]</f>
        <v>5</v>
      </c>
      <c r="L81" s="197" t="n">
        <f aca="false">OFFSET(TblConstr[[#This Row],[Cavern]],-1,0)+TblConstr[[#This Row],[Ch_Cavern]]</f>
        <v>6</v>
      </c>
      <c r="M81" s="198" t="n">
        <f aca="false">OFFSET(TblConstr[[#This Row],[Water]],-1,0)+TblConstr[[#This Row],[Ch_Water]]</f>
        <v>7</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1887924</v>
      </c>
      <c r="AL81" s="69" t="n">
        <f aca="false">TblProd[[#This Row],[Lumber]]</f>
        <v>268135</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1" s="69" t="n">
        <f aca="false">ROUNDDOWN( MAX(1 - MIN(facs_constr_factor*TblConstr[[#This Row],[Facs -DB]],facs_constr_max) + tech_1_11*TblTech[[#This Row],[11-1]] + tech_6_3_2*TblTech[[#This Row],[6-3]] + tech_5_2_3*TblTech[[#This Row],[5-2]], 1-global_constr_cap) * TblConstr[[#This Row],[RCPA Lumber]],0)</f>
        <v>200</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1" s="69" t="n">
        <f aca="false">ROUNDDOWN( MAX(1 - MIN(facs_constr_factor*TblConstr[[#This Row],[Facs DB]],facs_constr_max) + tech_1_11*TblTech[[#This Row],[1-11]] + tech_6_3_2*TblTech[[#This Row],[6-3]] + tech_5_2_3*TblTech[[#This Row],[5-2]], 1-global_constr_cap) * ROUND((TblConstr[[#This Row],[Land]]-250)*0.285 + 87.5 + 0/4.25,0),0)</f>
        <v>200</v>
      </c>
      <c r="AQ81" s="1" t="n">
        <f aca="false">TblConstr[[#This Row],[build -db]]*TblConstr[[#This Row],[CPA Platinum -DB]] + TblConstr[[#This Row],[build db]]*TblConstr[[#This Row],[CPA Platinum DB]]</f>
        <v>-65340</v>
      </c>
      <c r="AR81" s="1" t="n">
        <f aca="false">TblConstr[[#This Row],[build -db]]*TblConstr[[#This Row],[CPA Lumber -DB]]+TblConstr[[#This Row],[build db]]*TblConstr[[#This Row],[CPA Lumber DB]]</f>
        <v>-10800</v>
      </c>
      <c r="AS81" s="69" t="n">
        <f aca="false">MIN(SUM(OFFSET(TblConstr[[#This Row],[Plain]:[Water]],-1,0))+SUM(TblConstr[[#This Row],[Dest Hom]:[Dest Doc]])+IF(TblConstr[[#This Row],[Hour]]&gt;12,SUM(OFFSET(TblExplore[[#This Row],[Plains Explore]:[Water Explore]],-12,0)),0),SUM(TblConstr[[#This Row],[Hom]:[Doc]]))</f>
        <v>-54</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1345</v>
      </c>
      <c r="AW81" s="69" t="n">
        <f aca="false">ROUND((TblConstr[[#This Row],[Land]]-250 - IF(TblExplore[[#This Row],[Land Bonus]]&lt;&gt;0,20,0))*0.285 + 87.5 + 0/4.25,0)</f>
        <v>200</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646</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349</v>
      </c>
      <c r="DA81" s="69" t="n">
        <f aca="false">H81+SUM(T70:U81)+SUM(BD81:BE81)</f>
        <v>27</v>
      </c>
      <c r="DB81" s="1" t="n">
        <f aca="false">I81+SUM(V70:W81)+SUM(BF81:BG81)</f>
        <v>3</v>
      </c>
      <c r="DC81" s="69" t="n">
        <f aca="false">J81+SUM(X70:Y81)+SUM(BH81:BI81)</f>
        <v>59</v>
      </c>
      <c r="DD81" s="69" t="n">
        <f aca="false">K81+SUM(AB70:AD81)+SUM(BL81:BN81)</f>
        <v>81</v>
      </c>
      <c r="DE81" s="1" t="n">
        <f aca="false">L81+SUM(AE70:AE81)+BO81</f>
        <v>6</v>
      </c>
      <c r="DF81" s="69" t="n">
        <f aca="false">M81+SUM(AG70:AG81)+BQ81</f>
        <v>31</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-54</v>
      </c>
      <c r="C82" s="172" t="n">
        <f aca="false">SUM(TblConstr[[#This Row],[Tot Hom]:[Tot Doc]])</f>
        <v>700</v>
      </c>
      <c r="D82" s="172" t="n">
        <f aca="false">SUM(O71:AG82)</f>
        <v>0</v>
      </c>
      <c r="E82" s="173"/>
      <c r="F82" s="33" t="n">
        <f aca="false">TblConstr[[#This Row],[Barren]]+TblConstr[[#This Row],[Buildings]]+TblConstr[[#This Row],[Incoming]]</f>
        <v>646</v>
      </c>
      <c r="G82" s="199" t="n">
        <f aca="false">OFFSET(TblConstr[[#This Row],[Plain]],-1,0)+TblConstr[[#This Row],[Ch_Plain]]</f>
        <v>-81</v>
      </c>
      <c r="H82" s="193" t="n">
        <f aca="false">OFFSET(TblConstr[[#This Row],[Forest]],-1,0)+TblConstr[[#This Row],[Ch_Forest]]</f>
        <v>2</v>
      </c>
      <c r="I82" s="200" t="n">
        <f aca="false">OFFSET(TblConstr[[#This Row],[Mountain]],-1,0)+TblConstr[[#This Row],[Ch_Mountain]]</f>
        <v>3</v>
      </c>
      <c r="J82" s="201" t="n">
        <f aca="false">OFFSET(TblConstr[[#This Row],[Hill]],-1,0)+TblConstr[[#This Row],[Ch_Hill]]</f>
        <v>4</v>
      </c>
      <c r="K82" s="202" t="n">
        <f aca="false">OFFSET(TblConstr[[#This Row],[Swamp]],-1,0)+TblConstr[[#This Row],[Ch_Swamp]]</f>
        <v>5</v>
      </c>
      <c r="L82" s="197" t="n">
        <f aca="false">OFFSET(TblConstr[[#This Row],[Cavern]],-1,0)+TblConstr[[#This Row],[Ch_Cavern]]</f>
        <v>6</v>
      </c>
      <c r="M82" s="198" t="n">
        <f aca="false">OFFSET(TblConstr[[#This Row],[Water]],-1,0)+TblConstr[[#This Row],[Ch_Water]]</f>
        <v>7</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1998257</v>
      </c>
      <c r="AL82" s="69" t="n">
        <f aca="false">TblProd[[#This Row],[Lumber]]</f>
        <v>277379</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2" s="69" t="n">
        <f aca="false">ROUNDDOWN( MAX(1 - MIN(facs_constr_factor*TblConstr[[#This Row],[Facs -DB]],facs_constr_max) + tech_1_11*TblTech[[#This Row],[11-1]] + tech_6_3_2*TblTech[[#This Row],[6-3]] + tech_5_2_3*TblTech[[#This Row],[5-2]], 1-global_constr_cap) * TblConstr[[#This Row],[RCPA Lumber]],0)</f>
        <v>200</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2" s="69" t="n">
        <f aca="false">ROUNDDOWN( MAX(1 - MIN(facs_constr_factor*TblConstr[[#This Row],[Facs DB]],facs_constr_max) + tech_1_11*TblTech[[#This Row],[1-11]] + tech_6_3_2*TblTech[[#This Row],[6-3]] + tech_5_2_3*TblTech[[#This Row],[5-2]], 1-global_constr_cap) * ROUND((TblConstr[[#This Row],[Land]]-250)*0.285 + 87.5 + 0/4.25,0),0)</f>
        <v>200</v>
      </c>
      <c r="AQ82" s="1" t="n">
        <f aca="false">TblConstr[[#This Row],[build -db]]*TblConstr[[#This Row],[CPA Platinum -DB]] + TblConstr[[#This Row],[build db]]*TblConstr[[#This Row],[CPA Platinum DB]]</f>
        <v>-65340</v>
      </c>
      <c r="AR82" s="1" t="n">
        <f aca="false">TblConstr[[#This Row],[build -db]]*TblConstr[[#This Row],[CPA Lumber -DB]]+TblConstr[[#This Row],[build db]]*TblConstr[[#This Row],[CPA Lumber DB]]</f>
        <v>-10800</v>
      </c>
      <c r="AS82" s="69" t="n">
        <f aca="false">MIN(SUM(OFFSET(TblConstr[[#This Row],[Plain]:[Water]],-1,0))+SUM(TblConstr[[#This Row],[Dest Hom]:[Dest Doc]])+IF(TblConstr[[#This Row],[Hour]]&gt;12,SUM(OFFSET(TblExplore[[#This Row],[Plains Explore]:[Water Explore]],-12,0)),0),SUM(TblConstr[[#This Row],[Hom]:[Doc]]))</f>
        <v>-54</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1345</v>
      </c>
      <c r="AW82" s="69" t="n">
        <f aca="false">ROUND((TblConstr[[#This Row],[Land]]-250 - IF(TblExplore[[#This Row],[Land Bonus]]&lt;&gt;0,20,0))*0.285 + 87.5 + 0/4.25,0)</f>
        <v>200</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646</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349</v>
      </c>
      <c r="DA82" s="69" t="n">
        <f aca="false">H82+SUM(T71:U82)+SUM(BD82:BE82)</f>
        <v>27</v>
      </c>
      <c r="DB82" s="1" t="n">
        <f aca="false">I82+SUM(V71:W82)+SUM(BF82:BG82)</f>
        <v>3</v>
      </c>
      <c r="DC82" s="69" t="n">
        <f aca="false">J82+SUM(X71:Y82)+SUM(BH82:BI82)</f>
        <v>59</v>
      </c>
      <c r="DD82" s="69" t="n">
        <f aca="false">K82+SUM(AB71:AD82)+SUM(BL82:BN82)</f>
        <v>81</v>
      </c>
      <c r="DE82" s="1" t="n">
        <f aca="false">L82+SUM(AE71:AE82)+BO82</f>
        <v>6</v>
      </c>
      <c r="DF82" s="69" t="n">
        <f aca="false">M82+SUM(AG71:AG82)+BQ82</f>
        <v>31</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-54</v>
      </c>
      <c r="C83" s="172" t="n">
        <f aca="false">SUM(TblConstr[[#This Row],[Tot Hom]:[Tot Doc]])</f>
        <v>700</v>
      </c>
      <c r="D83" s="172" t="n">
        <f aca="false">SUM(O72:AG83)</f>
        <v>0</v>
      </c>
      <c r="E83" s="173"/>
      <c r="F83" s="33" t="n">
        <f aca="false">TblConstr[[#This Row],[Barren]]+TblConstr[[#This Row],[Buildings]]+TblConstr[[#This Row],[Incoming]]</f>
        <v>646</v>
      </c>
      <c r="G83" s="199" t="n">
        <f aca="false">OFFSET(TblConstr[[#This Row],[Plain]],-1,0)+TblConstr[[#This Row],[Ch_Plain]]</f>
        <v>-81</v>
      </c>
      <c r="H83" s="193" t="n">
        <f aca="false">OFFSET(TblConstr[[#This Row],[Forest]],-1,0)+TblConstr[[#This Row],[Ch_Forest]]</f>
        <v>2</v>
      </c>
      <c r="I83" s="200" t="n">
        <f aca="false">OFFSET(TblConstr[[#This Row],[Mountain]],-1,0)+TblConstr[[#This Row],[Ch_Mountain]]</f>
        <v>3</v>
      </c>
      <c r="J83" s="201" t="n">
        <f aca="false">OFFSET(TblConstr[[#This Row],[Hill]],-1,0)+TblConstr[[#This Row],[Ch_Hill]]</f>
        <v>4</v>
      </c>
      <c r="K83" s="202" t="n">
        <f aca="false">OFFSET(TblConstr[[#This Row],[Swamp]],-1,0)+TblConstr[[#This Row],[Ch_Swamp]]</f>
        <v>5</v>
      </c>
      <c r="L83" s="197" t="n">
        <f aca="false">OFFSET(TblConstr[[#This Row],[Cavern]],-1,0)+TblConstr[[#This Row],[Ch_Cavern]]</f>
        <v>6</v>
      </c>
      <c r="M83" s="198" t="n">
        <f aca="false">OFFSET(TblConstr[[#This Row],[Water]],-1,0)+TblConstr[[#This Row],[Ch_Water]]</f>
        <v>7</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2108317</v>
      </c>
      <c r="AL83" s="69" t="n">
        <f aca="false">TblProd[[#This Row],[Lumber]]</f>
        <v>286530</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3" s="69" t="n">
        <f aca="false">ROUNDDOWN( MAX(1 - MIN(facs_constr_factor*TblConstr[[#This Row],[Facs -DB]],facs_constr_max) + tech_1_11*TblTech[[#This Row],[11-1]] + tech_6_3_2*TblTech[[#This Row],[6-3]] + tech_5_2_3*TblTech[[#This Row],[5-2]], 1-global_constr_cap) * TblConstr[[#This Row],[RCPA Lumber]],0)</f>
        <v>200</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3" s="69" t="n">
        <f aca="false">ROUNDDOWN( MAX(1 - MIN(facs_constr_factor*TblConstr[[#This Row],[Facs DB]],facs_constr_max) + tech_1_11*TblTech[[#This Row],[1-11]] + tech_6_3_2*TblTech[[#This Row],[6-3]] + tech_5_2_3*TblTech[[#This Row],[5-2]], 1-global_constr_cap) * ROUND((TblConstr[[#This Row],[Land]]-250)*0.285 + 87.5 + 0/4.25,0),0)</f>
        <v>200</v>
      </c>
      <c r="AQ83" s="1" t="n">
        <f aca="false">TblConstr[[#This Row],[build -db]]*TblConstr[[#This Row],[CPA Platinum -DB]] + TblConstr[[#This Row],[build db]]*TblConstr[[#This Row],[CPA Platinum DB]]</f>
        <v>-65340</v>
      </c>
      <c r="AR83" s="1" t="n">
        <f aca="false">TblConstr[[#This Row],[build -db]]*TblConstr[[#This Row],[CPA Lumber -DB]]+TblConstr[[#This Row],[build db]]*TblConstr[[#This Row],[CPA Lumber DB]]</f>
        <v>-10800</v>
      </c>
      <c r="AS83" s="69" t="n">
        <f aca="false">MIN(SUM(OFFSET(TblConstr[[#This Row],[Plain]:[Water]],-1,0))+SUM(TblConstr[[#This Row],[Dest Hom]:[Dest Doc]])+IF(TblConstr[[#This Row],[Hour]]&gt;12,SUM(OFFSET(TblExplore[[#This Row],[Plains Explore]:[Water Explore]],-12,0)),0),SUM(TblConstr[[#This Row],[Hom]:[Doc]]))</f>
        <v>-54</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1345</v>
      </c>
      <c r="AW83" s="69" t="n">
        <f aca="false">ROUND((TblConstr[[#This Row],[Land]]-250 - IF(TblExplore[[#This Row],[Land Bonus]]&lt;&gt;0,20,0))*0.285 + 87.5 + 0/4.25,0)</f>
        <v>200</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646</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349</v>
      </c>
      <c r="DA83" s="69" t="n">
        <f aca="false">H83+SUM(T72:U83)+SUM(BD83:BE83)</f>
        <v>27</v>
      </c>
      <c r="DB83" s="1" t="n">
        <f aca="false">I83+SUM(V72:W83)+SUM(BF83:BG83)</f>
        <v>3</v>
      </c>
      <c r="DC83" s="69" t="n">
        <f aca="false">J83+SUM(X72:Y83)+SUM(BH83:BI83)</f>
        <v>59</v>
      </c>
      <c r="DD83" s="69" t="n">
        <f aca="false">K83+SUM(AB72:AD83)+SUM(BL83:BN83)</f>
        <v>81</v>
      </c>
      <c r="DE83" s="1" t="n">
        <f aca="false">L83+SUM(AE72:AE83)+BO83</f>
        <v>6</v>
      </c>
      <c r="DF83" s="69" t="n">
        <f aca="false">M83+SUM(AG72:AG83)+BQ83</f>
        <v>31</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-54</v>
      </c>
      <c r="C84" s="172" t="n">
        <f aca="false">SUM(TblConstr[[#This Row],[Tot Hom]:[Tot Doc]])</f>
        <v>700</v>
      </c>
      <c r="D84" s="172" t="n">
        <f aca="false">SUM(O73:AG84)</f>
        <v>0</v>
      </c>
      <c r="E84" s="173"/>
      <c r="F84" s="33" t="n">
        <f aca="false">TblConstr[[#This Row],[Barren]]+TblConstr[[#This Row],[Buildings]]+TblConstr[[#This Row],[Incoming]]</f>
        <v>646</v>
      </c>
      <c r="G84" s="199" t="n">
        <f aca="false">OFFSET(TblConstr[[#This Row],[Plain]],-1,0)+TblConstr[[#This Row],[Ch_Plain]]</f>
        <v>-81</v>
      </c>
      <c r="H84" s="193" t="n">
        <f aca="false">OFFSET(TblConstr[[#This Row],[Forest]],-1,0)+TblConstr[[#This Row],[Ch_Forest]]</f>
        <v>2</v>
      </c>
      <c r="I84" s="200" t="n">
        <f aca="false">OFFSET(TblConstr[[#This Row],[Mountain]],-1,0)+TblConstr[[#This Row],[Ch_Mountain]]</f>
        <v>3</v>
      </c>
      <c r="J84" s="201" t="n">
        <f aca="false">OFFSET(TblConstr[[#This Row],[Hill]],-1,0)+TblConstr[[#This Row],[Ch_Hill]]</f>
        <v>4</v>
      </c>
      <c r="K84" s="202" t="n">
        <f aca="false">OFFSET(TblConstr[[#This Row],[Swamp]],-1,0)+TblConstr[[#This Row],[Ch_Swamp]]</f>
        <v>5</v>
      </c>
      <c r="L84" s="197" t="n">
        <f aca="false">OFFSET(TblConstr[[#This Row],[Cavern]],-1,0)+TblConstr[[#This Row],[Ch_Cavern]]</f>
        <v>6</v>
      </c>
      <c r="M84" s="198" t="n">
        <f aca="false">OFFSET(TblConstr[[#This Row],[Water]],-1,0)+TblConstr[[#This Row],[Ch_Water]]</f>
        <v>7</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2218104</v>
      </c>
      <c r="AL84" s="69" t="n">
        <f aca="false">TblProd[[#This Row],[Lumber]]</f>
        <v>295590</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4" s="69" t="n">
        <f aca="false">ROUNDDOWN( MAX(1 - MIN(facs_constr_factor*TblConstr[[#This Row],[Facs -DB]],facs_constr_max) + tech_1_11*TblTech[[#This Row],[11-1]] + tech_6_3_2*TblTech[[#This Row],[6-3]] + tech_5_2_3*TblTech[[#This Row],[5-2]], 1-global_constr_cap) * TblConstr[[#This Row],[RCPA Lumber]],0)</f>
        <v>200</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4" s="69" t="n">
        <f aca="false">ROUNDDOWN( MAX(1 - MIN(facs_constr_factor*TblConstr[[#This Row],[Facs DB]],facs_constr_max) + tech_1_11*TblTech[[#This Row],[1-11]] + tech_6_3_2*TblTech[[#This Row],[6-3]] + tech_5_2_3*TblTech[[#This Row],[5-2]], 1-global_constr_cap) * ROUND((TblConstr[[#This Row],[Land]]-250)*0.285 + 87.5 + 0/4.25,0),0)</f>
        <v>200</v>
      </c>
      <c r="AQ84" s="1" t="n">
        <f aca="false">TblConstr[[#This Row],[build -db]]*TblConstr[[#This Row],[CPA Platinum -DB]] + TblConstr[[#This Row],[build db]]*TblConstr[[#This Row],[CPA Platinum DB]]</f>
        <v>-65340</v>
      </c>
      <c r="AR84" s="1" t="n">
        <f aca="false">TblConstr[[#This Row],[build -db]]*TblConstr[[#This Row],[CPA Lumber -DB]]+TblConstr[[#This Row],[build db]]*TblConstr[[#This Row],[CPA Lumber DB]]</f>
        <v>-10800</v>
      </c>
      <c r="AS84" s="69" t="n">
        <f aca="false">MIN(SUM(OFFSET(TblConstr[[#This Row],[Plain]:[Water]],-1,0))+SUM(TblConstr[[#This Row],[Dest Hom]:[Dest Doc]])+IF(TblConstr[[#This Row],[Hour]]&gt;12,SUM(OFFSET(TblExplore[[#This Row],[Plains Explore]:[Water Explore]],-12,0)),0),SUM(TblConstr[[#This Row],[Hom]:[Doc]]))</f>
        <v>-54</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1345</v>
      </c>
      <c r="AW84" s="69" t="n">
        <f aca="false">ROUND((TblConstr[[#This Row],[Land]]-250 - IF(TblExplore[[#This Row],[Land Bonus]]&lt;&gt;0,20,0))*0.285 + 87.5 + 0/4.25,0)</f>
        <v>200</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646</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349</v>
      </c>
      <c r="DA84" s="69" t="n">
        <f aca="false">H84+SUM(T73:U84)+SUM(BD84:BE84)</f>
        <v>27</v>
      </c>
      <c r="DB84" s="1" t="n">
        <f aca="false">I84+SUM(V73:W84)+SUM(BF84:BG84)</f>
        <v>3</v>
      </c>
      <c r="DC84" s="69" t="n">
        <f aca="false">J84+SUM(X73:Y84)+SUM(BH84:BI84)</f>
        <v>59</v>
      </c>
      <c r="DD84" s="69" t="n">
        <f aca="false">K84+SUM(AB73:AD84)+SUM(BL84:BN84)</f>
        <v>81</v>
      </c>
      <c r="DE84" s="1" t="n">
        <f aca="false">L84+SUM(AE73:AE84)+BO84</f>
        <v>6</v>
      </c>
      <c r="DF84" s="69" t="n">
        <f aca="false">M84+SUM(AG73:AG84)+BQ84</f>
        <v>31</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-54</v>
      </c>
      <c r="C85" s="172" t="n">
        <f aca="false">SUM(TblConstr[[#This Row],[Tot Hom]:[Tot Doc]])</f>
        <v>700</v>
      </c>
      <c r="D85" s="172" t="n">
        <f aca="false">SUM(O74:AG85)</f>
        <v>0</v>
      </c>
      <c r="E85" s="173"/>
      <c r="F85" s="33" t="n">
        <f aca="false">TblConstr[[#This Row],[Barren]]+TblConstr[[#This Row],[Buildings]]+TblConstr[[#This Row],[Incoming]]</f>
        <v>646</v>
      </c>
      <c r="G85" s="199" t="n">
        <f aca="false">OFFSET(TblConstr[[#This Row],[Plain]],-1,0)+TblConstr[[#This Row],[Ch_Plain]]</f>
        <v>-81</v>
      </c>
      <c r="H85" s="193" t="n">
        <f aca="false">OFFSET(TblConstr[[#This Row],[Forest]],-1,0)+TblConstr[[#This Row],[Ch_Forest]]</f>
        <v>2</v>
      </c>
      <c r="I85" s="200" t="n">
        <f aca="false">OFFSET(TblConstr[[#This Row],[Mountain]],-1,0)+TblConstr[[#This Row],[Ch_Mountain]]</f>
        <v>3</v>
      </c>
      <c r="J85" s="201" t="n">
        <f aca="false">OFFSET(TblConstr[[#This Row],[Hill]],-1,0)+TblConstr[[#This Row],[Ch_Hill]]</f>
        <v>4</v>
      </c>
      <c r="K85" s="202" t="n">
        <f aca="false">OFFSET(TblConstr[[#This Row],[Swamp]],-1,0)+TblConstr[[#This Row],[Ch_Swamp]]</f>
        <v>5</v>
      </c>
      <c r="L85" s="197" t="n">
        <f aca="false">OFFSET(TblConstr[[#This Row],[Cavern]],-1,0)+TblConstr[[#This Row],[Ch_Cavern]]</f>
        <v>6</v>
      </c>
      <c r="M85" s="198" t="n">
        <f aca="false">OFFSET(TblConstr[[#This Row],[Water]],-1,0)+TblConstr[[#This Row],[Ch_Water]]</f>
        <v>7</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2327620</v>
      </c>
      <c r="AL85" s="69" t="n">
        <f aca="false">TblProd[[#This Row],[Lumber]]</f>
        <v>304559</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5" s="69" t="n">
        <f aca="false">ROUNDDOWN( MAX(1 - MIN(facs_constr_factor*TblConstr[[#This Row],[Facs -DB]],facs_constr_max) + tech_1_11*TblTech[[#This Row],[11-1]] + tech_6_3_2*TblTech[[#This Row],[6-3]] + tech_5_2_3*TblTech[[#This Row],[5-2]], 1-global_constr_cap) * TblConstr[[#This Row],[RCPA Lumber]],0)</f>
        <v>200</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5" s="69" t="n">
        <f aca="false">ROUNDDOWN( MAX(1 - MIN(facs_constr_factor*TblConstr[[#This Row],[Facs DB]],facs_constr_max) + tech_1_11*TblTech[[#This Row],[1-11]] + tech_6_3_2*TblTech[[#This Row],[6-3]] + tech_5_2_3*TblTech[[#This Row],[5-2]], 1-global_constr_cap) * ROUND((TblConstr[[#This Row],[Land]]-250)*0.285 + 87.5 + 0/4.25,0),0)</f>
        <v>200</v>
      </c>
      <c r="AQ85" s="1" t="n">
        <f aca="false">TblConstr[[#This Row],[build -db]]*TblConstr[[#This Row],[CPA Platinum -DB]] + TblConstr[[#This Row],[build db]]*TblConstr[[#This Row],[CPA Platinum DB]]</f>
        <v>-65340</v>
      </c>
      <c r="AR85" s="1" t="n">
        <f aca="false">TblConstr[[#This Row],[build -db]]*TblConstr[[#This Row],[CPA Lumber -DB]]+TblConstr[[#This Row],[build db]]*TblConstr[[#This Row],[CPA Lumber DB]]</f>
        <v>-10800</v>
      </c>
      <c r="AS85" s="69" t="n">
        <f aca="false">MIN(SUM(OFFSET(TblConstr[[#This Row],[Plain]:[Water]],-1,0))+SUM(TblConstr[[#This Row],[Dest Hom]:[Dest Doc]])+IF(TblConstr[[#This Row],[Hour]]&gt;12,SUM(OFFSET(TblExplore[[#This Row],[Plains Explore]:[Water Explore]],-12,0)),0),SUM(TblConstr[[#This Row],[Hom]:[Doc]]))</f>
        <v>-54</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1345</v>
      </c>
      <c r="AW85" s="69" t="n">
        <f aca="false">ROUND((TblConstr[[#This Row],[Land]]-250 - IF(TblExplore[[#This Row],[Land Bonus]]&lt;&gt;0,20,0))*0.285 + 87.5 + 0/4.25,0)</f>
        <v>200</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646</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349</v>
      </c>
      <c r="DA85" s="69" t="n">
        <f aca="false">H85+SUM(T74:U85)+SUM(BD85:BE85)</f>
        <v>27</v>
      </c>
      <c r="DB85" s="1" t="n">
        <f aca="false">I85+SUM(V74:W85)+SUM(BF85:BG85)</f>
        <v>3</v>
      </c>
      <c r="DC85" s="69" t="n">
        <f aca="false">J85+SUM(X74:Y85)+SUM(BH85:BI85)</f>
        <v>59</v>
      </c>
      <c r="DD85" s="69" t="n">
        <f aca="false">K85+SUM(AB74:AD85)+SUM(BL85:BN85)</f>
        <v>81</v>
      </c>
      <c r="DE85" s="1" t="n">
        <f aca="false">L85+SUM(AE74:AE85)+BO85</f>
        <v>6</v>
      </c>
      <c r="DF85" s="69" t="n">
        <f aca="false">M85+SUM(AG74:AG85)+BQ85</f>
        <v>31</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-54</v>
      </c>
      <c r="C86" s="172" t="n">
        <f aca="false">SUM(TblConstr[[#This Row],[Tot Hom]:[Tot Doc]])</f>
        <v>700</v>
      </c>
      <c r="D86" s="172" t="n">
        <f aca="false">SUM(O75:AG86)</f>
        <v>0</v>
      </c>
      <c r="E86" s="173"/>
      <c r="F86" s="33" t="n">
        <f aca="false">TblConstr[[#This Row],[Barren]]+TblConstr[[#This Row],[Buildings]]+TblConstr[[#This Row],[Incoming]]</f>
        <v>646</v>
      </c>
      <c r="G86" s="199" t="n">
        <f aca="false">OFFSET(TblConstr[[#This Row],[Plain]],-1,0)+TblConstr[[#This Row],[Ch_Plain]]</f>
        <v>-81</v>
      </c>
      <c r="H86" s="193" t="n">
        <f aca="false">OFFSET(TblConstr[[#This Row],[Forest]],-1,0)+TblConstr[[#This Row],[Ch_Forest]]</f>
        <v>2</v>
      </c>
      <c r="I86" s="200" t="n">
        <f aca="false">OFFSET(TblConstr[[#This Row],[Mountain]],-1,0)+TblConstr[[#This Row],[Ch_Mountain]]</f>
        <v>3</v>
      </c>
      <c r="J86" s="201" t="n">
        <f aca="false">OFFSET(TblConstr[[#This Row],[Hill]],-1,0)+TblConstr[[#This Row],[Ch_Hill]]</f>
        <v>4</v>
      </c>
      <c r="K86" s="202" t="n">
        <f aca="false">OFFSET(TblConstr[[#This Row],[Swamp]],-1,0)+TblConstr[[#This Row],[Ch_Swamp]]</f>
        <v>5</v>
      </c>
      <c r="L86" s="197" t="n">
        <f aca="false">OFFSET(TblConstr[[#This Row],[Cavern]],-1,0)+TblConstr[[#This Row],[Ch_Cavern]]</f>
        <v>6</v>
      </c>
      <c r="M86" s="198" t="n">
        <f aca="false">OFFSET(TblConstr[[#This Row],[Water]],-1,0)+TblConstr[[#This Row],[Ch_Water]]</f>
        <v>7</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2436869</v>
      </c>
      <c r="AL86" s="69" t="n">
        <f aca="false">TblProd[[#This Row],[Lumber]]</f>
        <v>313438</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6" s="69" t="n">
        <f aca="false">ROUNDDOWN( MAX(1 - MIN(facs_constr_factor*TblConstr[[#This Row],[Facs -DB]],facs_constr_max) + tech_1_11*TblTech[[#This Row],[11-1]] + tech_6_3_2*TblTech[[#This Row],[6-3]] + tech_5_2_3*TblTech[[#This Row],[5-2]], 1-global_constr_cap) * TblConstr[[#This Row],[RCPA Lumber]],0)</f>
        <v>200</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6" s="69" t="n">
        <f aca="false">ROUNDDOWN( MAX(1 - MIN(facs_constr_factor*TblConstr[[#This Row],[Facs DB]],facs_constr_max) + tech_1_11*TblTech[[#This Row],[1-11]] + tech_6_3_2*TblTech[[#This Row],[6-3]] + tech_5_2_3*TblTech[[#This Row],[5-2]], 1-global_constr_cap) * ROUND((TblConstr[[#This Row],[Land]]-250)*0.285 + 87.5 + 0/4.25,0),0)</f>
        <v>200</v>
      </c>
      <c r="AQ86" s="1" t="n">
        <f aca="false">TblConstr[[#This Row],[build -db]]*TblConstr[[#This Row],[CPA Platinum -DB]] + TblConstr[[#This Row],[build db]]*TblConstr[[#This Row],[CPA Platinum DB]]</f>
        <v>-65340</v>
      </c>
      <c r="AR86" s="1" t="n">
        <f aca="false">TblConstr[[#This Row],[build -db]]*TblConstr[[#This Row],[CPA Lumber -DB]]+TblConstr[[#This Row],[build db]]*TblConstr[[#This Row],[CPA Lumber DB]]</f>
        <v>-10800</v>
      </c>
      <c r="AS86" s="69" t="n">
        <f aca="false">MIN(SUM(OFFSET(TblConstr[[#This Row],[Plain]:[Water]],-1,0))+SUM(TblConstr[[#This Row],[Dest Hom]:[Dest Doc]])+IF(TblConstr[[#This Row],[Hour]]&gt;12,SUM(OFFSET(TblExplore[[#This Row],[Plains Explore]:[Water Explore]],-12,0)),0),SUM(TblConstr[[#This Row],[Hom]:[Doc]]))</f>
        <v>-54</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1345</v>
      </c>
      <c r="AW86" s="69" t="n">
        <f aca="false">ROUND((TblConstr[[#This Row],[Land]]-250 - IF(TblExplore[[#This Row],[Land Bonus]]&lt;&gt;0,20,0))*0.285 + 87.5 + 0/4.25,0)</f>
        <v>200</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646</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349</v>
      </c>
      <c r="DA86" s="69" t="n">
        <f aca="false">H86+SUM(T75:U86)+SUM(BD86:BE86)</f>
        <v>27</v>
      </c>
      <c r="DB86" s="1" t="n">
        <f aca="false">I86+SUM(V75:W86)+SUM(BF86:BG86)</f>
        <v>3</v>
      </c>
      <c r="DC86" s="69" t="n">
        <f aca="false">J86+SUM(X75:Y86)+SUM(BH86:BI86)</f>
        <v>59</v>
      </c>
      <c r="DD86" s="69" t="n">
        <f aca="false">K86+SUM(AB75:AD86)+SUM(BL86:BN86)</f>
        <v>81</v>
      </c>
      <c r="DE86" s="1" t="n">
        <f aca="false">L86+SUM(AE75:AE86)+BO86</f>
        <v>6</v>
      </c>
      <c r="DF86" s="69" t="n">
        <f aca="false">M86+SUM(AG75:AG86)+BQ86</f>
        <v>31</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-54</v>
      </c>
      <c r="C87" s="172" t="n">
        <f aca="false">SUM(TblConstr[[#This Row],[Tot Hom]:[Tot Doc]])</f>
        <v>700</v>
      </c>
      <c r="D87" s="172" t="n">
        <f aca="false">SUM(O76:AG87)</f>
        <v>0</v>
      </c>
      <c r="E87" s="173"/>
      <c r="F87" s="33" t="n">
        <f aca="false">TblConstr[[#This Row],[Barren]]+TblConstr[[#This Row],[Buildings]]+TblConstr[[#This Row],[Incoming]]</f>
        <v>646</v>
      </c>
      <c r="G87" s="199" t="n">
        <f aca="false">OFFSET(TblConstr[[#This Row],[Plain]],-1,0)+TblConstr[[#This Row],[Ch_Plain]]</f>
        <v>-81</v>
      </c>
      <c r="H87" s="193" t="n">
        <f aca="false">OFFSET(TblConstr[[#This Row],[Forest]],-1,0)+TblConstr[[#This Row],[Ch_Forest]]</f>
        <v>2</v>
      </c>
      <c r="I87" s="200" t="n">
        <f aca="false">OFFSET(TblConstr[[#This Row],[Mountain]],-1,0)+TblConstr[[#This Row],[Ch_Mountain]]</f>
        <v>3</v>
      </c>
      <c r="J87" s="201" t="n">
        <f aca="false">OFFSET(TblConstr[[#This Row],[Hill]],-1,0)+TblConstr[[#This Row],[Ch_Hill]]</f>
        <v>4</v>
      </c>
      <c r="K87" s="202" t="n">
        <f aca="false">OFFSET(TblConstr[[#This Row],[Swamp]],-1,0)+TblConstr[[#This Row],[Ch_Swamp]]</f>
        <v>5</v>
      </c>
      <c r="L87" s="197" t="n">
        <f aca="false">OFFSET(TblConstr[[#This Row],[Cavern]],-1,0)+TblConstr[[#This Row],[Ch_Cavern]]</f>
        <v>6</v>
      </c>
      <c r="M87" s="198" t="n">
        <f aca="false">OFFSET(TblConstr[[#This Row],[Water]],-1,0)+TblConstr[[#This Row],[Ch_Water]]</f>
        <v>7</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2545854</v>
      </c>
      <c r="AL87" s="69" t="n">
        <f aca="false">TblProd[[#This Row],[Lumber]]</f>
        <v>322229</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7" s="69" t="n">
        <f aca="false">ROUNDDOWN( MAX(1 - MIN(facs_constr_factor*TblConstr[[#This Row],[Facs -DB]],facs_constr_max) + tech_1_11*TblTech[[#This Row],[11-1]] + tech_6_3_2*TblTech[[#This Row],[6-3]] + tech_5_2_3*TblTech[[#This Row],[5-2]], 1-global_constr_cap) * TblConstr[[#This Row],[RCPA Lumber]],0)</f>
        <v>200</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7" s="69" t="n">
        <f aca="false">ROUNDDOWN( MAX(1 - MIN(facs_constr_factor*TblConstr[[#This Row],[Facs DB]],facs_constr_max) + tech_1_11*TblTech[[#This Row],[1-11]] + tech_6_3_2*TblTech[[#This Row],[6-3]] + tech_5_2_3*TblTech[[#This Row],[5-2]], 1-global_constr_cap) * ROUND((TblConstr[[#This Row],[Land]]-250)*0.285 + 87.5 + 0/4.25,0),0)</f>
        <v>200</v>
      </c>
      <c r="AQ87" s="1" t="n">
        <f aca="false">TblConstr[[#This Row],[build -db]]*TblConstr[[#This Row],[CPA Platinum -DB]] + TblConstr[[#This Row],[build db]]*TblConstr[[#This Row],[CPA Platinum DB]]</f>
        <v>-65340</v>
      </c>
      <c r="AR87" s="1" t="n">
        <f aca="false">TblConstr[[#This Row],[build -db]]*TblConstr[[#This Row],[CPA Lumber -DB]]+TblConstr[[#This Row],[build db]]*TblConstr[[#This Row],[CPA Lumber DB]]</f>
        <v>-10800</v>
      </c>
      <c r="AS87" s="69" t="n">
        <f aca="false">MIN(SUM(OFFSET(TblConstr[[#This Row],[Plain]:[Water]],-1,0))+SUM(TblConstr[[#This Row],[Dest Hom]:[Dest Doc]])+IF(TblConstr[[#This Row],[Hour]]&gt;12,SUM(OFFSET(TblExplore[[#This Row],[Plains Explore]:[Water Explore]],-12,0)),0),SUM(TblConstr[[#This Row],[Hom]:[Doc]]))</f>
        <v>-54</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1345</v>
      </c>
      <c r="AW87" s="69" t="n">
        <f aca="false">ROUND((TblConstr[[#This Row],[Land]]-250 - IF(TblExplore[[#This Row],[Land Bonus]]&lt;&gt;0,20,0))*0.285 + 87.5 + 0/4.25,0)</f>
        <v>200</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646</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349</v>
      </c>
      <c r="DA87" s="69" t="n">
        <f aca="false">H87+SUM(T76:U87)+SUM(BD87:BE87)</f>
        <v>27</v>
      </c>
      <c r="DB87" s="1" t="n">
        <f aca="false">I87+SUM(V76:W87)+SUM(BF87:BG87)</f>
        <v>3</v>
      </c>
      <c r="DC87" s="69" t="n">
        <f aca="false">J87+SUM(X76:Y87)+SUM(BH87:BI87)</f>
        <v>59</v>
      </c>
      <c r="DD87" s="69" t="n">
        <f aca="false">K87+SUM(AB76:AD87)+SUM(BL87:BN87)</f>
        <v>81</v>
      </c>
      <c r="DE87" s="1" t="n">
        <f aca="false">L87+SUM(AE76:AE87)+BO87</f>
        <v>6</v>
      </c>
      <c r="DF87" s="69" t="n">
        <f aca="false">M87+SUM(AG76:AG87)+BQ87</f>
        <v>31</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-54</v>
      </c>
      <c r="C88" s="172" t="n">
        <f aca="false">SUM(TblConstr[[#This Row],[Tot Hom]:[Tot Doc]])</f>
        <v>700</v>
      </c>
      <c r="D88" s="172" t="n">
        <f aca="false">SUM(O77:AG88)</f>
        <v>0</v>
      </c>
      <c r="E88" s="173"/>
      <c r="F88" s="33" t="n">
        <f aca="false">TblConstr[[#This Row],[Barren]]+TblConstr[[#This Row],[Buildings]]+TblConstr[[#This Row],[Incoming]]</f>
        <v>646</v>
      </c>
      <c r="G88" s="199" t="n">
        <f aca="false">OFFSET(TblConstr[[#This Row],[Plain]],-1,0)+TblConstr[[#This Row],[Ch_Plain]]</f>
        <v>-81</v>
      </c>
      <c r="H88" s="193" t="n">
        <f aca="false">OFFSET(TblConstr[[#This Row],[Forest]],-1,0)+TblConstr[[#This Row],[Ch_Forest]]</f>
        <v>2</v>
      </c>
      <c r="I88" s="200" t="n">
        <f aca="false">OFFSET(TblConstr[[#This Row],[Mountain]],-1,0)+TblConstr[[#This Row],[Ch_Mountain]]</f>
        <v>3</v>
      </c>
      <c r="J88" s="201" t="n">
        <f aca="false">OFFSET(TblConstr[[#This Row],[Hill]],-1,0)+TblConstr[[#This Row],[Ch_Hill]]</f>
        <v>4</v>
      </c>
      <c r="K88" s="202" t="n">
        <f aca="false">OFFSET(TblConstr[[#This Row],[Swamp]],-1,0)+TblConstr[[#This Row],[Ch_Swamp]]</f>
        <v>5</v>
      </c>
      <c r="L88" s="197" t="n">
        <f aca="false">OFFSET(TblConstr[[#This Row],[Cavern]],-1,0)+TblConstr[[#This Row],[Ch_Cavern]]</f>
        <v>6</v>
      </c>
      <c r="M88" s="198" t="n">
        <f aca="false">OFFSET(TblConstr[[#This Row],[Water]],-1,0)+TblConstr[[#This Row],[Ch_Water]]</f>
        <v>7</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2654578</v>
      </c>
      <c r="AL88" s="69" t="n">
        <f aca="false">TblProd[[#This Row],[Lumber]]</f>
        <v>330932</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8" s="69" t="n">
        <f aca="false">ROUNDDOWN( MAX(1 - MIN(facs_constr_factor*TblConstr[[#This Row],[Facs -DB]],facs_constr_max) + tech_1_11*TblTech[[#This Row],[11-1]] + tech_6_3_2*TblTech[[#This Row],[6-3]] + tech_5_2_3*TblTech[[#This Row],[5-2]], 1-global_constr_cap) * TblConstr[[#This Row],[RCPA Lumber]],0)</f>
        <v>200</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8" s="69" t="n">
        <f aca="false">ROUNDDOWN( MAX(1 - MIN(facs_constr_factor*TblConstr[[#This Row],[Facs DB]],facs_constr_max) + tech_1_11*TblTech[[#This Row],[1-11]] + tech_6_3_2*TblTech[[#This Row],[6-3]] + tech_5_2_3*TblTech[[#This Row],[5-2]], 1-global_constr_cap) * ROUND((TblConstr[[#This Row],[Land]]-250)*0.285 + 87.5 + 0/4.25,0),0)</f>
        <v>200</v>
      </c>
      <c r="AQ88" s="1" t="n">
        <f aca="false">TblConstr[[#This Row],[build -db]]*TblConstr[[#This Row],[CPA Platinum -DB]] + TblConstr[[#This Row],[build db]]*TblConstr[[#This Row],[CPA Platinum DB]]</f>
        <v>-65340</v>
      </c>
      <c r="AR88" s="1" t="n">
        <f aca="false">TblConstr[[#This Row],[build -db]]*TblConstr[[#This Row],[CPA Lumber -DB]]+TblConstr[[#This Row],[build db]]*TblConstr[[#This Row],[CPA Lumber DB]]</f>
        <v>-10800</v>
      </c>
      <c r="AS88" s="69" t="n">
        <f aca="false">MIN(SUM(OFFSET(TblConstr[[#This Row],[Plain]:[Water]],-1,0))+SUM(TblConstr[[#This Row],[Dest Hom]:[Dest Doc]])+IF(TblConstr[[#This Row],[Hour]]&gt;12,SUM(OFFSET(TblExplore[[#This Row],[Plains Explore]:[Water Explore]],-12,0)),0),SUM(TblConstr[[#This Row],[Hom]:[Doc]]))</f>
        <v>-54</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1345</v>
      </c>
      <c r="AW88" s="69" t="n">
        <f aca="false">ROUND((TblConstr[[#This Row],[Land]]-250 - IF(TblExplore[[#This Row],[Land Bonus]]&lt;&gt;0,20,0))*0.285 + 87.5 + 0/4.25,0)</f>
        <v>200</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646</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349</v>
      </c>
      <c r="DA88" s="69" t="n">
        <f aca="false">H88+SUM(T77:U88)+SUM(BD88:BE88)</f>
        <v>27</v>
      </c>
      <c r="DB88" s="1" t="n">
        <f aca="false">I88+SUM(V77:W88)+SUM(BF88:BG88)</f>
        <v>3</v>
      </c>
      <c r="DC88" s="69" t="n">
        <f aca="false">J88+SUM(X77:Y88)+SUM(BH88:BI88)</f>
        <v>59</v>
      </c>
      <c r="DD88" s="69" t="n">
        <f aca="false">K88+SUM(AB77:AD88)+SUM(BL88:BN88)</f>
        <v>81</v>
      </c>
      <c r="DE88" s="1" t="n">
        <f aca="false">L88+SUM(AE77:AE88)+BO88</f>
        <v>6</v>
      </c>
      <c r="DF88" s="69" t="n">
        <f aca="false">M88+SUM(AG77:AG88)+BQ88</f>
        <v>31</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-54</v>
      </c>
      <c r="C89" s="172" t="n">
        <f aca="false">SUM(TblConstr[[#This Row],[Tot Hom]:[Tot Doc]])</f>
        <v>700</v>
      </c>
      <c r="D89" s="172" t="n">
        <f aca="false">SUM(O78:AG89)</f>
        <v>0</v>
      </c>
      <c r="E89" s="173"/>
      <c r="F89" s="33" t="n">
        <f aca="false">TblConstr[[#This Row],[Barren]]+TblConstr[[#This Row],[Buildings]]+TblConstr[[#This Row],[Incoming]]</f>
        <v>646</v>
      </c>
      <c r="G89" s="199" t="n">
        <f aca="false">OFFSET(TblConstr[[#This Row],[Plain]],-1,0)+TblConstr[[#This Row],[Ch_Plain]]</f>
        <v>-81</v>
      </c>
      <c r="H89" s="193" t="n">
        <f aca="false">OFFSET(TblConstr[[#This Row],[Forest]],-1,0)+TblConstr[[#This Row],[Ch_Forest]]</f>
        <v>2</v>
      </c>
      <c r="I89" s="200" t="n">
        <f aca="false">OFFSET(TblConstr[[#This Row],[Mountain]],-1,0)+TblConstr[[#This Row],[Ch_Mountain]]</f>
        <v>3</v>
      </c>
      <c r="J89" s="201" t="n">
        <f aca="false">OFFSET(TblConstr[[#This Row],[Hill]],-1,0)+TblConstr[[#This Row],[Ch_Hill]]</f>
        <v>4</v>
      </c>
      <c r="K89" s="202" t="n">
        <f aca="false">OFFSET(TblConstr[[#This Row],[Swamp]],-1,0)+TblConstr[[#This Row],[Ch_Swamp]]</f>
        <v>5</v>
      </c>
      <c r="L89" s="197" t="n">
        <f aca="false">OFFSET(TblConstr[[#This Row],[Cavern]],-1,0)+TblConstr[[#This Row],[Ch_Cavern]]</f>
        <v>6</v>
      </c>
      <c r="M89" s="198" t="n">
        <f aca="false">OFFSET(TblConstr[[#This Row],[Water]],-1,0)+TblConstr[[#This Row],[Ch_Water]]</f>
        <v>7</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2763043</v>
      </c>
      <c r="AL89" s="69" t="n">
        <f aca="false">TblProd[[#This Row],[Lumber]]</f>
        <v>339548</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89" s="69" t="n">
        <f aca="false">ROUNDDOWN( MAX(1 - MIN(facs_constr_factor*TblConstr[[#This Row],[Facs -DB]],facs_constr_max) + tech_1_11*TblTech[[#This Row],[11-1]] + tech_6_3_2*TblTech[[#This Row],[6-3]] + tech_5_2_3*TblTech[[#This Row],[5-2]], 1-global_constr_cap) * TblConstr[[#This Row],[RCPA Lumber]],0)</f>
        <v>200</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89" s="69" t="n">
        <f aca="false">ROUNDDOWN( MAX(1 - MIN(facs_constr_factor*TblConstr[[#This Row],[Facs DB]],facs_constr_max) + tech_1_11*TblTech[[#This Row],[1-11]] + tech_6_3_2*TblTech[[#This Row],[6-3]] + tech_5_2_3*TblTech[[#This Row],[5-2]], 1-global_constr_cap) * ROUND((TblConstr[[#This Row],[Land]]-250)*0.285 + 87.5 + 0/4.25,0),0)</f>
        <v>200</v>
      </c>
      <c r="AQ89" s="1" t="n">
        <f aca="false">TblConstr[[#This Row],[build -db]]*TblConstr[[#This Row],[CPA Platinum -DB]] + TblConstr[[#This Row],[build db]]*TblConstr[[#This Row],[CPA Platinum DB]]</f>
        <v>-65340</v>
      </c>
      <c r="AR89" s="1" t="n">
        <f aca="false">TblConstr[[#This Row],[build -db]]*TblConstr[[#This Row],[CPA Lumber -DB]]+TblConstr[[#This Row],[build db]]*TblConstr[[#This Row],[CPA Lumber DB]]</f>
        <v>-10800</v>
      </c>
      <c r="AS89" s="69" t="n">
        <f aca="false">MIN(SUM(OFFSET(TblConstr[[#This Row],[Plain]:[Water]],-1,0))+SUM(TblConstr[[#This Row],[Dest Hom]:[Dest Doc]])+IF(TblConstr[[#This Row],[Hour]]&gt;12,SUM(OFFSET(TblExplore[[#This Row],[Plains Explore]:[Water Explore]],-12,0)),0),SUM(TblConstr[[#This Row],[Hom]:[Doc]]))</f>
        <v>-54</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1345</v>
      </c>
      <c r="AW89" s="69" t="n">
        <f aca="false">ROUND((TblConstr[[#This Row],[Land]]-250 - IF(TblExplore[[#This Row],[Land Bonus]]&lt;&gt;0,20,0))*0.285 + 87.5 + 0/4.25,0)</f>
        <v>200</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646</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349</v>
      </c>
      <c r="DA89" s="69" t="n">
        <f aca="false">H89+SUM(T78:U89)+SUM(BD89:BE89)</f>
        <v>27</v>
      </c>
      <c r="DB89" s="1" t="n">
        <f aca="false">I89+SUM(V78:W89)+SUM(BF89:BG89)</f>
        <v>3</v>
      </c>
      <c r="DC89" s="69" t="n">
        <f aca="false">J89+SUM(X78:Y89)+SUM(BH89:BI89)</f>
        <v>59</v>
      </c>
      <c r="DD89" s="69" t="n">
        <f aca="false">K89+SUM(AB78:AD89)+SUM(BL89:BN89)</f>
        <v>81</v>
      </c>
      <c r="DE89" s="1" t="n">
        <f aca="false">L89+SUM(AE78:AE89)+BO89</f>
        <v>6</v>
      </c>
      <c r="DF89" s="69" t="n">
        <f aca="false">M89+SUM(AG78:AG89)+BQ89</f>
        <v>31</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-54</v>
      </c>
      <c r="C90" s="172" t="n">
        <f aca="false">SUM(TblConstr[[#This Row],[Tot Hom]:[Tot Doc]])</f>
        <v>700</v>
      </c>
      <c r="D90" s="172" t="n">
        <f aca="false">SUM(O79:AG90)</f>
        <v>0</v>
      </c>
      <c r="E90" s="173"/>
      <c r="F90" s="33" t="n">
        <f aca="false">TblConstr[[#This Row],[Barren]]+TblConstr[[#This Row],[Buildings]]+TblConstr[[#This Row],[Incoming]]</f>
        <v>646</v>
      </c>
      <c r="G90" s="199" t="n">
        <f aca="false">OFFSET(TblConstr[[#This Row],[Plain]],-1,0)+TblConstr[[#This Row],[Ch_Plain]]</f>
        <v>-81</v>
      </c>
      <c r="H90" s="193" t="n">
        <f aca="false">OFFSET(TblConstr[[#This Row],[Forest]],-1,0)+TblConstr[[#This Row],[Ch_Forest]]</f>
        <v>2</v>
      </c>
      <c r="I90" s="200" t="n">
        <f aca="false">OFFSET(TblConstr[[#This Row],[Mountain]],-1,0)+TblConstr[[#This Row],[Ch_Mountain]]</f>
        <v>3</v>
      </c>
      <c r="J90" s="201" t="n">
        <f aca="false">OFFSET(TblConstr[[#This Row],[Hill]],-1,0)+TblConstr[[#This Row],[Ch_Hill]]</f>
        <v>4</v>
      </c>
      <c r="K90" s="202" t="n">
        <f aca="false">OFFSET(TblConstr[[#This Row],[Swamp]],-1,0)+TblConstr[[#This Row],[Ch_Swamp]]</f>
        <v>5</v>
      </c>
      <c r="L90" s="197" t="n">
        <f aca="false">OFFSET(TblConstr[[#This Row],[Cavern]],-1,0)+TblConstr[[#This Row],[Ch_Cavern]]</f>
        <v>6</v>
      </c>
      <c r="M90" s="198" t="n">
        <f aca="false">OFFSET(TblConstr[[#This Row],[Water]],-1,0)+TblConstr[[#This Row],[Ch_Water]]</f>
        <v>7</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2871253</v>
      </c>
      <c r="AL90" s="69" t="n">
        <f aca="false">TblProd[[#This Row],[Lumber]]</f>
        <v>348078</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0" s="69" t="n">
        <f aca="false">ROUNDDOWN( MAX(1 - MIN(facs_constr_factor*TblConstr[[#This Row],[Facs -DB]],facs_constr_max) + tech_1_11*TblTech[[#This Row],[11-1]] + tech_6_3_2*TblTech[[#This Row],[6-3]] + tech_5_2_3*TblTech[[#This Row],[5-2]], 1-global_constr_cap) * TblConstr[[#This Row],[RCPA Lumber]],0)</f>
        <v>200</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0" s="69" t="n">
        <f aca="false">ROUNDDOWN( MAX(1 - MIN(facs_constr_factor*TblConstr[[#This Row],[Facs DB]],facs_constr_max) + tech_1_11*TblTech[[#This Row],[1-11]] + tech_6_3_2*TblTech[[#This Row],[6-3]] + tech_5_2_3*TblTech[[#This Row],[5-2]], 1-global_constr_cap) * ROUND((TblConstr[[#This Row],[Land]]-250)*0.285 + 87.5 + 0/4.25,0),0)</f>
        <v>200</v>
      </c>
      <c r="AQ90" s="1" t="n">
        <f aca="false">TblConstr[[#This Row],[build -db]]*TblConstr[[#This Row],[CPA Platinum -DB]] + TblConstr[[#This Row],[build db]]*TblConstr[[#This Row],[CPA Platinum DB]]</f>
        <v>-65340</v>
      </c>
      <c r="AR90" s="1" t="n">
        <f aca="false">TblConstr[[#This Row],[build -db]]*TblConstr[[#This Row],[CPA Lumber -DB]]+TblConstr[[#This Row],[build db]]*TblConstr[[#This Row],[CPA Lumber DB]]</f>
        <v>-10800</v>
      </c>
      <c r="AS90" s="69" t="n">
        <f aca="false">MIN(SUM(OFFSET(TblConstr[[#This Row],[Plain]:[Water]],-1,0))+SUM(TblConstr[[#This Row],[Dest Hom]:[Dest Doc]])+IF(TblConstr[[#This Row],[Hour]]&gt;12,SUM(OFFSET(TblExplore[[#This Row],[Plains Explore]:[Water Explore]],-12,0)),0),SUM(TblConstr[[#This Row],[Hom]:[Doc]]))</f>
        <v>-54</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1345</v>
      </c>
      <c r="AW90" s="69" t="n">
        <f aca="false">ROUND((TblConstr[[#This Row],[Land]]-250 - IF(TblExplore[[#This Row],[Land Bonus]]&lt;&gt;0,20,0))*0.285 + 87.5 + 0/4.25,0)</f>
        <v>200</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646</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349</v>
      </c>
      <c r="DA90" s="69" t="n">
        <f aca="false">H90+SUM(T79:U90)+SUM(BD90:BE90)</f>
        <v>27</v>
      </c>
      <c r="DB90" s="1" t="n">
        <f aca="false">I90+SUM(V79:W90)+SUM(BF90:BG90)</f>
        <v>3</v>
      </c>
      <c r="DC90" s="69" t="n">
        <f aca="false">J90+SUM(X79:Y90)+SUM(BH90:BI90)</f>
        <v>59</v>
      </c>
      <c r="DD90" s="69" t="n">
        <f aca="false">K90+SUM(AB79:AD90)+SUM(BL90:BN90)</f>
        <v>81</v>
      </c>
      <c r="DE90" s="1" t="n">
        <f aca="false">L90+SUM(AE79:AE90)+BO90</f>
        <v>6</v>
      </c>
      <c r="DF90" s="69" t="n">
        <f aca="false">M90+SUM(AG79:AG90)+BQ90</f>
        <v>31</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-54</v>
      </c>
      <c r="C91" s="172" t="n">
        <f aca="false">SUM(TblConstr[[#This Row],[Tot Hom]:[Tot Doc]])</f>
        <v>700</v>
      </c>
      <c r="D91" s="172" t="n">
        <f aca="false">SUM(O80:AG91)</f>
        <v>0</v>
      </c>
      <c r="E91" s="173"/>
      <c r="F91" s="33" t="n">
        <f aca="false">TblConstr[[#This Row],[Barren]]+TblConstr[[#This Row],[Buildings]]+TblConstr[[#This Row],[Incoming]]</f>
        <v>646</v>
      </c>
      <c r="G91" s="199" t="n">
        <f aca="false">OFFSET(TblConstr[[#This Row],[Plain]],-1,0)+TblConstr[[#This Row],[Ch_Plain]]</f>
        <v>-81</v>
      </c>
      <c r="H91" s="193" t="n">
        <f aca="false">OFFSET(TblConstr[[#This Row],[Forest]],-1,0)+TblConstr[[#This Row],[Ch_Forest]]</f>
        <v>2</v>
      </c>
      <c r="I91" s="200" t="n">
        <f aca="false">OFFSET(TblConstr[[#This Row],[Mountain]],-1,0)+TblConstr[[#This Row],[Ch_Mountain]]</f>
        <v>3</v>
      </c>
      <c r="J91" s="201" t="n">
        <f aca="false">OFFSET(TblConstr[[#This Row],[Hill]],-1,0)+TblConstr[[#This Row],[Ch_Hill]]</f>
        <v>4</v>
      </c>
      <c r="K91" s="202" t="n">
        <f aca="false">OFFSET(TblConstr[[#This Row],[Swamp]],-1,0)+TblConstr[[#This Row],[Ch_Swamp]]</f>
        <v>5</v>
      </c>
      <c r="L91" s="197" t="n">
        <f aca="false">OFFSET(TblConstr[[#This Row],[Cavern]],-1,0)+TblConstr[[#This Row],[Ch_Cavern]]</f>
        <v>6</v>
      </c>
      <c r="M91" s="198" t="n">
        <f aca="false">OFFSET(TblConstr[[#This Row],[Water]],-1,0)+TblConstr[[#This Row],[Ch_Water]]</f>
        <v>7</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2979210</v>
      </c>
      <c r="AL91" s="69" t="n">
        <f aca="false">TblProd[[#This Row],[Lumber]]</f>
        <v>356522</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1" s="69" t="n">
        <f aca="false">ROUNDDOWN( MAX(1 - MIN(facs_constr_factor*TblConstr[[#This Row],[Facs -DB]],facs_constr_max) + tech_1_11*TblTech[[#This Row],[11-1]] + tech_6_3_2*TblTech[[#This Row],[6-3]] + tech_5_2_3*TblTech[[#This Row],[5-2]], 1-global_constr_cap) * TblConstr[[#This Row],[RCPA Lumber]],0)</f>
        <v>200</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1" s="69" t="n">
        <f aca="false">ROUNDDOWN( MAX(1 - MIN(facs_constr_factor*TblConstr[[#This Row],[Facs DB]],facs_constr_max) + tech_1_11*TblTech[[#This Row],[1-11]] + tech_6_3_2*TblTech[[#This Row],[6-3]] + tech_5_2_3*TblTech[[#This Row],[5-2]], 1-global_constr_cap) * ROUND((TblConstr[[#This Row],[Land]]-250)*0.285 + 87.5 + 0/4.25,0),0)</f>
        <v>200</v>
      </c>
      <c r="AQ91" s="1" t="n">
        <f aca="false">TblConstr[[#This Row],[build -db]]*TblConstr[[#This Row],[CPA Platinum -DB]] + TblConstr[[#This Row],[build db]]*TblConstr[[#This Row],[CPA Platinum DB]]</f>
        <v>-65340</v>
      </c>
      <c r="AR91" s="1" t="n">
        <f aca="false">TblConstr[[#This Row],[build -db]]*TblConstr[[#This Row],[CPA Lumber -DB]]+TblConstr[[#This Row],[build db]]*TblConstr[[#This Row],[CPA Lumber DB]]</f>
        <v>-10800</v>
      </c>
      <c r="AS91" s="69" t="n">
        <f aca="false">MIN(SUM(OFFSET(TblConstr[[#This Row],[Plain]:[Water]],-1,0))+SUM(TblConstr[[#This Row],[Dest Hom]:[Dest Doc]])+IF(TblConstr[[#This Row],[Hour]]&gt;12,SUM(OFFSET(TblExplore[[#This Row],[Plains Explore]:[Water Explore]],-12,0)),0),SUM(TblConstr[[#This Row],[Hom]:[Doc]]))</f>
        <v>-54</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1345</v>
      </c>
      <c r="AW91" s="69" t="n">
        <f aca="false">ROUND((TblConstr[[#This Row],[Land]]-250 - IF(TblExplore[[#This Row],[Land Bonus]]&lt;&gt;0,20,0))*0.285 + 87.5 + 0/4.25,0)</f>
        <v>200</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646</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349</v>
      </c>
      <c r="DA91" s="69" t="n">
        <f aca="false">H91+SUM(T80:U91)+SUM(BD91:BE91)</f>
        <v>27</v>
      </c>
      <c r="DB91" s="1" t="n">
        <f aca="false">I91+SUM(V80:W91)+SUM(BF91:BG91)</f>
        <v>3</v>
      </c>
      <c r="DC91" s="69" t="n">
        <f aca="false">J91+SUM(X80:Y91)+SUM(BH91:BI91)</f>
        <v>59</v>
      </c>
      <c r="DD91" s="69" t="n">
        <f aca="false">K91+SUM(AB80:AD91)+SUM(BL91:BN91)</f>
        <v>81</v>
      </c>
      <c r="DE91" s="1" t="n">
        <f aca="false">L91+SUM(AE80:AE91)+BO91</f>
        <v>6</v>
      </c>
      <c r="DF91" s="69" t="n">
        <f aca="false">M91+SUM(AG80:AG91)+BQ91</f>
        <v>31</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-54</v>
      </c>
      <c r="C92" s="172" t="n">
        <f aca="false">SUM(TblConstr[[#This Row],[Tot Hom]:[Tot Doc]])</f>
        <v>700</v>
      </c>
      <c r="D92" s="172" t="n">
        <f aca="false">SUM(O81:AG92)</f>
        <v>0</v>
      </c>
      <c r="E92" s="173"/>
      <c r="F92" s="33" t="n">
        <f aca="false">TblConstr[[#This Row],[Barren]]+TblConstr[[#This Row],[Buildings]]+TblConstr[[#This Row],[Incoming]]</f>
        <v>646</v>
      </c>
      <c r="G92" s="199" t="n">
        <f aca="false">OFFSET(TblConstr[[#This Row],[Plain]],-1,0)+TblConstr[[#This Row],[Ch_Plain]]</f>
        <v>-81</v>
      </c>
      <c r="H92" s="193" t="n">
        <f aca="false">OFFSET(TblConstr[[#This Row],[Forest]],-1,0)+TblConstr[[#This Row],[Ch_Forest]]</f>
        <v>2</v>
      </c>
      <c r="I92" s="200" t="n">
        <f aca="false">OFFSET(TblConstr[[#This Row],[Mountain]],-1,0)+TblConstr[[#This Row],[Ch_Mountain]]</f>
        <v>3</v>
      </c>
      <c r="J92" s="201" t="n">
        <f aca="false">OFFSET(TblConstr[[#This Row],[Hill]],-1,0)+TblConstr[[#This Row],[Ch_Hill]]</f>
        <v>4</v>
      </c>
      <c r="K92" s="202" t="n">
        <f aca="false">OFFSET(TblConstr[[#This Row],[Swamp]],-1,0)+TblConstr[[#This Row],[Ch_Swamp]]</f>
        <v>5</v>
      </c>
      <c r="L92" s="197" t="n">
        <f aca="false">OFFSET(TblConstr[[#This Row],[Cavern]],-1,0)+TblConstr[[#This Row],[Ch_Cavern]]</f>
        <v>6</v>
      </c>
      <c r="M92" s="198" t="n">
        <f aca="false">OFFSET(TblConstr[[#This Row],[Water]],-1,0)+TblConstr[[#This Row],[Ch_Water]]</f>
        <v>7</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3086918</v>
      </c>
      <c r="AL92" s="69" t="n">
        <f aca="false">TblProd[[#This Row],[Lumber]]</f>
        <v>364882</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2" s="69" t="n">
        <f aca="false">ROUNDDOWN( MAX(1 - MIN(facs_constr_factor*TblConstr[[#This Row],[Facs -DB]],facs_constr_max) + tech_1_11*TblTech[[#This Row],[11-1]] + tech_6_3_2*TblTech[[#This Row],[6-3]] + tech_5_2_3*TblTech[[#This Row],[5-2]], 1-global_constr_cap) * TblConstr[[#This Row],[RCPA Lumber]],0)</f>
        <v>200</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2" s="69" t="n">
        <f aca="false">ROUNDDOWN( MAX(1 - MIN(facs_constr_factor*TblConstr[[#This Row],[Facs DB]],facs_constr_max) + tech_1_11*TblTech[[#This Row],[1-11]] + tech_6_3_2*TblTech[[#This Row],[6-3]] + tech_5_2_3*TblTech[[#This Row],[5-2]], 1-global_constr_cap) * ROUND((TblConstr[[#This Row],[Land]]-250)*0.285 + 87.5 + 0/4.25,0),0)</f>
        <v>200</v>
      </c>
      <c r="AQ92" s="1" t="n">
        <f aca="false">TblConstr[[#This Row],[build -db]]*TblConstr[[#This Row],[CPA Platinum -DB]] + TblConstr[[#This Row],[build db]]*TblConstr[[#This Row],[CPA Platinum DB]]</f>
        <v>-65340</v>
      </c>
      <c r="AR92" s="1" t="n">
        <f aca="false">TblConstr[[#This Row],[build -db]]*TblConstr[[#This Row],[CPA Lumber -DB]]+TblConstr[[#This Row],[build db]]*TblConstr[[#This Row],[CPA Lumber DB]]</f>
        <v>-10800</v>
      </c>
      <c r="AS92" s="69" t="n">
        <f aca="false">MIN(SUM(OFFSET(TblConstr[[#This Row],[Plain]:[Water]],-1,0))+SUM(TblConstr[[#This Row],[Dest Hom]:[Dest Doc]])+IF(TblConstr[[#This Row],[Hour]]&gt;12,SUM(OFFSET(TblExplore[[#This Row],[Plains Explore]:[Water Explore]],-12,0)),0),SUM(TblConstr[[#This Row],[Hom]:[Doc]]))</f>
        <v>-54</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1345</v>
      </c>
      <c r="AW92" s="69" t="n">
        <f aca="false">ROUND((TblConstr[[#This Row],[Land]]-250 - IF(TblExplore[[#This Row],[Land Bonus]]&lt;&gt;0,20,0))*0.285 + 87.5 + 0/4.25,0)</f>
        <v>200</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646</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349</v>
      </c>
      <c r="DA92" s="69" t="n">
        <f aca="false">H92+SUM(T81:U92)+SUM(BD92:BE92)</f>
        <v>27</v>
      </c>
      <c r="DB92" s="1" t="n">
        <f aca="false">I92+SUM(V81:W92)+SUM(BF92:BG92)</f>
        <v>3</v>
      </c>
      <c r="DC92" s="69" t="n">
        <f aca="false">J92+SUM(X81:Y92)+SUM(BH92:BI92)</f>
        <v>59</v>
      </c>
      <c r="DD92" s="69" t="n">
        <f aca="false">K92+SUM(AB81:AD92)+SUM(BL92:BN92)</f>
        <v>81</v>
      </c>
      <c r="DE92" s="1" t="n">
        <f aca="false">L92+SUM(AE81:AE92)+BO92</f>
        <v>6</v>
      </c>
      <c r="DF92" s="69" t="n">
        <f aca="false">M92+SUM(AG81:AG92)+BQ92</f>
        <v>31</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-54</v>
      </c>
      <c r="C93" s="172" t="n">
        <f aca="false">SUM(TblConstr[[#This Row],[Tot Hom]:[Tot Doc]])</f>
        <v>700</v>
      </c>
      <c r="D93" s="172" t="n">
        <f aca="false">SUM(O82:AG93)</f>
        <v>0</v>
      </c>
      <c r="E93" s="173"/>
      <c r="F93" s="33" t="n">
        <f aca="false">TblConstr[[#This Row],[Barren]]+TblConstr[[#This Row],[Buildings]]+TblConstr[[#This Row],[Incoming]]</f>
        <v>646</v>
      </c>
      <c r="G93" s="199" t="n">
        <f aca="false">OFFSET(TblConstr[[#This Row],[Plain]],-1,0)+TblConstr[[#This Row],[Ch_Plain]]</f>
        <v>-81</v>
      </c>
      <c r="H93" s="193" t="n">
        <f aca="false">OFFSET(TblConstr[[#This Row],[Forest]],-1,0)+TblConstr[[#This Row],[Ch_Forest]]</f>
        <v>2</v>
      </c>
      <c r="I93" s="200" t="n">
        <f aca="false">OFFSET(TblConstr[[#This Row],[Mountain]],-1,0)+TblConstr[[#This Row],[Ch_Mountain]]</f>
        <v>3</v>
      </c>
      <c r="J93" s="201" t="n">
        <f aca="false">OFFSET(TblConstr[[#This Row],[Hill]],-1,0)+TblConstr[[#This Row],[Ch_Hill]]</f>
        <v>4</v>
      </c>
      <c r="K93" s="202" t="n">
        <f aca="false">OFFSET(TblConstr[[#This Row],[Swamp]],-1,0)+TblConstr[[#This Row],[Ch_Swamp]]</f>
        <v>5</v>
      </c>
      <c r="L93" s="197" t="n">
        <f aca="false">OFFSET(TblConstr[[#This Row],[Cavern]],-1,0)+TblConstr[[#This Row],[Ch_Cavern]]</f>
        <v>6</v>
      </c>
      <c r="M93" s="198" t="n">
        <f aca="false">OFFSET(TblConstr[[#This Row],[Water]],-1,0)+TblConstr[[#This Row],[Ch_Water]]</f>
        <v>7</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3194376</v>
      </c>
      <c r="AL93" s="69" t="n">
        <f aca="false">TblProd[[#This Row],[Lumber]]</f>
        <v>373158</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3" s="69" t="n">
        <f aca="false">ROUNDDOWN( MAX(1 - MIN(facs_constr_factor*TblConstr[[#This Row],[Facs -DB]],facs_constr_max) + tech_1_11*TblTech[[#This Row],[11-1]] + tech_6_3_2*TblTech[[#This Row],[6-3]] + tech_5_2_3*TblTech[[#This Row],[5-2]], 1-global_constr_cap) * TblConstr[[#This Row],[RCPA Lumber]],0)</f>
        <v>200</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3" s="69" t="n">
        <f aca="false">ROUNDDOWN( MAX(1 - MIN(facs_constr_factor*TblConstr[[#This Row],[Facs DB]],facs_constr_max) + tech_1_11*TblTech[[#This Row],[1-11]] + tech_6_3_2*TblTech[[#This Row],[6-3]] + tech_5_2_3*TblTech[[#This Row],[5-2]], 1-global_constr_cap) * ROUND((TblConstr[[#This Row],[Land]]-250)*0.285 + 87.5 + 0/4.25,0),0)</f>
        <v>200</v>
      </c>
      <c r="AQ93" s="1" t="n">
        <f aca="false">TblConstr[[#This Row],[build -db]]*TblConstr[[#This Row],[CPA Platinum -DB]] + TblConstr[[#This Row],[build db]]*TblConstr[[#This Row],[CPA Platinum DB]]</f>
        <v>-65340</v>
      </c>
      <c r="AR93" s="1" t="n">
        <f aca="false">TblConstr[[#This Row],[build -db]]*TblConstr[[#This Row],[CPA Lumber -DB]]+TblConstr[[#This Row],[build db]]*TblConstr[[#This Row],[CPA Lumber DB]]</f>
        <v>-10800</v>
      </c>
      <c r="AS93" s="69" t="n">
        <f aca="false">MIN(SUM(OFFSET(TblConstr[[#This Row],[Plain]:[Water]],-1,0))+SUM(TblConstr[[#This Row],[Dest Hom]:[Dest Doc]])+IF(TblConstr[[#This Row],[Hour]]&gt;12,SUM(OFFSET(TblExplore[[#This Row],[Plains Explore]:[Water Explore]],-12,0)),0),SUM(TblConstr[[#This Row],[Hom]:[Doc]]))</f>
        <v>-54</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1345</v>
      </c>
      <c r="AW93" s="69" t="n">
        <f aca="false">ROUND((TblConstr[[#This Row],[Land]]-250 - IF(TblExplore[[#This Row],[Land Bonus]]&lt;&gt;0,20,0))*0.285 + 87.5 + 0/4.25,0)</f>
        <v>200</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646</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349</v>
      </c>
      <c r="DA93" s="69" t="n">
        <f aca="false">H93+SUM(T82:U93)+SUM(BD93:BE93)</f>
        <v>27</v>
      </c>
      <c r="DB93" s="1" t="n">
        <f aca="false">I93+SUM(V82:W93)+SUM(BF93:BG93)</f>
        <v>3</v>
      </c>
      <c r="DC93" s="69" t="n">
        <f aca="false">J93+SUM(X82:Y93)+SUM(BH93:BI93)</f>
        <v>59</v>
      </c>
      <c r="DD93" s="69" t="n">
        <f aca="false">K93+SUM(AB82:AD93)+SUM(BL93:BN93)</f>
        <v>81</v>
      </c>
      <c r="DE93" s="1" t="n">
        <f aca="false">L93+SUM(AE82:AE93)+BO93</f>
        <v>6</v>
      </c>
      <c r="DF93" s="69" t="n">
        <f aca="false">M93+SUM(AG82:AG93)+BQ93</f>
        <v>31</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-54</v>
      </c>
      <c r="C94" s="172" t="n">
        <f aca="false">SUM(TblConstr[[#This Row],[Tot Hom]:[Tot Doc]])</f>
        <v>700</v>
      </c>
      <c r="D94" s="172" t="n">
        <f aca="false">SUM(O83:AG94)</f>
        <v>0</v>
      </c>
      <c r="E94" s="173"/>
      <c r="F94" s="33" t="n">
        <f aca="false">TblConstr[[#This Row],[Barren]]+TblConstr[[#This Row],[Buildings]]+TblConstr[[#This Row],[Incoming]]</f>
        <v>646</v>
      </c>
      <c r="G94" s="199" t="n">
        <f aca="false">OFFSET(TblConstr[[#This Row],[Plain]],-1,0)+TblConstr[[#This Row],[Ch_Plain]]</f>
        <v>-81</v>
      </c>
      <c r="H94" s="193" t="n">
        <f aca="false">OFFSET(TblConstr[[#This Row],[Forest]],-1,0)+TblConstr[[#This Row],[Ch_Forest]]</f>
        <v>2</v>
      </c>
      <c r="I94" s="200" t="n">
        <f aca="false">OFFSET(TblConstr[[#This Row],[Mountain]],-1,0)+TblConstr[[#This Row],[Ch_Mountain]]</f>
        <v>3</v>
      </c>
      <c r="J94" s="201" t="n">
        <f aca="false">OFFSET(TblConstr[[#This Row],[Hill]],-1,0)+TblConstr[[#This Row],[Ch_Hill]]</f>
        <v>4</v>
      </c>
      <c r="K94" s="202" t="n">
        <f aca="false">OFFSET(TblConstr[[#This Row],[Swamp]],-1,0)+TblConstr[[#This Row],[Ch_Swamp]]</f>
        <v>5</v>
      </c>
      <c r="L94" s="197" t="n">
        <f aca="false">OFFSET(TblConstr[[#This Row],[Cavern]],-1,0)+TblConstr[[#This Row],[Ch_Cavern]]</f>
        <v>6</v>
      </c>
      <c r="M94" s="198" t="n">
        <f aca="false">OFFSET(TblConstr[[#This Row],[Water]],-1,0)+TblConstr[[#This Row],[Ch_Water]]</f>
        <v>7</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3301588</v>
      </c>
      <c r="AL94" s="69" t="n">
        <f aca="false">TblProd[[#This Row],[Lumber]]</f>
        <v>381351</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4" s="69" t="n">
        <f aca="false">ROUNDDOWN( MAX(1 - MIN(facs_constr_factor*TblConstr[[#This Row],[Facs -DB]],facs_constr_max) + tech_1_11*TblTech[[#This Row],[11-1]] + tech_6_3_2*TblTech[[#This Row],[6-3]] + tech_5_2_3*TblTech[[#This Row],[5-2]], 1-global_constr_cap) * TblConstr[[#This Row],[RCPA Lumber]],0)</f>
        <v>200</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4" s="69" t="n">
        <f aca="false">ROUNDDOWN( MAX(1 - MIN(facs_constr_factor*TblConstr[[#This Row],[Facs DB]],facs_constr_max) + tech_1_11*TblTech[[#This Row],[1-11]] + tech_6_3_2*TblTech[[#This Row],[6-3]] + tech_5_2_3*TblTech[[#This Row],[5-2]], 1-global_constr_cap) * ROUND((TblConstr[[#This Row],[Land]]-250)*0.285 + 87.5 + 0/4.25,0),0)</f>
        <v>200</v>
      </c>
      <c r="AQ94" s="1" t="n">
        <f aca="false">TblConstr[[#This Row],[build -db]]*TblConstr[[#This Row],[CPA Platinum -DB]] + TblConstr[[#This Row],[build db]]*TblConstr[[#This Row],[CPA Platinum DB]]</f>
        <v>-65340</v>
      </c>
      <c r="AR94" s="1" t="n">
        <f aca="false">TblConstr[[#This Row],[build -db]]*TblConstr[[#This Row],[CPA Lumber -DB]]+TblConstr[[#This Row],[build db]]*TblConstr[[#This Row],[CPA Lumber DB]]</f>
        <v>-10800</v>
      </c>
      <c r="AS94" s="69" t="n">
        <f aca="false">MIN(SUM(OFFSET(TblConstr[[#This Row],[Plain]:[Water]],-1,0))+SUM(TblConstr[[#This Row],[Dest Hom]:[Dest Doc]])+IF(TblConstr[[#This Row],[Hour]]&gt;12,SUM(OFFSET(TblExplore[[#This Row],[Plains Explore]:[Water Explore]],-12,0)),0),SUM(TblConstr[[#This Row],[Hom]:[Doc]]))</f>
        <v>-54</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1345</v>
      </c>
      <c r="AW94" s="69" t="n">
        <f aca="false">ROUND((TblConstr[[#This Row],[Land]]-250 - IF(TblExplore[[#This Row],[Land Bonus]]&lt;&gt;0,20,0))*0.285 + 87.5 + 0/4.25,0)</f>
        <v>200</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646</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349</v>
      </c>
      <c r="DA94" s="69" t="n">
        <f aca="false">H94+SUM(T83:U94)+SUM(BD94:BE94)</f>
        <v>27</v>
      </c>
      <c r="DB94" s="1" t="n">
        <f aca="false">I94+SUM(V83:W94)+SUM(BF94:BG94)</f>
        <v>3</v>
      </c>
      <c r="DC94" s="69" t="n">
        <f aca="false">J94+SUM(X83:Y94)+SUM(BH94:BI94)</f>
        <v>59</v>
      </c>
      <c r="DD94" s="69" t="n">
        <f aca="false">K94+SUM(AB83:AD94)+SUM(BL94:BN94)</f>
        <v>81</v>
      </c>
      <c r="DE94" s="1" t="n">
        <f aca="false">L94+SUM(AE83:AE94)+BO94</f>
        <v>6</v>
      </c>
      <c r="DF94" s="69" t="n">
        <f aca="false">M94+SUM(AG83:AG94)+BQ94</f>
        <v>31</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-54</v>
      </c>
      <c r="C95" s="172" t="n">
        <f aca="false">SUM(TblConstr[[#This Row],[Tot Hom]:[Tot Doc]])</f>
        <v>700</v>
      </c>
      <c r="D95" s="172" t="n">
        <f aca="false">SUM(O84:AG95)</f>
        <v>0</v>
      </c>
      <c r="E95" s="173"/>
      <c r="F95" s="33" t="n">
        <f aca="false">TblConstr[[#This Row],[Barren]]+TblConstr[[#This Row],[Buildings]]+TblConstr[[#This Row],[Incoming]]</f>
        <v>646</v>
      </c>
      <c r="G95" s="199" t="n">
        <f aca="false">OFFSET(TblConstr[[#This Row],[Plain]],-1,0)+TblConstr[[#This Row],[Ch_Plain]]</f>
        <v>-81</v>
      </c>
      <c r="H95" s="193" t="n">
        <f aca="false">OFFSET(TblConstr[[#This Row],[Forest]],-1,0)+TblConstr[[#This Row],[Ch_Forest]]</f>
        <v>2</v>
      </c>
      <c r="I95" s="200" t="n">
        <f aca="false">OFFSET(TblConstr[[#This Row],[Mountain]],-1,0)+TblConstr[[#This Row],[Ch_Mountain]]</f>
        <v>3</v>
      </c>
      <c r="J95" s="201" t="n">
        <f aca="false">OFFSET(TblConstr[[#This Row],[Hill]],-1,0)+TblConstr[[#This Row],[Ch_Hill]]</f>
        <v>4</v>
      </c>
      <c r="K95" s="202" t="n">
        <f aca="false">OFFSET(TblConstr[[#This Row],[Swamp]],-1,0)+TblConstr[[#This Row],[Ch_Swamp]]</f>
        <v>5</v>
      </c>
      <c r="L95" s="197" t="n">
        <f aca="false">OFFSET(TblConstr[[#This Row],[Cavern]],-1,0)+TblConstr[[#This Row],[Ch_Cavern]]</f>
        <v>6</v>
      </c>
      <c r="M95" s="198" t="n">
        <f aca="false">OFFSET(TblConstr[[#This Row],[Water]],-1,0)+TblConstr[[#This Row],[Ch_Water]]</f>
        <v>7</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3408556</v>
      </c>
      <c r="AL95" s="69" t="n">
        <f aca="false">TblProd[[#This Row],[Lumber]]</f>
        <v>389462</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5" s="69" t="n">
        <f aca="false">ROUNDDOWN( MAX(1 - MIN(facs_constr_factor*TblConstr[[#This Row],[Facs -DB]],facs_constr_max) + tech_1_11*TblTech[[#This Row],[11-1]] + tech_6_3_2*TblTech[[#This Row],[6-3]] + tech_5_2_3*TblTech[[#This Row],[5-2]], 1-global_constr_cap) * TblConstr[[#This Row],[RCPA Lumber]],0)</f>
        <v>200</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5" s="69" t="n">
        <f aca="false">ROUNDDOWN( MAX(1 - MIN(facs_constr_factor*TblConstr[[#This Row],[Facs DB]],facs_constr_max) + tech_1_11*TblTech[[#This Row],[1-11]] + tech_6_3_2*TblTech[[#This Row],[6-3]] + tech_5_2_3*TblTech[[#This Row],[5-2]], 1-global_constr_cap) * ROUND((TblConstr[[#This Row],[Land]]-250)*0.285 + 87.5 + 0/4.25,0),0)</f>
        <v>200</v>
      </c>
      <c r="AQ95" s="1" t="n">
        <f aca="false">TblConstr[[#This Row],[build -db]]*TblConstr[[#This Row],[CPA Platinum -DB]] + TblConstr[[#This Row],[build db]]*TblConstr[[#This Row],[CPA Platinum DB]]</f>
        <v>-65340</v>
      </c>
      <c r="AR95" s="1" t="n">
        <f aca="false">TblConstr[[#This Row],[build -db]]*TblConstr[[#This Row],[CPA Lumber -DB]]+TblConstr[[#This Row],[build db]]*TblConstr[[#This Row],[CPA Lumber DB]]</f>
        <v>-10800</v>
      </c>
      <c r="AS95" s="69" t="n">
        <f aca="false">MIN(SUM(OFFSET(TblConstr[[#This Row],[Plain]:[Water]],-1,0))+SUM(TblConstr[[#This Row],[Dest Hom]:[Dest Doc]])+IF(TblConstr[[#This Row],[Hour]]&gt;12,SUM(OFFSET(TblExplore[[#This Row],[Plains Explore]:[Water Explore]],-12,0)),0),SUM(TblConstr[[#This Row],[Hom]:[Doc]]))</f>
        <v>-54</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1345</v>
      </c>
      <c r="AW95" s="69" t="n">
        <f aca="false">ROUND((TblConstr[[#This Row],[Land]]-250 - IF(TblExplore[[#This Row],[Land Bonus]]&lt;&gt;0,20,0))*0.285 + 87.5 + 0/4.25,0)</f>
        <v>200</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646</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349</v>
      </c>
      <c r="DA95" s="69" t="n">
        <f aca="false">H95+SUM(T84:U95)+SUM(BD95:BE95)</f>
        <v>27</v>
      </c>
      <c r="DB95" s="1" t="n">
        <f aca="false">I95+SUM(V84:W95)+SUM(BF95:BG95)</f>
        <v>3</v>
      </c>
      <c r="DC95" s="69" t="n">
        <f aca="false">J95+SUM(X84:Y95)+SUM(BH95:BI95)</f>
        <v>59</v>
      </c>
      <c r="DD95" s="69" t="n">
        <f aca="false">K95+SUM(AB84:AD95)+SUM(BL95:BN95)</f>
        <v>81</v>
      </c>
      <c r="DE95" s="1" t="n">
        <f aca="false">L95+SUM(AE84:AE95)+BO95</f>
        <v>6</v>
      </c>
      <c r="DF95" s="69" t="n">
        <f aca="false">M95+SUM(AG84:AG95)+BQ95</f>
        <v>31</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-54</v>
      </c>
      <c r="C96" s="172" t="n">
        <f aca="false">SUM(TblConstr[[#This Row],[Tot Hom]:[Tot Doc]])</f>
        <v>700</v>
      </c>
      <c r="D96" s="172" t="n">
        <f aca="false">SUM(O85:AG96)</f>
        <v>0</v>
      </c>
      <c r="E96" s="173"/>
      <c r="F96" s="33" t="n">
        <f aca="false">TblConstr[[#This Row],[Barren]]+TblConstr[[#This Row],[Buildings]]+TblConstr[[#This Row],[Incoming]]</f>
        <v>646</v>
      </c>
      <c r="G96" s="199" t="n">
        <f aca="false">OFFSET(TblConstr[[#This Row],[Plain]],-1,0)+TblConstr[[#This Row],[Ch_Plain]]</f>
        <v>-81</v>
      </c>
      <c r="H96" s="193" t="n">
        <f aca="false">OFFSET(TblConstr[[#This Row],[Forest]],-1,0)+TblConstr[[#This Row],[Ch_Forest]]</f>
        <v>2</v>
      </c>
      <c r="I96" s="200" t="n">
        <f aca="false">OFFSET(TblConstr[[#This Row],[Mountain]],-1,0)+TblConstr[[#This Row],[Ch_Mountain]]</f>
        <v>3</v>
      </c>
      <c r="J96" s="201" t="n">
        <f aca="false">OFFSET(TblConstr[[#This Row],[Hill]],-1,0)+TblConstr[[#This Row],[Ch_Hill]]</f>
        <v>4</v>
      </c>
      <c r="K96" s="202" t="n">
        <f aca="false">OFFSET(TblConstr[[#This Row],[Swamp]],-1,0)+TblConstr[[#This Row],[Ch_Swamp]]</f>
        <v>5</v>
      </c>
      <c r="L96" s="197" t="n">
        <f aca="false">OFFSET(TblConstr[[#This Row],[Cavern]],-1,0)+TblConstr[[#This Row],[Ch_Cavern]]</f>
        <v>6</v>
      </c>
      <c r="M96" s="198" t="n">
        <f aca="false">OFFSET(TblConstr[[#This Row],[Water]],-1,0)+TblConstr[[#This Row],[Ch_Water]]</f>
        <v>7</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3515284</v>
      </c>
      <c r="AL96" s="69" t="n">
        <f aca="false">TblProd[[#This Row],[Lumber]]</f>
        <v>397492</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6" s="69" t="n">
        <f aca="false">ROUNDDOWN( MAX(1 - MIN(facs_constr_factor*TblConstr[[#This Row],[Facs -DB]],facs_constr_max) + tech_1_11*TblTech[[#This Row],[11-1]] + tech_6_3_2*TblTech[[#This Row],[6-3]] + tech_5_2_3*TblTech[[#This Row],[5-2]], 1-global_constr_cap) * TblConstr[[#This Row],[RCPA Lumber]],0)</f>
        <v>200</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6" s="69" t="n">
        <f aca="false">ROUNDDOWN( MAX(1 - MIN(facs_constr_factor*TblConstr[[#This Row],[Facs DB]],facs_constr_max) + tech_1_11*TblTech[[#This Row],[1-11]] + tech_6_3_2*TblTech[[#This Row],[6-3]] + tech_5_2_3*TblTech[[#This Row],[5-2]], 1-global_constr_cap) * ROUND((TblConstr[[#This Row],[Land]]-250)*0.285 + 87.5 + 0/4.25,0),0)</f>
        <v>200</v>
      </c>
      <c r="AQ96" s="1" t="n">
        <f aca="false">TblConstr[[#This Row],[build -db]]*TblConstr[[#This Row],[CPA Platinum -DB]] + TblConstr[[#This Row],[build db]]*TblConstr[[#This Row],[CPA Platinum DB]]</f>
        <v>-65340</v>
      </c>
      <c r="AR96" s="1" t="n">
        <f aca="false">TblConstr[[#This Row],[build -db]]*TblConstr[[#This Row],[CPA Lumber -DB]]+TblConstr[[#This Row],[build db]]*TblConstr[[#This Row],[CPA Lumber DB]]</f>
        <v>-10800</v>
      </c>
      <c r="AS96" s="69" t="n">
        <f aca="false">MIN(SUM(OFFSET(TblConstr[[#This Row],[Plain]:[Water]],-1,0))+SUM(TblConstr[[#This Row],[Dest Hom]:[Dest Doc]])+IF(TblConstr[[#This Row],[Hour]]&gt;12,SUM(OFFSET(TblExplore[[#This Row],[Plains Explore]:[Water Explore]],-12,0)),0),SUM(TblConstr[[#This Row],[Hom]:[Doc]]))</f>
        <v>-54</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1345</v>
      </c>
      <c r="AW96" s="69" t="n">
        <f aca="false">ROUND((TblConstr[[#This Row],[Land]]-250 - IF(TblExplore[[#This Row],[Land Bonus]]&lt;&gt;0,20,0))*0.285 + 87.5 + 0/4.25,0)</f>
        <v>200</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646</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349</v>
      </c>
      <c r="DA96" s="69" t="n">
        <f aca="false">H96+SUM(T85:U96)+SUM(BD96:BE96)</f>
        <v>27</v>
      </c>
      <c r="DB96" s="1" t="n">
        <f aca="false">I96+SUM(V85:W96)+SUM(BF96:BG96)</f>
        <v>3</v>
      </c>
      <c r="DC96" s="69" t="n">
        <f aca="false">J96+SUM(X85:Y96)+SUM(BH96:BI96)</f>
        <v>59</v>
      </c>
      <c r="DD96" s="69" t="n">
        <f aca="false">K96+SUM(AB85:AD96)+SUM(BL96:BN96)</f>
        <v>81</v>
      </c>
      <c r="DE96" s="1" t="n">
        <f aca="false">L96+SUM(AE85:AE96)+BO96</f>
        <v>6</v>
      </c>
      <c r="DF96" s="69" t="n">
        <f aca="false">M96+SUM(AG85:AG96)+BQ96</f>
        <v>31</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-54</v>
      </c>
      <c r="C97" s="172" t="n">
        <f aca="false">SUM(TblConstr[[#This Row],[Tot Hom]:[Tot Doc]])</f>
        <v>700</v>
      </c>
      <c r="D97" s="172" t="n">
        <f aca="false">SUM(O86:AG97)</f>
        <v>0</v>
      </c>
      <c r="E97" s="173"/>
      <c r="F97" s="33" t="n">
        <f aca="false">TblConstr[[#This Row],[Barren]]+TblConstr[[#This Row],[Buildings]]+TblConstr[[#This Row],[Incoming]]</f>
        <v>646</v>
      </c>
      <c r="G97" s="199" t="n">
        <f aca="false">OFFSET(TblConstr[[#This Row],[Plain]],-1,0)+TblConstr[[#This Row],[Ch_Plain]]</f>
        <v>-81</v>
      </c>
      <c r="H97" s="193" t="n">
        <f aca="false">OFFSET(TblConstr[[#This Row],[Forest]],-1,0)+TblConstr[[#This Row],[Ch_Forest]]</f>
        <v>2</v>
      </c>
      <c r="I97" s="200" t="n">
        <f aca="false">OFFSET(TblConstr[[#This Row],[Mountain]],-1,0)+TblConstr[[#This Row],[Ch_Mountain]]</f>
        <v>3</v>
      </c>
      <c r="J97" s="201" t="n">
        <f aca="false">OFFSET(TblConstr[[#This Row],[Hill]],-1,0)+TblConstr[[#This Row],[Ch_Hill]]</f>
        <v>4</v>
      </c>
      <c r="K97" s="202" t="n">
        <f aca="false">OFFSET(TblConstr[[#This Row],[Swamp]],-1,0)+TblConstr[[#This Row],[Ch_Swamp]]</f>
        <v>5</v>
      </c>
      <c r="L97" s="197" t="n">
        <f aca="false">OFFSET(TblConstr[[#This Row],[Cavern]],-1,0)+TblConstr[[#This Row],[Ch_Cavern]]</f>
        <v>6</v>
      </c>
      <c r="M97" s="198" t="n">
        <f aca="false">OFFSET(TblConstr[[#This Row],[Water]],-1,0)+TblConstr[[#This Row],[Ch_Water]]</f>
        <v>7</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3621774</v>
      </c>
      <c r="AL97" s="69" t="n">
        <f aca="false">TblProd[[#This Row],[Lumber]]</f>
        <v>405442</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7" s="69" t="n">
        <f aca="false">ROUNDDOWN( MAX(1 - MIN(facs_constr_factor*TblConstr[[#This Row],[Facs -DB]],facs_constr_max) + tech_1_11*TblTech[[#This Row],[11-1]] + tech_6_3_2*TblTech[[#This Row],[6-3]] + tech_5_2_3*TblTech[[#This Row],[5-2]], 1-global_constr_cap) * TblConstr[[#This Row],[RCPA Lumber]],0)</f>
        <v>200</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7" s="69" t="n">
        <f aca="false">ROUNDDOWN( MAX(1 - MIN(facs_constr_factor*TblConstr[[#This Row],[Facs DB]],facs_constr_max) + tech_1_11*TblTech[[#This Row],[1-11]] + tech_6_3_2*TblTech[[#This Row],[6-3]] + tech_5_2_3*TblTech[[#This Row],[5-2]], 1-global_constr_cap) * ROUND((TblConstr[[#This Row],[Land]]-250)*0.285 + 87.5 + 0/4.25,0),0)</f>
        <v>200</v>
      </c>
      <c r="AQ97" s="1" t="n">
        <f aca="false">TblConstr[[#This Row],[build -db]]*TblConstr[[#This Row],[CPA Platinum -DB]] + TblConstr[[#This Row],[build db]]*TblConstr[[#This Row],[CPA Platinum DB]]</f>
        <v>-65340</v>
      </c>
      <c r="AR97" s="1" t="n">
        <f aca="false">TblConstr[[#This Row],[build -db]]*TblConstr[[#This Row],[CPA Lumber -DB]]+TblConstr[[#This Row],[build db]]*TblConstr[[#This Row],[CPA Lumber DB]]</f>
        <v>-10800</v>
      </c>
      <c r="AS97" s="69" t="n">
        <f aca="false">MIN(SUM(OFFSET(TblConstr[[#This Row],[Plain]:[Water]],-1,0))+SUM(TblConstr[[#This Row],[Dest Hom]:[Dest Doc]])+IF(TblConstr[[#This Row],[Hour]]&gt;12,SUM(OFFSET(TblExplore[[#This Row],[Plains Explore]:[Water Explore]],-12,0)),0),SUM(TblConstr[[#This Row],[Hom]:[Doc]]))</f>
        <v>-54</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1345</v>
      </c>
      <c r="AW97" s="69" t="n">
        <f aca="false">ROUND((TblConstr[[#This Row],[Land]]-250 - IF(TblExplore[[#This Row],[Land Bonus]]&lt;&gt;0,20,0))*0.285 + 87.5 + 0/4.25,0)</f>
        <v>200</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646</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349</v>
      </c>
      <c r="DA97" s="69" t="n">
        <f aca="false">H97+SUM(T86:U97)+SUM(BD97:BE97)</f>
        <v>27</v>
      </c>
      <c r="DB97" s="1" t="n">
        <f aca="false">I97+SUM(V86:W97)+SUM(BF97:BG97)</f>
        <v>3</v>
      </c>
      <c r="DC97" s="69" t="n">
        <f aca="false">J97+SUM(X86:Y97)+SUM(BH97:BI97)</f>
        <v>59</v>
      </c>
      <c r="DD97" s="69" t="n">
        <f aca="false">K97+SUM(AB86:AD97)+SUM(BL97:BN97)</f>
        <v>81</v>
      </c>
      <c r="DE97" s="1" t="n">
        <f aca="false">L97+SUM(AE86:AE97)+BO97</f>
        <v>6</v>
      </c>
      <c r="DF97" s="69" t="n">
        <f aca="false">M97+SUM(AG86:AG97)+BQ97</f>
        <v>31</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-54</v>
      </c>
      <c r="C98" s="172" t="n">
        <f aca="false">SUM(TblConstr[[#This Row],[Tot Hom]:[Tot Doc]])</f>
        <v>700</v>
      </c>
      <c r="D98" s="172" t="n">
        <f aca="false">SUM(O87:AG98)</f>
        <v>0</v>
      </c>
      <c r="E98" s="173"/>
      <c r="F98" s="33" t="n">
        <f aca="false">TblConstr[[#This Row],[Barren]]+TblConstr[[#This Row],[Buildings]]+TblConstr[[#This Row],[Incoming]]</f>
        <v>646</v>
      </c>
      <c r="G98" s="199" t="n">
        <f aca="false">OFFSET(TblConstr[[#This Row],[Plain]],-1,0)+TblConstr[[#This Row],[Ch_Plain]]</f>
        <v>-81</v>
      </c>
      <c r="H98" s="193" t="n">
        <f aca="false">OFFSET(TblConstr[[#This Row],[Forest]],-1,0)+TblConstr[[#This Row],[Ch_Forest]]</f>
        <v>2</v>
      </c>
      <c r="I98" s="200" t="n">
        <f aca="false">OFFSET(TblConstr[[#This Row],[Mountain]],-1,0)+TblConstr[[#This Row],[Ch_Mountain]]</f>
        <v>3</v>
      </c>
      <c r="J98" s="201" t="n">
        <f aca="false">OFFSET(TblConstr[[#This Row],[Hill]],-1,0)+TblConstr[[#This Row],[Ch_Hill]]</f>
        <v>4</v>
      </c>
      <c r="K98" s="202" t="n">
        <f aca="false">OFFSET(TblConstr[[#This Row],[Swamp]],-1,0)+TblConstr[[#This Row],[Ch_Swamp]]</f>
        <v>5</v>
      </c>
      <c r="L98" s="197" t="n">
        <f aca="false">OFFSET(TblConstr[[#This Row],[Cavern]],-1,0)+TblConstr[[#This Row],[Ch_Cavern]]</f>
        <v>6</v>
      </c>
      <c r="M98" s="198" t="n">
        <f aca="false">OFFSET(TblConstr[[#This Row],[Water]],-1,0)+TblConstr[[#This Row],[Ch_Water]]</f>
        <v>7</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3728029</v>
      </c>
      <c r="AL98" s="69" t="n">
        <f aca="false">TblProd[[#This Row],[Lumber]]</f>
        <v>413313</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8" s="69" t="n">
        <f aca="false">ROUNDDOWN( MAX(1 - MIN(facs_constr_factor*TblConstr[[#This Row],[Facs -DB]],facs_constr_max) + tech_1_11*TblTech[[#This Row],[11-1]] + tech_6_3_2*TblTech[[#This Row],[6-3]] + tech_5_2_3*TblTech[[#This Row],[5-2]], 1-global_constr_cap) * TblConstr[[#This Row],[RCPA Lumber]],0)</f>
        <v>200</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8" s="69" t="n">
        <f aca="false">ROUNDDOWN( MAX(1 - MIN(facs_constr_factor*TblConstr[[#This Row],[Facs DB]],facs_constr_max) + tech_1_11*TblTech[[#This Row],[1-11]] + tech_6_3_2*TblTech[[#This Row],[6-3]] + tech_5_2_3*TblTech[[#This Row],[5-2]], 1-global_constr_cap) * ROUND((TblConstr[[#This Row],[Land]]-250)*0.285 + 87.5 + 0/4.25,0),0)</f>
        <v>200</v>
      </c>
      <c r="AQ98" s="1" t="n">
        <f aca="false">TblConstr[[#This Row],[build -db]]*TblConstr[[#This Row],[CPA Platinum -DB]] + TblConstr[[#This Row],[build db]]*TblConstr[[#This Row],[CPA Platinum DB]]</f>
        <v>-65340</v>
      </c>
      <c r="AR98" s="1" t="n">
        <f aca="false">TblConstr[[#This Row],[build -db]]*TblConstr[[#This Row],[CPA Lumber -DB]]+TblConstr[[#This Row],[build db]]*TblConstr[[#This Row],[CPA Lumber DB]]</f>
        <v>-10800</v>
      </c>
      <c r="AS98" s="69" t="n">
        <f aca="false">MIN(SUM(OFFSET(TblConstr[[#This Row],[Plain]:[Water]],-1,0))+SUM(TblConstr[[#This Row],[Dest Hom]:[Dest Doc]])+IF(TblConstr[[#This Row],[Hour]]&gt;12,SUM(OFFSET(TblExplore[[#This Row],[Plains Explore]:[Water Explore]],-12,0)),0),SUM(TblConstr[[#This Row],[Hom]:[Doc]]))</f>
        <v>-54</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1345</v>
      </c>
      <c r="AW98" s="69" t="n">
        <f aca="false">ROUND((TblConstr[[#This Row],[Land]]-250 - IF(TblExplore[[#This Row],[Land Bonus]]&lt;&gt;0,20,0))*0.285 + 87.5 + 0/4.25,0)</f>
        <v>200</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646</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349</v>
      </c>
      <c r="DA98" s="69" t="n">
        <f aca="false">H98+SUM(T87:U98)+SUM(BD98:BE98)</f>
        <v>27</v>
      </c>
      <c r="DB98" s="1" t="n">
        <f aca="false">I98+SUM(V87:W98)+SUM(BF98:BG98)</f>
        <v>3</v>
      </c>
      <c r="DC98" s="69" t="n">
        <f aca="false">J98+SUM(X87:Y98)+SUM(BH98:BI98)</f>
        <v>59</v>
      </c>
      <c r="DD98" s="69" t="n">
        <f aca="false">K98+SUM(AB87:AD98)+SUM(BL98:BN98)</f>
        <v>81</v>
      </c>
      <c r="DE98" s="1" t="n">
        <f aca="false">L98+SUM(AE87:AE98)+BO98</f>
        <v>6</v>
      </c>
      <c r="DF98" s="69" t="n">
        <f aca="false">M98+SUM(AG87:AG98)+BQ98</f>
        <v>31</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-54</v>
      </c>
      <c r="C99" s="172" t="n">
        <f aca="false">SUM(TblConstr[[#This Row],[Tot Hom]:[Tot Doc]])</f>
        <v>700</v>
      </c>
      <c r="D99" s="172" t="n">
        <f aca="false">SUM(O88:AG99)</f>
        <v>0</v>
      </c>
      <c r="E99" s="173"/>
      <c r="F99" s="33" t="n">
        <f aca="false">TblConstr[[#This Row],[Barren]]+TblConstr[[#This Row],[Buildings]]+TblConstr[[#This Row],[Incoming]]</f>
        <v>646</v>
      </c>
      <c r="G99" s="199" t="n">
        <f aca="false">OFFSET(TblConstr[[#This Row],[Plain]],-1,0)+TblConstr[[#This Row],[Ch_Plain]]</f>
        <v>-81</v>
      </c>
      <c r="H99" s="193" t="n">
        <f aca="false">OFFSET(TblConstr[[#This Row],[Forest]],-1,0)+TblConstr[[#This Row],[Ch_Forest]]</f>
        <v>2</v>
      </c>
      <c r="I99" s="200" t="n">
        <f aca="false">OFFSET(TblConstr[[#This Row],[Mountain]],-1,0)+TblConstr[[#This Row],[Ch_Mountain]]</f>
        <v>3</v>
      </c>
      <c r="J99" s="201" t="n">
        <f aca="false">OFFSET(TblConstr[[#This Row],[Hill]],-1,0)+TblConstr[[#This Row],[Ch_Hill]]</f>
        <v>4</v>
      </c>
      <c r="K99" s="202" t="n">
        <f aca="false">OFFSET(TblConstr[[#This Row],[Swamp]],-1,0)+TblConstr[[#This Row],[Ch_Swamp]]</f>
        <v>5</v>
      </c>
      <c r="L99" s="197" t="n">
        <f aca="false">OFFSET(TblConstr[[#This Row],[Cavern]],-1,0)+TblConstr[[#This Row],[Ch_Cavern]]</f>
        <v>6</v>
      </c>
      <c r="M99" s="198" t="n">
        <f aca="false">OFFSET(TblConstr[[#This Row],[Water]],-1,0)+TblConstr[[#This Row],[Ch_Water]]</f>
        <v>7</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3834050</v>
      </c>
      <c r="AL99" s="69" t="n">
        <f aca="false">TblProd[[#This Row],[Lumber]]</f>
        <v>421105</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99" s="69" t="n">
        <f aca="false">ROUNDDOWN( MAX(1 - MIN(facs_constr_factor*TblConstr[[#This Row],[Facs -DB]],facs_constr_max) + tech_1_11*TblTech[[#This Row],[11-1]] + tech_6_3_2*TblTech[[#This Row],[6-3]] + tech_5_2_3*TblTech[[#This Row],[5-2]], 1-global_constr_cap) * TblConstr[[#This Row],[RCPA Lumber]],0)</f>
        <v>200</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99" s="69" t="n">
        <f aca="false">ROUNDDOWN( MAX(1 - MIN(facs_constr_factor*TblConstr[[#This Row],[Facs DB]],facs_constr_max) + tech_1_11*TblTech[[#This Row],[1-11]] + tech_6_3_2*TblTech[[#This Row],[6-3]] + tech_5_2_3*TblTech[[#This Row],[5-2]], 1-global_constr_cap) * ROUND((TblConstr[[#This Row],[Land]]-250)*0.285 + 87.5 + 0/4.25,0),0)</f>
        <v>200</v>
      </c>
      <c r="AQ99" s="1" t="n">
        <f aca="false">TblConstr[[#This Row],[build -db]]*TblConstr[[#This Row],[CPA Platinum -DB]] + TblConstr[[#This Row],[build db]]*TblConstr[[#This Row],[CPA Platinum DB]]</f>
        <v>-65340</v>
      </c>
      <c r="AR99" s="1" t="n">
        <f aca="false">TblConstr[[#This Row],[build -db]]*TblConstr[[#This Row],[CPA Lumber -DB]]+TblConstr[[#This Row],[build db]]*TblConstr[[#This Row],[CPA Lumber DB]]</f>
        <v>-10800</v>
      </c>
      <c r="AS99" s="69" t="n">
        <f aca="false">MIN(SUM(OFFSET(TblConstr[[#This Row],[Plain]:[Water]],-1,0))+SUM(TblConstr[[#This Row],[Dest Hom]:[Dest Doc]])+IF(TblConstr[[#This Row],[Hour]]&gt;12,SUM(OFFSET(TblExplore[[#This Row],[Plains Explore]:[Water Explore]],-12,0)),0),SUM(TblConstr[[#This Row],[Hom]:[Doc]]))</f>
        <v>-54</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1345</v>
      </c>
      <c r="AW99" s="69" t="n">
        <f aca="false">ROUND((TblConstr[[#This Row],[Land]]-250 - IF(TblExplore[[#This Row],[Land Bonus]]&lt;&gt;0,20,0))*0.285 + 87.5 + 0/4.25,0)</f>
        <v>200</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646</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349</v>
      </c>
      <c r="DA99" s="69" t="n">
        <f aca="false">H99+SUM(T88:U99)+SUM(BD99:BE99)</f>
        <v>27</v>
      </c>
      <c r="DB99" s="1" t="n">
        <f aca="false">I99+SUM(V88:W99)+SUM(BF99:BG99)</f>
        <v>3</v>
      </c>
      <c r="DC99" s="69" t="n">
        <f aca="false">J99+SUM(X88:Y99)+SUM(BH99:BI99)</f>
        <v>59</v>
      </c>
      <c r="DD99" s="69" t="n">
        <f aca="false">K99+SUM(AB88:AD99)+SUM(BL99:BN99)</f>
        <v>81</v>
      </c>
      <c r="DE99" s="1" t="n">
        <f aca="false">L99+SUM(AE88:AE99)+BO99</f>
        <v>6</v>
      </c>
      <c r="DF99" s="69" t="n">
        <f aca="false">M99+SUM(AG88:AG99)+BQ99</f>
        <v>31</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-54</v>
      </c>
      <c r="C100" s="172" t="n">
        <f aca="false">SUM(TblConstr[[#This Row],[Tot Hom]:[Tot Doc]])</f>
        <v>700</v>
      </c>
      <c r="D100" s="172" t="n">
        <f aca="false">SUM(O89:AG100)</f>
        <v>0</v>
      </c>
      <c r="E100" s="173"/>
      <c r="F100" s="33" t="n">
        <f aca="false">TblConstr[[#This Row],[Barren]]+TblConstr[[#This Row],[Buildings]]+TblConstr[[#This Row],[Incoming]]</f>
        <v>646</v>
      </c>
      <c r="G100" s="199" t="n">
        <f aca="false">OFFSET(TblConstr[[#This Row],[Plain]],-1,0)+TblConstr[[#This Row],[Ch_Plain]]</f>
        <v>-81</v>
      </c>
      <c r="H100" s="193" t="n">
        <f aca="false">OFFSET(TblConstr[[#This Row],[Forest]],-1,0)+TblConstr[[#This Row],[Ch_Forest]]</f>
        <v>2</v>
      </c>
      <c r="I100" s="200" t="n">
        <f aca="false">OFFSET(TblConstr[[#This Row],[Mountain]],-1,0)+TblConstr[[#This Row],[Ch_Mountain]]</f>
        <v>3</v>
      </c>
      <c r="J100" s="201" t="n">
        <f aca="false">OFFSET(TblConstr[[#This Row],[Hill]],-1,0)+TblConstr[[#This Row],[Ch_Hill]]</f>
        <v>4</v>
      </c>
      <c r="K100" s="202" t="n">
        <f aca="false">OFFSET(TblConstr[[#This Row],[Swamp]],-1,0)+TblConstr[[#This Row],[Ch_Swamp]]</f>
        <v>5</v>
      </c>
      <c r="L100" s="197" t="n">
        <f aca="false">OFFSET(TblConstr[[#This Row],[Cavern]],-1,0)+TblConstr[[#This Row],[Ch_Cavern]]</f>
        <v>6</v>
      </c>
      <c r="M100" s="198" t="n">
        <f aca="false">OFFSET(TblConstr[[#This Row],[Water]],-1,0)+TblConstr[[#This Row],[Ch_Water]]</f>
        <v>7</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3939839</v>
      </c>
      <c r="AL100" s="69" t="n">
        <f aca="false">TblProd[[#This Row],[Lumber]]</f>
        <v>428819</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0" s="69" t="n">
        <f aca="false">ROUNDDOWN( MAX(1 - MIN(facs_constr_factor*TblConstr[[#This Row],[Facs -DB]],facs_constr_max) + tech_1_11*TblTech[[#This Row],[11-1]] + tech_6_3_2*TblTech[[#This Row],[6-3]] + tech_5_2_3*TblTech[[#This Row],[5-2]], 1-global_constr_cap) * TblConstr[[#This Row],[RCPA Lumber]],0)</f>
        <v>200</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0" s="69" t="n">
        <f aca="false">ROUNDDOWN( MAX(1 - MIN(facs_constr_factor*TblConstr[[#This Row],[Facs DB]],facs_constr_max) + tech_1_11*TblTech[[#This Row],[1-11]] + tech_6_3_2*TblTech[[#This Row],[6-3]] + tech_5_2_3*TblTech[[#This Row],[5-2]], 1-global_constr_cap) * ROUND((TblConstr[[#This Row],[Land]]-250)*0.285 + 87.5 + 0/4.25,0),0)</f>
        <v>200</v>
      </c>
      <c r="AQ100" s="1" t="n">
        <f aca="false">TblConstr[[#This Row],[build -db]]*TblConstr[[#This Row],[CPA Platinum -DB]] + TblConstr[[#This Row],[build db]]*TblConstr[[#This Row],[CPA Platinum DB]]</f>
        <v>-65340</v>
      </c>
      <c r="AR100" s="1" t="n">
        <f aca="false">TblConstr[[#This Row],[build -db]]*TblConstr[[#This Row],[CPA Lumber -DB]]+TblConstr[[#This Row],[build db]]*TblConstr[[#This Row],[CPA Lumber DB]]</f>
        <v>-10800</v>
      </c>
      <c r="AS100" s="69" t="n">
        <f aca="false">MIN(SUM(OFFSET(TblConstr[[#This Row],[Plain]:[Water]],-1,0))+SUM(TblConstr[[#This Row],[Dest Hom]:[Dest Doc]])+IF(TblConstr[[#This Row],[Hour]]&gt;12,SUM(OFFSET(TblExplore[[#This Row],[Plains Explore]:[Water Explore]],-12,0)),0),SUM(TblConstr[[#This Row],[Hom]:[Doc]]))</f>
        <v>-54</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1345</v>
      </c>
      <c r="AW100" s="69" t="n">
        <f aca="false">ROUND((TblConstr[[#This Row],[Land]]-250 - IF(TblExplore[[#This Row],[Land Bonus]]&lt;&gt;0,20,0))*0.285 + 87.5 + 0/4.25,0)</f>
        <v>200</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646</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349</v>
      </c>
      <c r="DA100" s="69" t="n">
        <f aca="false">H100+SUM(T89:U100)+SUM(BD100:BE100)</f>
        <v>27</v>
      </c>
      <c r="DB100" s="1" t="n">
        <f aca="false">I100+SUM(V89:W100)+SUM(BF100:BG100)</f>
        <v>3</v>
      </c>
      <c r="DC100" s="69" t="n">
        <f aca="false">J100+SUM(X89:Y100)+SUM(BH100:BI100)</f>
        <v>59</v>
      </c>
      <c r="DD100" s="69" t="n">
        <f aca="false">K100+SUM(AB89:AD100)+SUM(BL100:BN100)</f>
        <v>81</v>
      </c>
      <c r="DE100" s="1" t="n">
        <f aca="false">L100+SUM(AE89:AE100)+BO100</f>
        <v>6</v>
      </c>
      <c r="DF100" s="69" t="n">
        <f aca="false">M100+SUM(AG89:AG100)+BQ100</f>
        <v>31</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-54</v>
      </c>
      <c r="C101" s="172" t="n">
        <f aca="false">SUM(TblConstr[[#This Row],[Tot Hom]:[Tot Doc]])</f>
        <v>700</v>
      </c>
      <c r="D101" s="172" t="n">
        <f aca="false">SUM(O90:AG101)</f>
        <v>0</v>
      </c>
      <c r="E101" s="173"/>
      <c r="F101" s="33" t="n">
        <f aca="false">TblConstr[[#This Row],[Barren]]+TblConstr[[#This Row],[Buildings]]+TblConstr[[#This Row],[Incoming]]</f>
        <v>646</v>
      </c>
      <c r="G101" s="199" t="n">
        <f aca="false">OFFSET(TblConstr[[#This Row],[Plain]],-1,0)+TblConstr[[#This Row],[Ch_Plain]]</f>
        <v>-81</v>
      </c>
      <c r="H101" s="193" t="n">
        <f aca="false">OFFSET(TblConstr[[#This Row],[Forest]],-1,0)+TblConstr[[#This Row],[Ch_Forest]]</f>
        <v>2</v>
      </c>
      <c r="I101" s="200" t="n">
        <f aca="false">OFFSET(TblConstr[[#This Row],[Mountain]],-1,0)+TblConstr[[#This Row],[Ch_Mountain]]</f>
        <v>3</v>
      </c>
      <c r="J101" s="201" t="n">
        <f aca="false">OFFSET(TblConstr[[#This Row],[Hill]],-1,0)+TblConstr[[#This Row],[Ch_Hill]]</f>
        <v>4</v>
      </c>
      <c r="K101" s="202" t="n">
        <f aca="false">OFFSET(TblConstr[[#This Row],[Swamp]],-1,0)+TblConstr[[#This Row],[Ch_Swamp]]</f>
        <v>5</v>
      </c>
      <c r="L101" s="197" t="n">
        <f aca="false">OFFSET(TblConstr[[#This Row],[Cavern]],-1,0)+TblConstr[[#This Row],[Ch_Cavern]]</f>
        <v>6</v>
      </c>
      <c r="M101" s="198" t="n">
        <f aca="false">OFFSET(TblConstr[[#This Row],[Water]],-1,0)+TblConstr[[#This Row],[Ch_Water]]</f>
        <v>7</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4045399</v>
      </c>
      <c r="AL101" s="69" t="n">
        <f aca="false">TblProd[[#This Row],[Lumber]]</f>
        <v>436456</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1" s="69" t="n">
        <f aca="false">ROUNDDOWN( MAX(1 - MIN(facs_constr_factor*TblConstr[[#This Row],[Facs -DB]],facs_constr_max) + tech_1_11*TblTech[[#This Row],[11-1]] + tech_6_3_2*TblTech[[#This Row],[6-3]] + tech_5_2_3*TblTech[[#This Row],[5-2]], 1-global_constr_cap) * TblConstr[[#This Row],[RCPA Lumber]],0)</f>
        <v>200</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1" s="69" t="n">
        <f aca="false">ROUNDDOWN( MAX(1 - MIN(facs_constr_factor*TblConstr[[#This Row],[Facs DB]],facs_constr_max) + tech_1_11*TblTech[[#This Row],[1-11]] + tech_6_3_2*TblTech[[#This Row],[6-3]] + tech_5_2_3*TblTech[[#This Row],[5-2]], 1-global_constr_cap) * ROUND((TblConstr[[#This Row],[Land]]-250)*0.285 + 87.5 + 0/4.25,0),0)</f>
        <v>200</v>
      </c>
      <c r="AQ101" s="1" t="n">
        <f aca="false">TblConstr[[#This Row],[build -db]]*TblConstr[[#This Row],[CPA Platinum -DB]] + TblConstr[[#This Row],[build db]]*TblConstr[[#This Row],[CPA Platinum DB]]</f>
        <v>-65340</v>
      </c>
      <c r="AR101" s="1" t="n">
        <f aca="false">TblConstr[[#This Row],[build -db]]*TblConstr[[#This Row],[CPA Lumber -DB]]+TblConstr[[#This Row],[build db]]*TblConstr[[#This Row],[CPA Lumber DB]]</f>
        <v>-10800</v>
      </c>
      <c r="AS101" s="69" t="n">
        <f aca="false">MIN(SUM(OFFSET(TblConstr[[#This Row],[Plain]:[Water]],-1,0))+SUM(TblConstr[[#This Row],[Dest Hom]:[Dest Doc]])+IF(TblConstr[[#This Row],[Hour]]&gt;12,SUM(OFFSET(TblExplore[[#This Row],[Plains Explore]:[Water Explore]],-12,0)),0),SUM(TblConstr[[#This Row],[Hom]:[Doc]]))</f>
        <v>-54</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1345</v>
      </c>
      <c r="AW101" s="69" t="n">
        <f aca="false">ROUND((TblConstr[[#This Row],[Land]]-250 - IF(TblExplore[[#This Row],[Land Bonus]]&lt;&gt;0,20,0))*0.285 + 87.5 + 0/4.25,0)</f>
        <v>200</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646</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349</v>
      </c>
      <c r="DA101" s="69" t="n">
        <f aca="false">H101+SUM(T90:U101)+SUM(BD101:BE101)</f>
        <v>27</v>
      </c>
      <c r="DB101" s="1" t="n">
        <f aca="false">I101+SUM(V90:W101)+SUM(BF101:BG101)</f>
        <v>3</v>
      </c>
      <c r="DC101" s="69" t="n">
        <f aca="false">J101+SUM(X90:Y101)+SUM(BH101:BI101)</f>
        <v>59</v>
      </c>
      <c r="DD101" s="69" t="n">
        <f aca="false">K101+SUM(AB90:AD101)+SUM(BL101:BN101)</f>
        <v>81</v>
      </c>
      <c r="DE101" s="1" t="n">
        <f aca="false">L101+SUM(AE90:AE101)+BO101</f>
        <v>6</v>
      </c>
      <c r="DF101" s="69" t="n">
        <f aca="false">M101+SUM(AG90:AG101)+BQ101</f>
        <v>31</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-54</v>
      </c>
      <c r="C102" s="172" t="n">
        <f aca="false">SUM(TblConstr[[#This Row],[Tot Hom]:[Tot Doc]])</f>
        <v>700</v>
      </c>
      <c r="D102" s="172" t="n">
        <f aca="false">SUM(O91:AG102)</f>
        <v>0</v>
      </c>
      <c r="E102" s="173"/>
      <c r="F102" s="33" t="n">
        <f aca="false">TblConstr[[#This Row],[Barren]]+TblConstr[[#This Row],[Buildings]]+TblConstr[[#This Row],[Incoming]]</f>
        <v>646</v>
      </c>
      <c r="G102" s="199" t="n">
        <f aca="false">OFFSET(TblConstr[[#This Row],[Plain]],-1,0)+TblConstr[[#This Row],[Ch_Plain]]</f>
        <v>-81</v>
      </c>
      <c r="H102" s="193" t="n">
        <f aca="false">OFFSET(TblConstr[[#This Row],[Forest]],-1,0)+TblConstr[[#This Row],[Ch_Forest]]</f>
        <v>2</v>
      </c>
      <c r="I102" s="200" t="n">
        <f aca="false">OFFSET(TblConstr[[#This Row],[Mountain]],-1,0)+TblConstr[[#This Row],[Ch_Mountain]]</f>
        <v>3</v>
      </c>
      <c r="J102" s="201" t="n">
        <f aca="false">OFFSET(TblConstr[[#This Row],[Hill]],-1,0)+TblConstr[[#This Row],[Ch_Hill]]</f>
        <v>4</v>
      </c>
      <c r="K102" s="202" t="n">
        <f aca="false">OFFSET(TblConstr[[#This Row],[Swamp]],-1,0)+TblConstr[[#This Row],[Ch_Swamp]]</f>
        <v>5</v>
      </c>
      <c r="L102" s="197" t="n">
        <f aca="false">OFFSET(TblConstr[[#This Row],[Cavern]],-1,0)+TblConstr[[#This Row],[Ch_Cavern]]</f>
        <v>6</v>
      </c>
      <c r="M102" s="198" t="n">
        <f aca="false">OFFSET(TblConstr[[#This Row],[Water]],-1,0)+TblConstr[[#This Row],[Ch_Water]]</f>
        <v>7</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4150734</v>
      </c>
      <c r="AL102" s="69" t="n">
        <f aca="false">TblProd[[#This Row],[Lumber]]</f>
        <v>444016</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2" s="69" t="n">
        <f aca="false">ROUNDDOWN( MAX(1 - MIN(facs_constr_factor*TblConstr[[#This Row],[Facs -DB]],facs_constr_max) + tech_1_11*TblTech[[#This Row],[11-1]] + tech_6_3_2*TblTech[[#This Row],[6-3]] + tech_5_2_3*TblTech[[#This Row],[5-2]], 1-global_constr_cap) * TblConstr[[#This Row],[RCPA Lumber]],0)</f>
        <v>200</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2" s="69" t="n">
        <f aca="false">ROUNDDOWN( MAX(1 - MIN(facs_constr_factor*TblConstr[[#This Row],[Facs DB]],facs_constr_max) + tech_1_11*TblTech[[#This Row],[1-11]] + tech_6_3_2*TblTech[[#This Row],[6-3]] + tech_5_2_3*TblTech[[#This Row],[5-2]], 1-global_constr_cap) * ROUND((TblConstr[[#This Row],[Land]]-250)*0.285 + 87.5 + 0/4.25,0),0)</f>
        <v>200</v>
      </c>
      <c r="AQ102" s="1" t="n">
        <f aca="false">TblConstr[[#This Row],[build -db]]*TblConstr[[#This Row],[CPA Platinum -DB]] + TblConstr[[#This Row],[build db]]*TblConstr[[#This Row],[CPA Platinum DB]]</f>
        <v>-65340</v>
      </c>
      <c r="AR102" s="1" t="n">
        <f aca="false">TblConstr[[#This Row],[build -db]]*TblConstr[[#This Row],[CPA Lumber -DB]]+TblConstr[[#This Row],[build db]]*TblConstr[[#This Row],[CPA Lumber DB]]</f>
        <v>-10800</v>
      </c>
      <c r="AS102" s="69" t="n">
        <f aca="false">MIN(SUM(OFFSET(TblConstr[[#This Row],[Plain]:[Water]],-1,0))+SUM(TblConstr[[#This Row],[Dest Hom]:[Dest Doc]])+IF(TblConstr[[#This Row],[Hour]]&gt;12,SUM(OFFSET(TblExplore[[#This Row],[Plains Explore]:[Water Explore]],-12,0)),0),SUM(TblConstr[[#This Row],[Hom]:[Doc]]))</f>
        <v>-54</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1345</v>
      </c>
      <c r="AW102" s="69" t="n">
        <f aca="false">ROUND((TblConstr[[#This Row],[Land]]-250 - IF(TblExplore[[#This Row],[Land Bonus]]&lt;&gt;0,20,0))*0.285 + 87.5 + 0/4.25,0)</f>
        <v>200</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646</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349</v>
      </c>
      <c r="DA102" s="69" t="n">
        <f aca="false">H102+SUM(T91:U102)+SUM(BD102:BE102)</f>
        <v>27</v>
      </c>
      <c r="DB102" s="1" t="n">
        <f aca="false">I102+SUM(V91:W102)+SUM(BF102:BG102)</f>
        <v>3</v>
      </c>
      <c r="DC102" s="69" t="n">
        <f aca="false">J102+SUM(X91:Y102)+SUM(BH102:BI102)</f>
        <v>59</v>
      </c>
      <c r="DD102" s="69" t="n">
        <f aca="false">K102+SUM(AB91:AD102)+SUM(BL102:BN102)</f>
        <v>81</v>
      </c>
      <c r="DE102" s="1" t="n">
        <f aca="false">L102+SUM(AE91:AE102)+BO102</f>
        <v>6</v>
      </c>
      <c r="DF102" s="69" t="n">
        <f aca="false">M102+SUM(AG91:AG102)+BQ102</f>
        <v>31</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-54</v>
      </c>
      <c r="C103" s="172" t="n">
        <f aca="false">SUM(TblConstr[[#This Row],[Tot Hom]:[Tot Doc]])</f>
        <v>700</v>
      </c>
      <c r="D103" s="172" t="n">
        <f aca="false">SUM(O92:AG103)</f>
        <v>0</v>
      </c>
      <c r="E103" s="173"/>
      <c r="F103" s="33" t="n">
        <f aca="false">TblConstr[[#This Row],[Barren]]+TblConstr[[#This Row],[Buildings]]+TblConstr[[#This Row],[Incoming]]</f>
        <v>646</v>
      </c>
      <c r="G103" s="199" t="n">
        <f aca="false">OFFSET(TblConstr[[#This Row],[Plain]],-1,0)+TblConstr[[#This Row],[Ch_Plain]]</f>
        <v>-81</v>
      </c>
      <c r="H103" s="193" t="n">
        <f aca="false">OFFSET(TblConstr[[#This Row],[Forest]],-1,0)+TblConstr[[#This Row],[Ch_Forest]]</f>
        <v>2</v>
      </c>
      <c r="I103" s="200" t="n">
        <f aca="false">OFFSET(TblConstr[[#This Row],[Mountain]],-1,0)+TblConstr[[#This Row],[Ch_Mountain]]</f>
        <v>3</v>
      </c>
      <c r="J103" s="201" t="n">
        <f aca="false">OFFSET(TblConstr[[#This Row],[Hill]],-1,0)+TblConstr[[#This Row],[Ch_Hill]]</f>
        <v>4</v>
      </c>
      <c r="K103" s="202" t="n">
        <f aca="false">OFFSET(TblConstr[[#This Row],[Swamp]],-1,0)+TblConstr[[#This Row],[Ch_Swamp]]</f>
        <v>5</v>
      </c>
      <c r="L103" s="197" t="n">
        <f aca="false">OFFSET(TblConstr[[#This Row],[Cavern]],-1,0)+TblConstr[[#This Row],[Ch_Cavern]]</f>
        <v>6</v>
      </c>
      <c r="M103" s="198" t="n">
        <f aca="false">OFFSET(TblConstr[[#This Row],[Water]],-1,0)+TblConstr[[#This Row],[Ch_Water]]</f>
        <v>7</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4255843</v>
      </c>
      <c r="AL103" s="69" t="n">
        <f aca="false">TblProd[[#This Row],[Lumber]]</f>
        <v>451501</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3" s="69" t="n">
        <f aca="false">ROUNDDOWN( MAX(1 - MIN(facs_constr_factor*TblConstr[[#This Row],[Facs -DB]],facs_constr_max) + tech_1_11*TblTech[[#This Row],[11-1]] + tech_6_3_2*TblTech[[#This Row],[6-3]] + tech_5_2_3*TblTech[[#This Row],[5-2]], 1-global_constr_cap) * TblConstr[[#This Row],[RCPA Lumber]],0)</f>
        <v>200</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3" s="69" t="n">
        <f aca="false">ROUNDDOWN( MAX(1 - MIN(facs_constr_factor*TblConstr[[#This Row],[Facs DB]],facs_constr_max) + tech_1_11*TblTech[[#This Row],[1-11]] + tech_6_3_2*TblTech[[#This Row],[6-3]] + tech_5_2_3*TblTech[[#This Row],[5-2]], 1-global_constr_cap) * ROUND((TblConstr[[#This Row],[Land]]-250)*0.285 + 87.5 + 0/4.25,0),0)</f>
        <v>200</v>
      </c>
      <c r="AQ103" s="1" t="n">
        <f aca="false">TblConstr[[#This Row],[build -db]]*TblConstr[[#This Row],[CPA Platinum -DB]] + TblConstr[[#This Row],[build db]]*TblConstr[[#This Row],[CPA Platinum DB]]</f>
        <v>-65340</v>
      </c>
      <c r="AR103" s="1" t="n">
        <f aca="false">TblConstr[[#This Row],[build -db]]*TblConstr[[#This Row],[CPA Lumber -DB]]+TblConstr[[#This Row],[build db]]*TblConstr[[#This Row],[CPA Lumber DB]]</f>
        <v>-10800</v>
      </c>
      <c r="AS103" s="69" t="n">
        <f aca="false">MIN(SUM(OFFSET(TblConstr[[#This Row],[Plain]:[Water]],-1,0))+SUM(TblConstr[[#This Row],[Dest Hom]:[Dest Doc]])+IF(TblConstr[[#This Row],[Hour]]&gt;12,SUM(OFFSET(TblExplore[[#This Row],[Plains Explore]:[Water Explore]],-12,0)),0),SUM(TblConstr[[#This Row],[Hom]:[Doc]]))</f>
        <v>-54</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1345</v>
      </c>
      <c r="AW103" s="69" t="n">
        <f aca="false">ROUND((TblConstr[[#This Row],[Land]]-250 - IF(TblExplore[[#This Row],[Land Bonus]]&lt;&gt;0,20,0))*0.285 + 87.5 + 0/4.25,0)</f>
        <v>200</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646</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349</v>
      </c>
      <c r="DA103" s="69" t="n">
        <f aca="false">H103+SUM(T92:U103)+SUM(BD103:BE103)</f>
        <v>27</v>
      </c>
      <c r="DB103" s="1" t="n">
        <f aca="false">I103+SUM(V92:W103)+SUM(BF103:BG103)</f>
        <v>3</v>
      </c>
      <c r="DC103" s="69" t="n">
        <f aca="false">J103+SUM(X92:Y103)+SUM(BH103:BI103)</f>
        <v>59</v>
      </c>
      <c r="DD103" s="69" t="n">
        <f aca="false">K103+SUM(AB92:AD103)+SUM(BL103:BN103)</f>
        <v>81</v>
      </c>
      <c r="DE103" s="1" t="n">
        <f aca="false">L103+SUM(AE92:AE103)+BO103</f>
        <v>6</v>
      </c>
      <c r="DF103" s="69" t="n">
        <f aca="false">M103+SUM(AG92:AG103)+BQ103</f>
        <v>31</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-54</v>
      </c>
      <c r="C104" s="172" t="n">
        <f aca="false">SUM(TblConstr[[#This Row],[Tot Hom]:[Tot Doc]])</f>
        <v>700</v>
      </c>
      <c r="D104" s="172" t="n">
        <f aca="false">SUM(O93:AG104)</f>
        <v>0</v>
      </c>
      <c r="E104" s="173"/>
      <c r="F104" s="33" t="n">
        <f aca="false">TblConstr[[#This Row],[Barren]]+TblConstr[[#This Row],[Buildings]]+TblConstr[[#This Row],[Incoming]]</f>
        <v>646</v>
      </c>
      <c r="G104" s="199" t="n">
        <f aca="false">OFFSET(TblConstr[[#This Row],[Plain]],-1,0)+TblConstr[[#This Row],[Ch_Plain]]</f>
        <v>-81</v>
      </c>
      <c r="H104" s="193" t="n">
        <f aca="false">OFFSET(TblConstr[[#This Row],[Forest]],-1,0)+TblConstr[[#This Row],[Ch_Forest]]</f>
        <v>2</v>
      </c>
      <c r="I104" s="200" t="n">
        <f aca="false">OFFSET(TblConstr[[#This Row],[Mountain]],-1,0)+TblConstr[[#This Row],[Ch_Mountain]]</f>
        <v>3</v>
      </c>
      <c r="J104" s="201" t="n">
        <f aca="false">OFFSET(TblConstr[[#This Row],[Hill]],-1,0)+TblConstr[[#This Row],[Ch_Hill]]</f>
        <v>4</v>
      </c>
      <c r="K104" s="202" t="n">
        <f aca="false">OFFSET(TblConstr[[#This Row],[Swamp]],-1,0)+TblConstr[[#This Row],[Ch_Swamp]]</f>
        <v>5</v>
      </c>
      <c r="L104" s="197" t="n">
        <f aca="false">OFFSET(TblConstr[[#This Row],[Cavern]],-1,0)+TblConstr[[#This Row],[Ch_Cavern]]</f>
        <v>6</v>
      </c>
      <c r="M104" s="198" t="n">
        <f aca="false">OFFSET(TblConstr[[#This Row],[Water]],-1,0)+TblConstr[[#This Row],[Ch_Water]]</f>
        <v>7</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4360729</v>
      </c>
      <c r="AL104" s="69" t="n">
        <f aca="false">TblProd[[#This Row],[Lumber]]</f>
        <v>458911</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4" s="69" t="n">
        <f aca="false">ROUNDDOWN( MAX(1 - MIN(facs_constr_factor*TblConstr[[#This Row],[Facs -DB]],facs_constr_max) + tech_1_11*TblTech[[#This Row],[11-1]] + tech_6_3_2*TblTech[[#This Row],[6-3]] + tech_5_2_3*TblTech[[#This Row],[5-2]], 1-global_constr_cap) * TblConstr[[#This Row],[RCPA Lumber]],0)</f>
        <v>200</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4" s="69" t="n">
        <f aca="false">ROUNDDOWN( MAX(1 - MIN(facs_constr_factor*TblConstr[[#This Row],[Facs DB]],facs_constr_max) + tech_1_11*TblTech[[#This Row],[1-11]] + tech_6_3_2*TblTech[[#This Row],[6-3]] + tech_5_2_3*TblTech[[#This Row],[5-2]], 1-global_constr_cap) * ROUND((TblConstr[[#This Row],[Land]]-250)*0.285 + 87.5 + 0/4.25,0),0)</f>
        <v>200</v>
      </c>
      <c r="AQ104" s="1" t="n">
        <f aca="false">TblConstr[[#This Row],[build -db]]*TblConstr[[#This Row],[CPA Platinum -DB]] + TblConstr[[#This Row],[build db]]*TblConstr[[#This Row],[CPA Platinum DB]]</f>
        <v>-65340</v>
      </c>
      <c r="AR104" s="1" t="n">
        <f aca="false">TblConstr[[#This Row],[build -db]]*TblConstr[[#This Row],[CPA Lumber -DB]]+TblConstr[[#This Row],[build db]]*TblConstr[[#This Row],[CPA Lumber DB]]</f>
        <v>-10800</v>
      </c>
      <c r="AS104" s="69" t="n">
        <f aca="false">MIN(SUM(OFFSET(TblConstr[[#This Row],[Plain]:[Water]],-1,0))+SUM(TblConstr[[#This Row],[Dest Hom]:[Dest Doc]])+IF(TblConstr[[#This Row],[Hour]]&gt;12,SUM(OFFSET(TblExplore[[#This Row],[Plains Explore]:[Water Explore]],-12,0)),0),SUM(TblConstr[[#This Row],[Hom]:[Doc]]))</f>
        <v>-54</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1345</v>
      </c>
      <c r="AW104" s="69" t="n">
        <f aca="false">ROUND((TblConstr[[#This Row],[Land]]-250 - IF(TblExplore[[#This Row],[Land Bonus]]&lt;&gt;0,20,0))*0.285 + 87.5 + 0/4.25,0)</f>
        <v>200</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646</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349</v>
      </c>
      <c r="DA104" s="69" t="n">
        <f aca="false">H104+SUM(T93:U104)+SUM(BD104:BE104)</f>
        <v>27</v>
      </c>
      <c r="DB104" s="1" t="n">
        <f aca="false">I104+SUM(V93:W104)+SUM(BF104:BG104)</f>
        <v>3</v>
      </c>
      <c r="DC104" s="69" t="n">
        <f aca="false">J104+SUM(X93:Y104)+SUM(BH104:BI104)</f>
        <v>59</v>
      </c>
      <c r="DD104" s="69" t="n">
        <f aca="false">K104+SUM(AB93:AD104)+SUM(BL104:BN104)</f>
        <v>81</v>
      </c>
      <c r="DE104" s="1" t="n">
        <f aca="false">L104+SUM(AE93:AE104)+BO104</f>
        <v>6</v>
      </c>
      <c r="DF104" s="69" t="n">
        <f aca="false">M104+SUM(AG93:AG104)+BQ104</f>
        <v>31</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-54</v>
      </c>
      <c r="C105" s="172" t="n">
        <f aca="false">SUM(TblConstr[[#This Row],[Tot Hom]:[Tot Doc]])</f>
        <v>700</v>
      </c>
      <c r="D105" s="172" t="n">
        <f aca="false">SUM(O94:AG105)</f>
        <v>0</v>
      </c>
      <c r="E105" s="173"/>
      <c r="F105" s="33" t="n">
        <f aca="false">TblConstr[[#This Row],[Barren]]+TblConstr[[#This Row],[Buildings]]+TblConstr[[#This Row],[Incoming]]</f>
        <v>646</v>
      </c>
      <c r="G105" s="199" t="n">
        <f aca="false">OFFSET(TblConstr[[#This Row],[Plain]],-1,0)+TblConstr[[#This Row],[Ch_Plain]]</f>
        <v>-81</v>
      </c>
      <c r="H105" s="193" t="n">
        <f aca="false">OFFSET(TblConstr[[#This Row],[Forest]],-1,0)+TblConstr[[#This Row],[Ch_Forest]]</f>
        <v>2</v>
      </c>
      <c r="I105" s="200" t="n">
        <f aca="false">OFFSET(TblConstr[[#This Row],[Mountain]],-1,0)+TblConstr[[#This Row],[Ch_Mountain]]</f>
        <v>3</v>
      </c>
      <c r="J105" s="201" t="n">
        <f aca="false">OFFSET(TblConstr[[#This Row],[Hill]],-1,0)+TblConstr[[#This Row],[Ch_Hill]]</f>
        <v>4</v>
      </c>
      <c r="K105" s="202" t="n">
        <f aca="false">OFFSET(TblConstr[[#This Row],[Swamp]],-1,0)+TblConstr[[#This Row],[Ch_Swamp]]</f>
        <v>5</v>
      </c>
      <c r="L105" s="197" t="n">
        <f aca="false">OFFSET(TblConstr[[#This Row],[Cavern]],-1,0)+TblConstr[[#This Row],[Ch_Cavern]]</f>
        <v>6</v>
      </c>
      <c r="M105" s="198" t="n">
        <f aca="false">OFFSET(TblConstr[[#This Row],[Water]],-1,0)+TblConstr[[#This Row],[Ch_Water]]</f>
        <v>7</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4465395</v>
      </c>
      <c r="AL105" s="69" t="n">
        <f aca="false">TblProd[[#This Row],[Lumber]]</f>
        <v>466247</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5" s="69" t="n">
        <f aca="false">ROUNDDOWN( MAX(1 - MIN(facs_constr_factor*TblConstr[[#This Row],[Facs -DB]],facs_constr_max) + tech_1_11*TblTech[[#This Row],[11-1]] + tech_6_3_2*TblTech[[#This Row],[6-3]] + tech_5_2_3*TblTech[[#This Row],[5-2]], 1-global_constr_cap) * TblConstr[[#This Row],[RCPA Lumber]],0)</f>
        <v>200</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5" s="69" t="n">
        <f aca="false">ROUNDDOWN( MAX(1 - MIN(facs_constr_factor*TblConstr[[#This Row],[Facs DB]],facs_constr_max) + tech_1_11*TblTech[[#This Row],[1-11]] + tech_6_3_2*TblTech[[#This Row],[6-3]] + tech_5_2_3*TblTech[[#This Row],[5-2]], 1-global_constr_cap) * ROUND((TblConstr[[#This Row],[Land]]-250)*0.285 + 87.5 + 0/4.25,0),0)</f>
        <v>200</v>
      </c>
      <c r="AQ105" s="1" t="n">
        <f aca="false">TblConstr[[#This Row],[build -db]]*TblConstr[[#This Row],[CPA Platinum -DB]] + TblConstr[[#This Row],[build db]]*TblConstr[[#This Row],[CPA Platinum DB]]</f>
        <v>-65340</v>
      </c>
      <c r="AR105" s="1" t="n">
        <f aca="false">TblConstr[[#This Row],[build -db]]*TblConstr[[#This Row],[CPA Lumber -DB]]+TblConstr[[#This Row],[build db]]*TblConstr[[#This Row],[CPA Lumber DB]]</f>
        <v>-10800</v>
      </c>
      <c r="AS105" s="69" t="n">
        <f aca="false">MIN(SUM(OFFSET(TblConstr[[#This Row],[Plain]:[Water]],-1,0))+SUM(TblConstr[[#This Row],[Dest Hom]:[Dest Doc]])+IF(TblConstr[[#This Row],[Hour]]&gt;12,SUM(OFFSET(TblExplore[[#This Row],[Plains Explore]:[Water Explore]],-12,0)),0),SUM(TblConstr[[#This Row],[Hom]:[Doc]]))</f>
        <v>-54</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1345</v>
      </c>
      <c r="AW105" s="69" t="n">
        <f aca="false">ROUND((TblConstr[[#This Row],[Land]]-250 - IF(TblExplore[[#This Row],[Land Bonus]]&lt;&gt;0,20,0))*0.285 + 87.5 + 0/4.25,0)</f>
        <v>200</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646</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349</v>
      </c>
      <c r="DA105" s="69" t="n">
        <f aca="false">H105+SUM(T94:U105)+SUM(BD105:BE105)</f>
        <v>27</v>
      </c>
      <c r="DB105" s="1" t="n">
        <f aca="false">I105+SUM(V94:W105)+SUM(BF105:BG105)</f>
        <v>3</v>
      </c>
      <c r="DC105" s="69" t="n">
        <f aca="false">J105+SUM(X94:Y105)+SUM(BH105:BI105)</f>
        <v>59</v>
      </c>
      <c r="DD105" s="69" t="n">
        <f aca="false">K105+SUM(AB94:AD105)+SUM(BL105:BN105)</f>
        <v>81</v>
      </c>
      <c r="DE105" s="1" t="n">
        <f aca="false">L105+SUM(AE94:AE105)+BO105</f>
        <v>6</v>
      </c>
      <c r="DF105" s="69" t="n">
        <f aca="false">M105+SUM(AG94:AG105)+BQ105</f>
        <v>31</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-54</v>
      </c>
      <c r="C106" s="172" t="n">
        <f aca="false">SUM(TblConstr[[#This Row],[Tot Hom]:[Tot Doc]])</f>
        <v>700</v>
      </c>
      <c r="D106" s="172" t="n">
        <f aca="false">SUM(O95:AG106)</f>
        <v>0</v>
      </c>
      <c r="E106" s="173"/>
      <c r="F106" s="33" t="n">
        <f aca="false">TblConstr[[#This Row],[Barren]]+TblConstr[[#This Row],[Buildings]]+TblConstr[[#This Row],[Incoming]]</f>
        <v>646</v>
      </c>
      <c r="G106" s="199" t="n">
        <f aca="false">OFFSET(TblConstr[[#This Row],[Plain]],-1,0)+TblConstr[[#This Row],[Ch_Plain]]</f>
        <v>-81</v>
      </c>
      <c r="H106" s="193" t="n">
        <f aca="false">OFFSET(TblConstr[[#This Row],[Forest]],-1,0)+TblConstr[[#This Row],[Ch_Forest]]</f>
        <v>2</v>
      </c>
      <c r="I106" s="200" t="n">
        <f aca="false">OFFSET(TblConstr[[#This Row],[Mountain]],-1,0)+TblConstr[[#This Row],[Ch_Mountain]]</f>
        <v>3</v>
      </c>
      <c r="J106" s="201" t="n">
        <f aca="false">OFFSET(TblConstr[[#This Row],[Hill]],-1,0)+TblConstr[[#This Row],[Ch_Hill]]</f>
        <v>4</v>
      </c>
      <c r="K106" s="202" t="n">
        <f aca="false">OFFSET(TblConstr[[#This Row],[Swamp]],-1,0)+TblConstr[[#This Row],[Ch_Swamp]]</f>
        <v>5</v>
      </c>
      <c r="L106" s="197" t="n">
        <f aca="false">OFFSET(TblConstr[[#This Row],[Cavern]],-1,0)+TblConstr[[#This Row],[Ch_Cavern]]</f>
        <v>6</v>
      </c>
      <c r="M106" s="198" t="n">
        <f aca="false">OFFSET(TblConstr[[#This Row],[Water]],-1,0)+TblConstr[[#This Row],[Ch_Water]]</f>
        <v>7</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4569845</v>
      </c>
      <c r="AL106" s="69" t="n">
        <f aca="false">TblProd[[#This Row],[Lumber]]</f>
        <v>473510</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6" s="69" t="n">
        <f aca="false">ROUNDDOWN( MAX(1 - MIN(facs_constr_factor*TblConstr[[#This Row],[Facs -DB]],facs_constr_max) + tech_1_11*TblTech[[#This Row],[11-1]] + tech_6_3_2*TblTech[[#This Row],[6-3]] + tech_5_2_3*TblTech[[#This Row],[5-2]], 1-global_constr_cap) * TblConstr[[#This Row],[RCPA Lumber]],0)</f>
        <v>200</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6" s="69" t="n">
        <f aca="false">ROUNDDOWN( MAX(1 - MIN(facs_constr_factor*TblConstr[[#This Row],[Facs DB]],facs_constr_max) + tech_1_11*TblTech[[#This Row],[1-11]] + tech_6_3_2*TblTech[[#This Row],[6-3]] + tech_5_2_3*TblTech[[#This Row],[5-2]], 1-global_constr_cap) * ROUND((TblConstr[[#This Row],[Land]]-250)*0.285 + 87.5 + 0/4.25,0),0)</f>
        <v>200</v>
      </c>
      <c r="AQ106" s="1" t="n">
        <f aca="false">TblConstr[[#This Row],[build -db]]*TblConstr[[#This Row],[CPA Platinum -DB]] + TblConstr[[#This Row],[build db]]*TblConstr[[#This Row],[CPA Platinum DB]]</f>
        <v>-65340</v>
      </c>
      <c r="AR106" s="1" t="n">
        <f aca="false">TblConstr[[#This Row],[build -db]]*TblConstr[[#This Row],[CPA Lumber -DB]]+TblConstr[[#This Row],[build db]]*TblConstr[[#This Row],[CPA Lumber DB]]</f>
        <v>-10800</v>
      </c>
      <c r="AS106" s="69" t="n">
        <f aca="false">MIN(SUM(OFFSET(TblConstr[[#This Row],[Plain]:[Water]],-1,0))+SUM(TblConstr[[#This Row],[Dest Hom]:[Dest Doc]])+IF(TblConstr[[#This Row],[Hour]]&gt;12,SUM(OFFSET(TblExplore[[#This Row],[Plains Explore]:[Water Explore]],-12,0)),0),SUM(TblConstr[[#This Row],[Hom]:[Doc]]))</f>
        <v>-54</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1345</v>
      </c>
      <c r="AW106" s="69" t="n">
        <f aca="false">ROUND((TblConstr[[#This Row],[Land]]-250 - IF(TblExplore[[#This Row],[Land Bonus]]&lt;&gt;0,20,0))*0.285 + 87.5 + 0/4.25,0)</f>
        <v>200</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646</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349</v>
      </c>
      <c r="DA106" s="69" t="n">
        <f aca="false">H106+SUM(T95:U106)+SUM(BD106:BE106)</f>
        <v>27</v>
      </c>
      <c r="DB106" s="1" t="n">
        <f aca="false">I106+SUM(V95:W106)+SUM(BF106:BG106)</f>
        <v>3</v>
      </c>
      <c r="DC106" s="69" t="n">
        <f aca="false">J106+SUM(X95:Y106)+SUM(BH106:BI106)</f>
        <v>59</v>
      </c>
      <c r="DD106" s="69" t="n">
        <f aca="false">K106+SUM(AB95:AD106)+SUM(BL106:BN106)</f>
        <v>81</v>
      </c>
      <c r="DE106" s="1" t="n">
        <f aca="false">L106+SUM(AE95:AE106)+BO106</f>
        <v>6</v>
      </c>
      <c r="DF106" s="69" t="n">
        <f aca="false">M106+SUM(AG95:AG106)+BQ106</f>
        <v>31</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-54</v>
      </c>
      <c r="C107" s="172" t="n">
        <f aca="false">SUM(TblConstr[[#This Row],[Tot Hom]:[Tot Doc]])</f>
        <v>700</v>
      </c>
      <c r="D107" s="172" t="n">
        <f aca="false">SUM(O96:AG107)</f>
        <v>0</v>
      </c>
      <c r="E107" s="173"/>
      <c r="F107" s="33" t="n">
        <f aca="false">TblConstr[[#This Row],[Barren]]+TblConstr[[#This Row],[Buildings]]+TblConstr[[#This Row],[Incoming]]</f>
        <v>646</v>
      </c>
      <c r="G107" s="199" t="n">
        <f aca="false">OFFSET(TblConstr[[#This Row],[Plain]],-1,0)+TblConstr[[#This Row],[Ch_Plain]]</f>
        <v>-81</v>
      </c>
      <c r="H107" s="193" t="n">
        <f aca="false">OFFSET(TblConstr[[#This Row],[Forest]],-1,0)+TblConstr[[#This Row],[Ch_Forest]]</f>
        <v>2</v>
      </c>
      <c r="I107" s="200" t="n">
        <f aca="false">OFFSET(TblConstr[[#This Row],[Mountain]],-1,0)+TblConstr[[#This Row],[Ch_Mountain]]</f>
        <v>3</v>
      </c>
      <c r="J107" s="201" t="n">
        <f aca="false">OFFSET(TblConstr[[#This Row],[Hill]],-1,0)+TblConstr[[#This Row],[Ch_Hill]]</f>
        <v>4</v>
      </c>
      <c r="K107" s="202" t="n">
        <f aca="false">OFFSET(TblConstr[[#This Row],[Swamp]],-1,0)+TblConstr[[#This Row],[Ch_Swamp]]</f>
        <v>5</v>
      </c>
      <c r="L107" s="197" t="n">
        <f aca="false">OFFSET(TblConstr[[#This Row],[Cavern]],-1,0)+TblConstr[[#This Row],[Ch_Cavern]]</f>
        <v>6</v>
      </c>
      <c r="M107" s="198" t="n">
        <f aca="false">OFFSET(TblConstr[[#This Row],[Water]],-1,0)+TblConstr[[#This Row],[Ch_Water]]</f>
        <v>7</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4674078</v>
      </c>
      <c r="AL107" s="69" t="n">
        <f aca="false">TblProd[[#This Row],[Lumber]]</f>
        <v>480700</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7" s="69" t="n">
        <f aca="false">ROUNDDOWN( MAX(1 - MIN(facs_constr_factor*TblConstr[[#This Row],[Facs -DB]],facs_constr_max) + tech_1_11*TblTech[[#This Row],[11-1]] + tech_6_3_2*TblTech[[#This Row],[6-3]] + tech_5_2_3*TblTech[[#This Row],[5-2]], 1-global_constr_cap) * TblConstr[[#This Row],[RCPA Lumber]],0)</f>
        <v>200</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7" s="69" t="n">
        <f aca="false">ROUNDDOWN( MAX(1 - MIN(facs_constr_factor*TblConstr[[#This Row],[Facs DB]],facs_constr_max) + tech_1_11*TblTech[[#This Row],[1-11]] + tech_6_3_2*TblTech[[#This Row],[6-3]] + tech_5_2_3*TblTech[[#This Row],[5-2]], 1-global_constr_cap) * ROUND((TblConstr[[#This Row],[Land]]-250)*0.285 + 87.5 + 0/4.25,0),0)</f>
        <v>200</v>
      </c>
      <c r="AQ107" s="1" t="n">
        <f aca="false">TblConstr[[#This Row],[build -db]]*TblConstr[[#This Row],[CPA Platinum -DB]] + TblConstr[[#This Row],[build db]]*TblConstr[[#This Row],[CPA Platinum DB]]</f>
        <v>-65340</v>
      </c>
      <c r="AR107" s="1" t="n">
        <f aca="false">TblConstr[[#This Row],[build -db]]*TblConstr[[#This Row],[CPA Lumber -DB]]+TblConstr[[#This Row],[build db]]*TblConstr[[#This Row],[CPA Lumber DB]]</f>
        <v>-10800</v>
      </c>
      <c r="AS107" s="69" t="n">
        <f aca="false">MIN(SUM(OFFSET(TblConstr[[#This Row],[Plain]:[Water]],-1,0))+SUM(TblConstr[[#This Row],[Dest Hom]:[Dest Doc]])+IF(TblConstr[[#This Row],[Hour]]&gt;12,SUM(OFFSET(TblExplore[[#This Row],[Plains Explore]:[Water Explore]],-12,0)),0),SUM(TblConstr[[#This Row],[Hom]:[Doc]]))</f>
        <v>-54</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1345</v>
      </c>
      <c r="AW107" s="69" t="n">
        <f aca="false">ROUND((TblConstr[[#This Row],[Land]]-250 - IF(TblExplore[[#This Row],[Land Bonus]]&lt;&gt;0,20,0))*0.285 + 87.5 + 0/4.25,0)</f>
        <v>200</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646</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349</v>
      </c>
      <c r="DA107" s="69" t="n">
        <f aca="false">H107+SUM(T96:U107)+SUM(BD107:BE107)</f>
        <v>27</v>
      </c>
      <c r="DB107" s="1" t="n">
        <f aca="false">I107+SUM(V96:W107)+SUM(BF107:BG107)</f>
        <v>3</v>
      </c>
      <c r="DC107" s="69" t="n">
        <f aca="false">J107+SUM(X96:Y107)+SUM(BH107:BI107)</f>
        <v>59</v>
      </c>
      <c r="DD107" s="69" t="n">
        <f aca="false">K107+SUM(AB96:AD107)+SUM(BL107:BN107)</f>
        <v>81</v>
      </c>
      <c r="DE107" s="1" t="n">
        <f aca="false">L107+SUM(AE96:AE107)+BO107</f>
        <v>6</v>
      </c>
      <c r="DF107" s="69" t="n">
        <f aca="false">M107+SUM(AG96:AG107)+BQ107</f>
        <v>31</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-54</v>
      </c>
      <c r="C108" s="172" t="n">
        <f aca="false">SUM(TblConstr[[#This Row],[Tot Hom]:[Tot Doc]])</f>
        <v>700</v>
      </c>
      <c r="D108" s="172" t="n">
        <f aca="false">SUM(O97:AG108)</f>
        <v>0</v>
      </c>
      <c r="E108" s="173"/>
      <c r="F108" s="33" t="n">
        <f aca="false">TblConstr[[#This Row],[Barren]]+TblConstr[[#This Row],[Buildings]]+TblConstr[[#This Row],[Incoming]]</f>
        <v>646</v>
      </c>
      <c r="G108" s="199" t="n">
        <f aca="false">OFFSET(TblConstr[[#This Row],[Plain]],-1,0)+TblConstr[[#This Row],[Ch_Plain]]</f>
        <v>-81</v>
      </c>
      <c r="H108" s="193" t="n">
        <f aca="false">OFFSET(TblConstr[[#This Row],[Forest]],-1,0)+TblConstr[[#This Row],[Ch_Forest]]</f>
        <v>2</v>
      </c>
      <c r="I108" s="200" t="n">
        <f aca="false">OFFSET(TblConstr[[#This Row],[Mountain]],-1,0)+TblConstr[[#This Row],[Ch_Mountain]]</f>
        <v>3</v>
      </c>
      <c r="J108" s="201" t="n">
        <f aca="false">OFFSET(TblConstr[[#This Row],[Hill]],-1,0)+TblConstr[[#This Row],[Ch_Hill]]</f>
        <v>4</v>
      </c>
      <c r="K108" s="202" t="n">
        <f aca="false">OFFSET(TblConstr[[#This Row],[Swamp]],-1,0)+TblConstr[[#This Row],[Ch_Swamp]]</f>
        <v>5</v>
      </c>
      <c r="L108" s="197" t="n">
        <f aca="false">OFFSET(TblConstr[[#This Row],[Cavern]],-1,0)+TblConstr[[#This Row],[Ch_Cavern]]</f>
        <v>6</v>
      </c>
      <c r="M108" s="198" t="n">
        <f aca="false">OFFSET(TblConstr[[#This Row],[Water]],-1,0)+TblConstr[[#This Row],[Ch_Water]]</f>
        <v>7</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4778097</v>
      </c>
      <c r="AL108" s="69" t="n">
        <f aca="false">TblProd[[#This Row],[Lumber]]</f>
        <v>487818</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8" s="69" t="n">
        <f aca="false">ROUNDDOWN( MAX(1 - MIN(facs_constr_factor*TblConstr[[#This Row],[Facs -DB]],facs_constr_max) + tech_1_11*TblTech[[#This Row],[11-1]] + tech_6_3_2*TblTech[[#This Row],[6-3]] + tech_5_2_3*TblTech[[#This Row],[5-2]], 1-global_constr_cap) * TblConstr[[#This Row],[RCPA Lumber]],0)</f>
        <v>200</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8" s="69" t="n">
        <f aca="false">ROUNDDOWN( MAX(1 - MIN(facs_constr_factor*TblConstr[[#This Row],[Facs DB]],facs_constr_max) + tech_1_11*TblTech[[#This Row],[1-11]] + tech_6_3_2*TblTech[[#This Row],[6-3]] + tech_5_2_3*TblTech[[#This Row],[5-2]], 1-global_constr_cap) * ROUND((TblConstr[[#This Row],[Land]]-250)*0.285 + 87.5 + 0/4.25,0),0)</f>
        <v>200</v>
      </c>
      <c r="AQ108" s="1" t="n">
        <f aca="false">TblConstr[[#This Row],[build -db]]*TblConstr[[#This Row],[CPA Platinum -DB]] + TblConstr[[#This Row],[build db]]*TblConstr[[#This Row],[CPA Platinum DB]]</f>
        <v>-65340</v>
      </c>
      <c r="AR108" s="1" t="n">
        <f aca="false">TblConstr[[#This Row],[build -db]]*TblConstr[[#This Row],[CPA Lumber -DB]]+TblConstr[[#This Row],[build db]]*TblConstr[[#This Row],[CPA Lumber DB]]</f>
        <v>-10800</v>
      </c>
      <c r="AS108" s="69" t="n">
        <f aca="false">MIN(SUM(OFFSET(TblConstr[[#This Row],[Plain]:[Water]],-1,0))+SUM(TblConstr[[#This Row],[Dest Hom]:[Dest Doc]])+IF(TblConstr[[#This Row],[Hour]]&gt;12,SUM(OFFSET(TblExplore[[#This Row],[Plains Explore]:[Water Explore]],-12,0)),0),SUM(TblConstr[[#This Row],[Hom]:[Doc]]))</f>
        <v>-54</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1345</v>
      </c>
      <c r="AW108" s="69" t="n">
        <f aca="false">ROUND((TblConstr[[#This Row],[Land]]-250 - IF(TblExplore[[#This Row],[Land Bonus]]&lt;&gt;0,20,0))*0.285 + 87.5 + 0/4.25,0)</f>
        <v>200</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646</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349</v>
      </c>
      <c r="DA108" s="69" t="n">
        <f aca="false">H108+SUM(T97:U108)+SUM(BD108:BE108)</f>
        <v>27</v>
      </c>
      <c r="DB108" s="1" t="n">
        <f aca="false">I108+SUM(V97:W108)+SUM(BF108:BG108)</f>
        <v>3</v>
      </c>
      <c r="DC108" s="69" t="n">
        <f aca="false">J108+SUM(X97:Y108)+SUM(BH108:BI108)</f>
        <v>59</v>
      </c>
      <c r="DD108" s="69" t="n">
        <f aca="false">K108+SUM(AB97:AD108)+SUM(BL108:BN108)</f>
        <v>81</v>
      </c>
      <c r="DE108" s="1" t="n">
        <f aca="false">L108+SUM(AE97:AE108)+BO108</f>
        <v>6</v>
      </c>
      <c r="DF108" s="69" t="n">
        <f aca="false">M108+SUM(AG97:AG108)+BQ108</f>
        <v>31</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-54</v>
      </c>
      <c r="C109" s="172" t="n">
        <f aca="false">SUM(TblConstr[[#This Row],[Tot Hom]:[Tot Doc]])</f>
        <v>700</v>
      </c>
      <c r="D109" s="172" t="n">
        <f aca="false">SUM(O98:AG109)</f>
        <v>0</v>
      </c>
      <c r="E109" s="173"/>
      <c r="F109" s="33" t="n">
        <f aca="false">TblConstr[[#This Row],[Barren]]+TblConstr[[#This Row],[Buildings]]+TblConstr[[#This Row],[Incoming]]</f>
        <v>646</v>
      </c>
      <c r="G109" s="199" t="n">
        <f aca="false">OFFSET(TblConstr[[#This Row],[Plain]],-1,0)+TblConstr[[#This Row],[Ch_Plain]]</f>
        <v>-81</v>
      </c>
      <c r="H109" s="193" t="n">
        <f aca="false">OFFSET(TblConstr[[#This Row],[Forest]],-1,0)+TblConstr[[#This Row],[Ch_Forest]]</f>
        <v>2</v>
      </c>
      <c r="I109" s="200" t="n">
        <f aca="false">OFFSET(TblConstr[[#This Row],[Mountain]],-1,0)+TblConstr[[#This Row],[Ch_Mountain]]</f>
        <v>3</v>
      </c>
      <c r="J109" s="201" t="n">
        <f aca="false">OFFSET(TblConstr[[#This Row],[Hill]],-1,0)+TblConstr[[#This Row],[Ch_Hill]]</f>
        <v>4</v>
      </c>
      <c r="K109" s="202" t="n">
        <f aca="false">OFFSET(TblConstr[[#This Row],[Swamp]],-1,0)+TblConstr[[#This Row],[Ch_Swamp]]</f>
        <v>5</v>
      </c>
      <c r="L109" s="197" t="n">
        <f aca="false">OFFSET(TblConstr[[#This Row],[Cavern]],-1,0)+TblConstr[[#This Row],[Ch_Cavern]]</f>
        <v>6</v>
      </c>
      <c r="M109" s="198" t="n">
        <f aca="false">OFFSET(TblConstr[[#This Row],[Water]],-1,0)+TblConstr[[#This Row],[Ch_Water]]</f>
        <v>7</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4881905</v>
      </c>
      <c r="AL109" s="69" t="n">
        <f aca="false">TblProd[[#This Row],[Lumber]]</f>
        <v>494865</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09" s="69" t="n">
        <f aca="false">ROUNDDOWN( MAX(1 - MIN(facs_constr_factor*TblConstr[[#This Row],[Facs -DB]],facs_constr_max) + tech_1_11*TblTech[[#This Row],[11-1]] + tech_6_3_2*TblTech[[#This Row],[6-3]] + tech_5_2_3*TblTech[[#This Row],[5-2]], 1-global_constr_cap) * TblConstr[[#This Row],[RCPA Lumber]],0)</f>
        <v>200</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09" s="69" t="n">
        <f aca="false">ROUNDDOWN( MAX(1 - MIN(facs_constr_factor*TblConstr[[#This Row],[Facs DB]],facs_constr_max) + tech_1_11*TblTech[[#This Row],[1-11]] + tech_6_3_2*TblTech[[#This Row],[6-3]] + tech_5_2_3*TblTech[[#This Row],[5-2]], 1-global_constr_cap) * ROUND((TblConstr[[#This Row],[Land]]-250)*0.285 + 87.5 + 0/4.25,0),0)</f>
        <v>200</v>
      </c>
      <c r="AQ109" s="1" t="n">
        <f aca="false">TblConstr[[#This Row],[build -db]]*TblConstr[[#This Row],[CPA Platinum -DB]] + TblConstr[[#This Row],[build db]]*TblConstr[[#This Row],[CPA Platinum DB]]</f>
        <v>-65340</v>
      </c>
      <c r="AR109" s="1" t="n">
        <f aca="false">TblConstr[[#This Row],[build -db]]*TblConstr[[#This Row],[CPA Lumber -DB]]+TblConstr[[#This Row],[build db]]*TblConstr[[#This Row],[CPA Lumber DB]]</f>
        <v>-10800</v>
      </c>
      <c r="AS109" s="69" t="n">
        <f aca="false">MIN(SUM(OFFSET(TblConstr[[#This Row],[Plain]:[Water]],-1,0))+SUM(TblConstr[[#This Row],[Dest Hom]:[Dest Doc]])+IF(TblConstr[[#This Row],[Hour]]&gt;12,SUM(OFFSET(TblExplore[[#This Row],[Plains Explore]:[Water Explore]],-12,0)),0),SUM(TblConstr[[#This Row],[Hom]:[Doc]]))</f>
        <v>-54</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1345</v>
      </c>
      <c r="AW109" s="69" t="n">
        <f aca="false">ROUND((TblConstr[[#This Row],[Land]]-250 - IF(TblExplore[[#This Row],[Land Bonus]]&lt;&gt;0,20,0))*0.285 + 87.5 + 0/4.25,0)</f>
        <v>200</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646</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349</v>
      </c>
      <c r="DA109" s="69" t="n">
        <f aca="false">H109+SUM(T98:U109)+SUM(BD109:BE109)</f>
        <v>27</v>
      </c>
      <c r="DB109" s="1" t="n">
        <f aca="false">I109+SUM(V98:W109)+SUM(BF109:BG109)</f>
        <v>3</v>
      </c>
      <c r="DC109" s="69" t="n">
        <f aca="false">J109+SUM(X98:Y109)+SUM(BH109:BI109)</f>
        <v>59</v>
      </c>
      <c r="DD109" s="69" t="n">
        <f aca="false">K109+SUM(AB98:AD109)+SUM(BL109:BN109)</f>
        <v>81</v>
      </c>
      <c r="DE109" s="1" t="n">
        <f aca="false">L109+SUM(AE98:AE109)+BO109</f>
        <v>6</v>
      </c>
      <c r="DF109" s="69" t="n">
        <f aca="false">M109+SUM(AG98:AG109)+BQ109</f>
        <v>31</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-54</v>
      </c>
      <c r="C110" s="172" t="n">
        <f aca="false">SUM(TblConstr[[#This Row],[Tot Hom]:[Tot Doc]])</f>
        <v>700</v>
      </c>
      <c r="D110" s="172" t="n">
        <f aca="false">SUM(O99:AG110)</f>
        <v>0</v>
      </c>
      <c r="E110" s="173"/>
      <c r="F110" s="33" t="n">
        <f aca="false">TblConstr[[#This Row],[Barren]]+TblConstr[[#This Row],[Buildings]]+TblConstr[[#This Row],[Incoming]]</f>
        <v>646</v>
      </c>
      <c r="G110" s="199" t="n">
        <f aca="false">OFFSET(TblConstr[[#This Row],[Plain]],-1,0)+TblConstr[[#This Row],[Ch_Plain]]</f>
        <v>-81</v>
      </c>
      <c r="H110" s="193" t="n">
        <f aca="false">OFFSET(TblConstr[[#This Row],[Forest]],-1,0)+TblConstr[[#This Row],[Ch_Forest]]</f>
        <v>2</v>
      </c>
      <c r="I110" s="200" t="n">
        <f aca="false">OFFSET(TblConstr[[#This Row],[Mountain]],-1,0)+TblConstr[[#This Row],[Ch_Mountain]]</f>
        <v>3</v>
      </c>
      <c r="J110" s="201" t="n">
        <f aca="false">OFFSET(TblConstr[[#This Row],[Hill]],-1,0)+TblConstr[[#This Row],[Ch_Hill]]</f>
        <v>4</v>
      </c>
      <c r="K110" s="202" t="n">
        <f aca="false">OFFSET(TblConstr[[#This Row],[Swamp]],-1,0)+TblConstr[[#This Row],[Ch_Swamp]]</f>
        <v>5</v>
      </c>
      <c r="L110" s="197" t="n">
        <f aca="false">OFFSET(TblConstr[[#This Row],[Cavern]],-1,0)+TblConstr[[#This Row],[Ch_Cavern]]</f>
        <v>6</v>
      </c>
      <c r="M110" s="198" t="n">
        <f aca="false">OFFSET(TblConstr[[#This Row],[Water]],-1,0)+TblConstr[[#This Row],[Ch_Water]]</f>
        <v>7</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4985505</v>
      </c>
      <c r="AL110" s="69" t="n">
        <f aca="false">TblProd[[#This Row],[Lumber]]</f>
        <v>501841</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0" s="69" t="n">
        <f aca="false">ROUNDDOWN( MAX(1 - MIN(facs_constr_factor*TblConstr[[#This Row],[Facs -DB]],facs_constr_max) + tech_1_11*TblTech[[#This Row],[11-1]] + tech_6_3_2*TblTech[[#This Row],[6-3]] + tech_5_2_3*TblTech[[#This Row],[5-2]], 1-global_constr_cap) * TblConstr[[#This Row],[RCPA Lumber]],0)</f>
        <v>200</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0" s="69" t="n">
        <f aca="false">ROUNDDOWN( MAX(1 - MIN(facs_constr_factor*TblConstr[[#This Row],[Facs DB]],facs_constr_max) + tech_1_11*TblTech[[#This Row],[1-11]] + tech_6_3_2*TblTech[[#This Row],[6-3]] + tech_5_2_3*TblTech[[#This Row],[5-2]], 1-global_constr_cap) * ROUND((TblConstr[[#This Row],[Land]]-250)*0.285 + 87.5 + 0/4.25,0),0)</f>
        <v>200</v>
      </c>
      <c r="AQ110" s="1" t="n">
        <f aca="false">TblConstr[[#This Row],[build -db]]*TblConstr[[#This Row],[CPA Platinum -DB]] + TblConstr[[#This Row],[build db]]*TblConstr[[#This Row],[CPA Platinum DB]]</f>
        <v>-65340</v>
      </c>
      <c r="AR110" s="1" t="n">
        <f aca="false">TblConstr[[#This Row],[build -db]]*TblConstr[[#This Row],[CPA Lumber -DB]]+TblConstr[[#This Row],[build db]]*TblConstr[[#This Row],[CPA Lumber DB]]</f>
        <v>-10800</v>
      </c>
      <c r="AS110" s="69" t="n">
        <f aca="false">MIN(SUM(OFFSET(TblConstr[[#This Row],[Plain]:[Water]],-1,0))+SUM(TblConstr[[#This Row],[Dest Hom]:[Dest Doc]])+IF(TblConstr[[#This Row],[Hour]]&gt;12,SUM(OFFSET(TblExplore[[#This Row],[Plains Explore]:[Water Explore]],-12,0)),0),SUM(TblConstr[[#This Row],[Hom]:[Doc]]))</f>
        <v>-54</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1345</v>
      </c>
      <c r="AW110" s="69" t="n">
        <f aca="false">ROUND((TblConstr[[#This Row],[Land]]-250 - IF(TblExplore[[#This Row],[Land Bonus]]&lt;&gt;0,20,0))*0.285 + 87.5 + 0/4.25,0)</f>
        <v>200</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646</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349</v>
      </c>
      <c r="DA110" s="69" t="n">
        <f aca="false">H110+SUM(T99:U110)+SUM(BD110:BE110)</f>
        <v>27</v>
      </c>
      <c r="DB110" s="1" t="n">
        <f aca="false">I110+SUM(V99:W110)+SUM(BF110:BG110)</f>
        <v>3</v>
      </c>
      <c r="DC110" s="69" t="n">
        <f aca="false">J110+SUM(X99:Y110)+SUM(BH110:BI110)</f>
        <v>59</v>
      </c>
      <c r="DD110" s="69" t="n">
        <f aca="false">K110+SUM(AB99:AD110)+SUM(BL110:BN110)</f>
        <v>81</v>
      </c>
      <c r="DE110" s="1" t="n">
        <f aca="false">L110+SUM(AE99:AE110)+BO110</f>
        <v>6</v>
      </c>
      <c r="DF110" s="69" t="n">
        <f aca="false">M110+SUM(AG99:AG110)+BQ110</f>
        <v>31</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-54</v>
      </c>
      <c r="C111" s="172" t="n">
        <f aca="false">SUM(TblConstr[[#This Row],[Tot Hom]:[Tot Doc]])</f>
        <v>700</v>
      </c>
      <c r="D111" s="172" t="n">
        <f aca="false">SUM(O100:AG111)</f>
        <v>0</v>
      </c>
      <c r="E111" s="173"/>
      <c r="F111" s="33" t="n">
        <f aca="false">TblConstr[[#This Row],[Barren]]+TblConstr[[#This Row],[Buildings]]+TblConstr[[#This Row],[Incoming]]</f>
        <v>646</v>
      </c>
      <c r="G111" s="199" t="n">
        <f aca="false">OFFSET(TblConstr[[#This Row],[Plain]],-1,0)+TblConstr[[#This Row],[Ch_Plain]]</f>
        <v>-81</v>
      </c>
      <c r="H111" s="193" t="n">
        <f aca="false">OFFSET(TblConstr[[#This Row],[Forest]],-1,0)+TblConstr[[#This Row],[Ch_Forest]]</f>
        <v>2</v>
      </c>
      <c r="I111" s="200" t="n">
        <f aca="false">OFFSET(TblConstr[[#This Row],[Mountain]],-1,0)+TblConstr[[#This Row],[Ch_Mountain]]</f>
        <v>3</v>
      </c>
      <c r="J111" s="201" t="n">
        <f aca="false">OFFSET(TblConstr[[#This Row],[Hill]],-1,0)+TblConstr[[#This Row],[Ch_Hill]]</f>
        <v>4</v>
      </c>
      <c r="K111" s="202" t="n">
        <f aca="false">OFFSET(TblConstr[[#This Row],[Swamp]],-1,0)+TblConstr[[#This Row],[Ch_Swamp]]</f>
        <v>5</v>
      </c>
      <c r="L111" s="197" t="n">
        <f aca="false">OFFSET(TblConstr[[#This Row],[Cavern]],-1,0)+TblConstr[[#This Row],[Ch_Cavern]]</f>
        <v>6</v>
      </c>
      <c r="M111" s="198" t="n">
        <f aca="false">OFFSET(TblConstr[[#This Row],[Water]],-1,0)+TblConstr[[#This Row],[Ch_Water]]</f>
        <v>7</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5088897</v>
      </c>
      <c r="AL111" s="69" t="n">
        <f aca="false">TblProd[[#This Row],[Lumber]]</f>
        <v>508748</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1" s="69" t="n">
        <f aca="false">ROUNDDOWN( MAX(1 - MIN(facs_constr_factor*TblConstr[[#This Row],[Facs -DB]],facs_constr_max) + tech_1_11*TblTech[[#This Row],[11-1]] + tech_6_3_2*TblTech[[#This Row],[6-3]] + tech_5_2_3*TblTech[[#This Row],[5-2]], 1-global_constr_cap) * TblConstr[[#This Row],[RCPA Lumber]],0)</f>
        <v>200</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1" s="69" t="n">
        <f aca="false">ROUNDDOWN( MAX(1 - MIN(facs_constr_factor*TblConstr[[#This Row],[Facs DB]],facs_constr_max) + tech_1_11*TblTech[[#This Row],[1-11]] + tech_6_3_2*TblTech[[#This Row],[6-3]] + tech_5_2_3*TblTech[[#This Row],[5-2]], 1-global_constr_cap) * ROUND((TblConstr[[#This Row],[Land]]-250)*0.285 + 87.5 + 0/4.25,0),0)</f>
        <v>200</v>
      </c>
      <c r="AQ111" s="1" t="n">
        <f aca="false">TblConstr[[#This Row],[build -db]]*TblConstr[[#This Row],[CPA Platinum -DB]] + TblConstr[[#This Row],[build db]]*TblConstr[[#This Row],[CPA Platinum DB]]</f>
        <v>-65340</v>
      </c>
      <c r="AR111" s="1" t="n">
        <f aca="false">TblConstr[[#This Row],[build -db]]*TblConstr[[#This Row],[CPA Lumber -DB]]+TblConstr[[#This Row],[build db]]*TblConstr[[#This Row],[CPA Lumber DB]]</f>
        <v>-10800</v>
      </c>
      <c r="AS111" s="69" t="n">
        <f aca="false">MIN(SUM(OFFSET(TblConstr[[#This Row],[Plain]:[Water]],-1,0))+SUM(TblConstr[[#This Row],[Dest Hom]:[Dest Doc]])+IF(TblConstr[[#This Row],[Hour]]&gt;12,SUM(OFFSET(TblExplore[[#This Row],[Plains Explore]:[Water Explore]],-12,0)),0),SUM(TblConstr[[#This Row],[Hom]:[Doc]]))</f>
        <v>-54</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1345</v>
      </c>
      <c r="AW111" s="69" t="n">
        <f aca="false">ROUND((TblConstr[[#This Row],[Land]]-250 - IF(TblExplore[[#This Row],[Land Bonus]]&lt;&gt;0,20,0))*0.285 + 87.5 + 0/4.25,0)</f>
        <v>200</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646</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349</v>
      </c>
      <c r="DA111" s="69" t="n">
        <f aca="false">H111+SUM(T100:U111)+SUM(BD111:BE111)</f>
        <v>27</v>
      </c>
      <c r="DB111" s="1" t="n">
        <f aca="false">I111+SUM(V100:W111)+SUM(BF111:BG111)</f>
        <v>3</v>
      </c>
      <c r="DC111" s="69" t="n">
        <f aca="false">J111+SUM(X100:Y111)+SUM(BH111:BI111)</f>
        <v>59</v>
      </c>
      <c r="DD111" s="69" t="n">
        <f aca="false">K111+SUM(AB100:AD111)+SUM(BL111:BN111)</f>
        <v>81</v>
      </c>
      <c r="DE111" s="1" t="n">
        <f aca="false">L111+SUM(AE100:AE111)+BO111</f>
        <v>6</v>
      </c>
      <c r="DF111" s="69" t="n">
        <f aca="false">M111+SUM(AG100:AG111)+BQ111</f>
        <v>31</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-54</v>
      </c>
      <c r="C112" s="172" t="n">
        <f aca="false">SUM(TblConstr[[#This Row],[Tot Hom]:[Tot Doc]])</f>
        <v>700</v>
      </c>
      <c r="D112" s="172" t="n">
        <f aca="false">SUM(O101:AG112)</f>
        <v>0</v>
      </c>
      <c r="E112" s="173"/>
      <c r="F112" s="33" t="n">
        <f aca="false">TblConstr[[#This Row],[Barren]]+TblConstr[[#This Row],[Buildings]]+TblConstr[[#This Row],[Incoming]]</f>
        <v>646</v>
      </c>
      <c r="G112" s="199" t="n">
        <f aca="false">OFFSET(TblConstr[[#This Row],[Plain]],-1,0)+TblConstr[[#This Row],[Ch_Plain]]</f>
        <v>-81</v>
      </c>
      <c r="H112" s="193" t="n">
        <f aca="false">OFFSET(TblConstr[[#This Row],[Forest]],-1,0)+TblConstr[[#This Row],[Ch_Forest]]</f>
        <v>2</v>
      </c>
      <c r="I112" s="200" t="n">
        <f aca="false">OFFSET(TblConstr[[#This Row],[Mountain]],-1,0)+TblConstr[[#This Row],[Ch_Mountain]]</f>
        <v>3</v>
      </c>
      <c r="J112" s="201" t="n">
        <f aca="false">OFFSET(TblConstr[[#This Row],[Hill]],-1,0)+TblConstr[[#This Row],[Ch_Hill]]</f>
        <v>4</v>
      </c>
      <c r="K112" s="202" t="n">
        <f aca="false">OFFSET(TblConstr[[#This Row],[Swamp]],-1,0)+TblConstr[[#This Row],[Ch_Swamp]]</f>
        <v>5</v>
      </c>
      <c r="L112" s="197" t="n">
        <f aca="false">OFFSET(TblConstr[[#This Row],[Cavern]],-1,0)+TblConstr[[#This Row],[Ch_Cavern]]</f>
        <v>6</v>
      </c>
      <c r="M112" s="198" t="n">
        <f aca="false">OFFSET(TblConstr[[#This Row],[Water]],-1,0)+TblConstr[[#This Row],[Ch_Water]]</f>
        <v>7</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5192084</v>
      </c>
      <c r="AL112" s="69" t="n">
        <f aca="false">TblProd[[#This Row],[Lumber]]</f>
        <v>515586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2" s="69" t="n">
        <f aca="false">ROUNDDOWN( MAX(1 - MIN(facs_constr_factor*TblConstr[[#This Row],[Facs -DB]],facs_constr_max) + tech_1_11*TblTech[[#This Row],[11-1]] + tech_6_3_2*TblTech[[#This Row],[6-3]] + tech_5_2_3*TblTech[[#This Row],[5-2]], 1-global_constr_cap) * TblConstr[[#This Row],[RCPA Lumber]],0)</f>
        <v>200</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2" s="69" t="n">
        <f aca="false">ROUNDDOWN( MAX(1 - MIN(facs_constr_factor*TblConstr[[#This Row],[Facs DB]],facs_constr_max) + tech_1_11*TblTech[[#This Row],[1-11]] + tech_6_3_2*TblTech[[#This Row],[6-3]] + tech_5_2_3*TblTech[[#This Row],[5-2]], 1-global_constr_cap) * ROUND((TblConstr[[#This Row],[Land]]-250)*0.285 + 87.5 + 0/4.25,0),0)</f>
        <v>200</v>
      </c>
      <c r="AQ112" s="1" t="n">
        <f aca="false">TblConstr[[#This Row],[build -db]]*TblConstr[[#This Row],[CPA Platinum -DB]] + TblConstr[[#This Row],[build db]]*TblConstr[[#This Row],[CPA Platinum DB]]</f>
        <v>-65340</v>
      </c>
      <c r="AR112" s="1" t="n">
        <f aca="false">TblConstr[[#This Row],[build -db]]*TblConstr[[#This Row],[CPA Lumber -DB]]+TblConstr[[#This Row],[build db]]*TblConstr[[#This Row],[CPA Lumber DB]]</f>
        <v>-10800</v>
      </c>
      <c r="AS112" s="69" t="n">
        <f aca="false">MIN(SUM(OFFSET(TblConstr[[#This Row],[Plain]:[Water]],-1,0))+SUM(TblConstr[[#This Row],[Dest Hom]:[Dest Doc]])+IF(TblConstr[[#This Row],[Hour]]&gt;12,SUM(OFFSET(TblExplore[[#This Row],[Plains Explore]:[Water Explore]],-12,0)),0),SUM(TblConstr[[#This Row],[Hom]:[Doc]]))</f>
        <v>-54</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1345</v>
      </c>
      <c r="AW112" s="69" t="n">
        <f aca="false">ROUND((TblConstr[[#This Row],[Land]]-250 - IF(TblExplore[[#This Row],[Land Bonus]]&lt;&gt;0,20,0))*0.285 + 87.5 + 0/4.25,0)</f>
        <v>200</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646</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349</v>
      </c>
      <c r="DA112" s="69" t="n">
        <f aca="false">H112+SUM(T101:U112)+SUM(BD112:BE112)</f>
        <v>27</v>
      </c>
      <c r="DB112" s="1" t="n">
        <f aca="false">I112+SUM(V101:W112)+SUM(BF112:BG112)</f>
        <v>3</v>
      </c>
      <c r="DC112" s="69" t="n">
        <f aca="false">J112+SUM(X101:Y112)+SUM(BH112:BI112)</f>
        <v>59</v>
      </c>
      <c r="DD112" s="69" t="n">
        <f aca="false">K112+SUM(AB101:AD112)+SUM(BL112:BN112)</f>
        <v>81</v>
      </c>
      <c r="DE112" s="1" t="n">
        <f aca="false">L112+SUM(AE101:AE112)+BO112</f>
        <v>6</v>
      </c>
      <c r="DF112" s="69" t="n">
        <f aca="false">M112+SUM(AG101:AG112)+BQ112</f>
        <v>31</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-54</v>
      </c>
      <c r="C113" s="172" t="n">
        <f aca="false">SUM(TblConstr[[#This Row],[Tot Hom]:[Tot Doc]])</f>
        <v>700</v>
      </c>
      <c r="D113" s="172" t="n">
        <f aca="false">SUM(O102:AG113)</f>
        <v>0</v>
      </c>
      <c r="E113" s="173"/>
      <c r="F113" s="33" t="n">
        <f aca="false">TblConstr[[#This Row],[Barren]]+TblConstr[[#This Row],[Buildings]]+TblConstr[[#This Row],[Incoming]]</f>
        <v>646</v>
      </c>
      <c r="G113" s="199" t="n">
        <f aca="false">OFFSET(TblConstr[[#This Row],[Plain]],-1,0)+TblConstr[[#This Row],[Ch_Plain]]</f>
        <v>-81</v>
      </c>
      <c r="H113" s="193" t="n">
        <f aca="false">OFFSET(TblConstr[[#This Row],[Forest]],-1,0)+TblConstr[[#This Row],[Ch_Forest]]</f>
        <v>2</v>
      </c>
      <c r="I113" s="200" t="n">
        <f aca="false">OFFSET(TblConstr[[#This Row],[Mountain]],-1,0)+TblConstr[[#This Row],[Ch_Mountain]]</f>
        <v>3</v>
      </c>
      <c r="J113" s="201" t="n">
        <f aca="false">OFFSET(TblConstr[[#This Row],[Hill]],-1,0)+TblConstr[[#This Row],[Ch_Hill]]</f>
        <v>4</v>
      </c>
      <c r="K113" s="202" t="n">
        <f aca="false">OFFSET(TblConstr[[#This Row],[Swamp]],-1,0)+TblConstr[[#This Row],[Ch_Swamp]]</f>
        <v>5</v>
      </c>
      <c r="L113" s="197" t="n">
        <f aca="false">OFFSET(TblConstr[[#This Row],[Cavern]],-1,0)+TblConstr[[#This Row],[Ch_Cavern]]</f>
        <v>6</v>
      </c>
      <c r="M113" s="198" t="n">
        <f aca="false">OFFSET(TblConstr[[#This Row],[Water]],-1,0)+TblConstr[[#This Row],[Ch_Water]]</f>
        <v>7</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5288072</v>
      </c>
      <c r="AL113" s="69" t="n">
        <f aca="false">TblProd[[#This Row],[Lumber]]</f>
        <v>522355</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3" s="69" t="n">
        <f aca="false">ROUNDDOWN( MAX(1 - MIN(facs_constr_factor*TblConstr[[#This Row],[Facs -DB]],facs_constr_max) + tech_1_11*TblTech[[#This Row],[11-1]] + tech_6_3_2*TblTech[[#This Row],[6-3]] + tech_5_2_3*TblTech[[#This Row],[5-2]], 1-global_constr_cap) * TblConstr[[#This Row],[RCPA Lumber]],0)</f>
        <v>200</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3" s="69" t="n">
        <f aca="false">ROUNDDOWN( MAX(1 - MIN(facs_constr_factor*TblConstr[[#This Row],[Facs DB]],facs_constr_max) + tech_1_11*TblTech[[#This Row],[1-11]] + tech_6_3_2*TblTech[[#This Row],[6-3]] + tech_5_2_3*TblTech[[#This Row],[5-2]], 1-global_constr_cap) * ROUND((TblConstr[[#This Row],[Land]]-250)*0.285 + 87.5 + 0/4.25,0),0)</f>
        <v>200</v>
      </c>
      <c r="AQ113" s="1" t="n">
        <f aca="false">TblConstr[[#This Row],[build -db]]*TblConstr[[#This Row],[CPA Platinum -DB]] + TblConstr[[#This Row],[build db]]*TblConstr[[#This Row],[CPA Platinum DB]]</f>
        <v>-65340</v>
      </c>
      <c r="AR113" s="1" t="n">
        <f aca="false">TblConstr[[#This Row],[build -db]]*TblConstr[[#This Row],[CPA Lumber -DB]]+TblConstr[[#This Row],[build db]]*TblConstr[[#This Row],[CPA Lumber DB]]</f>
        <v>-10800</v>
      </c>
      <c r="AS113" s="69" t="n">
        <f aca="false">MIN(SUM(OFFSET(TblConstr[[#This Row],[Plain]:[Water]],-1,0))+SUM(TblConstr[[#This Row],[Dest Hom]:[Dest Doc]])+IF(TblConstr[[#This Row],[Hour]]&gt;12,SUM(OFFSET(TblExplore[[#This Row],[Plains Explore]:[Water Explore]],-12,0)),0),SUM(TblConstr[[#This Row],[Hom]:[Doc]]))</f>
        <v>-54</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1345</v>
      </c>
      <c r="AW113" s="69" t="n">
        <f aca="false">ROUND((TblConstr[[#This Row],[Land]]-250 - IF(TblExplore[[#This Row],[Land Bonus]]&lt;&gt;0,20,0))*0.285 + 87.5 + 0/4.25,0)</f>
        <v>200</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646</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349</v>
      </c>
      <c r="DA113" s="69" t="n">
        <f aca="false">H113+SUM(T102:U113)+SUM(BD113:BE113)</f>
        <v>27</v>
      </c>
      <c r="DB113" s="1" t="n">
        <f aca="false">I113+SUM(V102:W113)+SUM(BF113:BG113)</f>
        <v>3</v>
      </c>
      <c r="DC113" s="69" t="n">
        <f aca="false">J113+SUM(X102:Y113)+SUM(BH113:BI113)</f>
        <v>59</v>
      </c>
      <c r="DD113" s="69" t="n">
        <f aca="false">K113+SUM(AB102:AD113)+SUM(BL113:BN113)</f>
        <v>81</v>
      </c>
      <c r="DE113" s="1" t="n">
        <f aca="false">L113+SUM(AE102:AE113)+BO113</f>
        <v>6</v>
      </c>
      <c r="DF113" s="69" t="n">
        <f aca="false">M113+SUM(AG102:AG113)+BQ113</f>
        <v>31</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-54</v>
      </c>
      <c r="C114" s="172" t="n">
        <f aca="false">SUM(TblConstr[[#This Row],[Tot Hom]:[Tot Doc]])</f>
        <v>700</v>
      </c>
      <c r="D114" s="172" t="n">
        <f aca="false">SUM(O103:AG114)</f>
        <v>0</v>
      </c>
      <c r="E114" s="173"/>
      <c r="F114" s="33" t="n">
        <f aca="false">TblConstr[[#This Row],[Barren]]+TblConstr[[#This Row],[Buildings]]+TblConstr[[#This Row],[Incoming]]</f>
        <v>646</v>
      </c>
      <c r="G114" s="199" t="n">
        <f aca="false">OFFSET(TblConstr[[#This Row],[Plain]],-1,0)+TblConstr[[#This Row],[Ch_Plain]]</f>
        <v>-81</v>
      </c>
      <c r="H114" s="193" t="n">
        <f aca="false">OFFSET(TblConstr[[#This Row],[Forest]],-1,0)+TblConstr[[#This Row],[Ch_Forest]]</f>
        <v>2</v>
      </c>
      <c r="I114" s="200" t="n">
        <f aca="false">OFFSET(TblConstr[[#This Row],[Mountain]],-1,0)+TblConstr[[#This Row],[Ch_Mountain]]</f>
        <v>3</v>
      </c>
      <c r="J114" s="201" t="n">
        <f aca="false">OFFSET(TblConstr[[#This Row],[Hill]],-1,0)+TblConstr[[#This Row],[Ch_Hill]]</f>
        <v>4</v>
      </c>
      <c r="K114" s="202" t="n">
        <f aca="false">OFFSET(TblConstr[[#This Row],[Swamp]],-1,0)+TblConstr[[#This Row],[Ch_Swamp]]</f>
        <v>5</v>
      </c>
      <c r="L114" s="197" t="n">
        <f aca="false">OFFSET(TblConstr[[#This Row],[Cavern]],-1,0)+TblConstr[[#This Row],[Ch_Cavern]]</f>
        <v>6</v>
      </c>
      <c r="M114" s="198" t="n">
        <f aca="false">OFFSET(TblConstr[[#This Row],[Water]],-1,0)+TblConstr[[#This Row],[Ch_Water]]</f>
        <v>7</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5383877</v>
      </c>
      <c r="AL114" s="69" t="n">
        <f aca="false">TblProd[[#This Row],[Lumber]]</f>
        <v>529056</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4" s="69" t="n">
        <f aca="false">ROUNDDOWN( MAX(1 - MIN(facs_constr_factor*TblConstr[[#This Row],[Facs -DB]],facs_constr_max) + tech_1_11*TblTech[[#This Row],[11-1]] + tech_6_3_2*TblTech[[#This Row],[6-3]] + tech_5_2_3*TblTech[[#This Row],[5-2]], 1-global_constr_cap) * TblConstr[[#This Row],[RCPA Lumber]],0)</f>
        <v>200</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4" s="69" t="n">
        <f aca="false">ROUNDDOWN( MAX(1 - MIN(facs_constr_factor*TblConstr[[#This Row],[Facs DB]],facs_constr_max) + tech_1_11*TblTech[[#This Row],[1-11]] + tech_6_3_2*TblTech[[#This Row],[6-3]] + tech_5_2_3*TblTech[[#This Row],[5-2]], 1-global_constr_cap) * ROUND((TblConstr[[#This Row],[Land]]-250)*0.285 + 87.5 + 0/4.25,0),0)</f>
        <v>200</v>
      </c>
      <c r="AQ114" s="1" t="n">
        <f aca="false">TblConstr[[#This Row],[build -db]]*TblConstr[[#This Row],[CPA Platinum -DB]] + TblConstr[[#This Row],[build db]]*TblConstr[[#This Row],[CPA Platinum DB]]</f>
        <v>-65340</v>
      </c>
      <c r="AR114" s="1" t="n">
        <f aca="false">TblConstr[[#This Row],[build -db]]*TblConstr[[#This Row],[CPA Lumber -DB]]+TblConstr[[#This Row],[build db]]*TblConstr[[#This Row],[CPA Lumber DB]]</f>
        <v>-10800</v>
      </c>
      <c r="AS114" s="69" t="n">
        <f aca="false">MIN(SUM(OFFSET(TblConstr[[#This Row],[Plain]:[Water]],-1,0))+SUM(TblConstr[[#This Row],[Dest Hom]:[Dest Doc]])+IF(TblConstr[[#This Row],[Hour]]&gt;12,SUM(OFFSET(TblExplore[[#This Row],[Plains Explore]:[Water Explore]],-12,0)),0),SUM(TblConstr[[#This Row],[Hom]:[Doc]]))</f>
        <v>-54</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1345</v>
      </c>
      <c r="AW114" s="69" t="n">
        <f aca="false">ROUND((TblConstr[[#This Row],[Land]]-250 - IF(TblExplore[[#This Row],[Land Bonus]]&lt;&gt;0,20,0))*0.285 + 87.5 + 0/4.25,0)</f>
        <v>200</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646</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349</v>
      </c>
      <c r="DA114" s="69" t="n">
        <f aca="false">H114+SUM(T103:U114)+SUM(BD114:BE114)</f>
        <v>27</v>
      </c>
      <c r="DB114" s="1" t="n">
        <f aca="false">I114+SUM(V103:W114)+SUM(BF114:BG114)</f>
        <v>3</v>
      </c>
      <c r="DC114" s="69" t="n">
        <f aca="false">J114+SUM(X103:Y114)+SUM(BH114:BI114)</f>
        <v>59</v>
      </c>
      <c r="DD114" s="69" t="n">
        <f aca="false">K114+SUM(AB103:AD114)+SUM(BL114:BN114)</f>
        <v>81</v>
      </c>
      <c r="DE114" s="1" t="n">
        <f aca="false">L114+SUM(AE103:AE114)+BO114</f>
        <v>6</v>
      </c>
      <c r="DF114" s="69" t="n">
        <f aca="false">M114+SUM(AG103:AG114)+BQ114</f>
        <v>31</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-54</v>
      </c>
      <c r="C115" s="172" t="n">
        <f aca="false">SUM(TblConstr[[#This Row],[Tot Hom]:[Tot Doc]])</f>
        <v>700</v>
      </c>
      <c r="D115" s="172" t="n">
        <f aca="false">SUM(O104:AG115)</f>
        <v>0</v>
      </c>
      <c r="E115" s="173"/>
      <c r="F115" s="33" t="n">
        <f aca="false">TblConstr[[#This Row],[Barren]]+TblConstr[[#This Row],[Buildings]]+TblConstr[[#This Row],[Incoming]]</f>
        <v>646</v>
      </c>
      <c r="G115" s="199" t="n">
        <f aca="false">OFFSET(TblConstr[[#This Row],[Plain]],-1,0)+TblConstr[[#This Row],[Ch_Plain]]</f>
        <v>-81</v>
      </c>
      <c r="H115" s="193" t="n">
        <f aca="false">OFFSET(TblConstr[[#This Row],[Forest]],-1,0)+TblConstr[[#This Row],[Ch_Forest]]</f>
        <v>2</v>
      </c>
      <c r="I115" s="200" t="n">
        <f aca="false">OFFSET(TblConstr[[#This Row],[Mountain]],-1,0)+TblConstr[[#This Row],[Ch_Mountain]]</f>
        <v>3</v>
      </c>
      <c r="J115" s="201" t="n">
        <f aca="false">OFFSET(TblConstr[[#This Row],[Hill]],-1,0)+TblConstr[[#This Row],[Ch_Hill]]</f>
        <v>4</v>
      </c>
      <c r="K115" s="202" t="n">
        <f aca="false">OFFSET(TblConstr[[#This Row],[Swamp]],-1,0)+TblConstr[[#This Row],[Ch_Swamp]]</f>
        <v>5</v>
      </c>
      <c r="L115" s="197" t="n">
        <f aca="false">OFFSET(TblConstr[[#This Row],[Cavern]],-1,0)+TblConstr[[#This Row],[Ch_Cavern]]</f>
        <v>6</v>
      </c>
      <c r="M115" s="198" t="n">
        <f aca="false">OFFSET(TblConstr[[#This Row],[Water]],-1,0)+TblConstr[[#This Row],[Ch_Water]]</f>
        <v>7</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5479501</v>
      </c>
      <c r="AL115" s="69" t="n">
        <f aca="false">TblProd[[#This Row],[Lumber]]</f>
        <v>535690</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5" s="69" t="n">
        <f aca="false">ROUNDDOWN( MAX(1 - MIN(facs_constr_factor*TblConstr[[#This Row],[Facs -DB]],facs_constr_max) + tech_1_11*TblTech[[#This Row],[11-1]] + tech_6_3_2*TblTech[[#This Row],[6-3]] + tech_5_2_3*TblTech[[#This Row],[5-2]], 1-global_constr_cap) * TblConstr[[#This Row],[RCPA Lumber]],0)</f>
        <v>200</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5" s="69" t="n">
        <f aca="false">ROUNDDOWN( MAX(1 - MIN(facs_constr_factor*TblConstr[[#This Row],[Facs DB]],facs_constr_max) + tech_1_11*TblTech[[#This Row],[1-11]] + tech_6_3_2*TblTech[[#This Row],[6-3]] + tech_5_2_3*TblTech[[#This Row],[5-2]], 1-global_constr_cap) * ROUND((TblConstr[[#This Row],[Land]]-250)*0.285 + 87.5 + 0/4.25,0),0)</f>
        <v>200</v>
      </c>
      <c r="AQ115" s="1" t="n">
        <f aca="false">TblConstr[[#This Row],[build -db]]*TblConstr[[#This Row],[CPA Platinum -DB]] + TblConstr[[#This Row],[build db]]*TblConstr[[#This Row],[CPA Platinum DB]]</f>
        <v>-65340</v>
      </c>
      <c r="AR115" s="1" t="n">
        <f aca="false">TblConstr[[#This Row],[build -db]]*TblConstr[[#This Row],[CPA Lumber -DB]]+TblConstr[[#This Row],[build db]]*TblConstr[[#This Row],[CPA Lumber DB]]</f>
        <v>-10800</v>
      </c>
      <c r="AS115" s="69" t="n">
        <f aca="false">MIN(SUM(OFFSET(TblConstr[[#This Row],[Plain]:[Water]],-1,0))+SUM(TblConstr[[#This Row],[Dest Hom]:[Dest Doc]])+IF(TblConstr[[#This Row],[Hour]]&gt;12,SUM(OFFSET(TblExplore[[#This Row],[Plains Explore]:[Water Explore]],-12,0)),0),SUM(TblConstr[[#This Row],[Hom]:[Doc]]))</f>
        <v>-54</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1345</v>
      </c>
      <c r="AW115" s="69" t="n">
        <f aca="false">ROUND((TblConstr[[#This Row],[Land]]-250 - IF(TblExplore[[#This Row],[Land Bonus]]&lt;&gt;0,20,0))*0.285 + 87.5 + 0/4.25,0)</f>
        <v>200</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646</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349</v>
      </c>
      <c r="DA115" s="69" t="n">
        <f aca="false">H115+SUM(T104:U115)+SUM(BD115:BE115)</f>
        <v>27</v>
      </c>
      <c r="DB115" s="1" t="n">
        <f aca="false">I115+SUM(V104:W115)+SUM(BF115:BG115)</f>
        <v>3</v>
      </c>
      <c r="DC115" s="69" t="n">
        <f aca="false">J115+SUM(X104:Y115)+SUM(BH115:BI115)</f>
        <v>59</v>
      </c>
      <c r="DD115" s="69" t="n">
        <f aca="false">K115+SUM(AB104:AD115)+SUM(BL115:BN115)</f>
        <v>81</v>
      </c>
      <c r="DE115" s="1" t="n">
        <f aca="false">L115+SUM(AE104:AE115)+BO115</f>
        <v>6</v>
      </c>
      <c r="DF115" s="69" t="n">
        <f aca="false">M115+SUM(AG104:AG115)+BQ115</f>
        <v>31</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-54</v>
      </c>
      <c r="C116" s="172" t="n">
        <f aca="false">SUM(TblConstr[[#This Row],[Tot Hom]:[Tot Doc]])</f>
        <v>700</v>
      </c>
      <c r="D116" s="172" t="n">
        <f aca="false">SUM(O105:AG116)</f>
        <v>0</v>
      </c>
      <c r="E116" s="173"/>
      <c r="F116" s="33" t="n">
        <f aca="false">TblConstr[[#This Row],[Barren]]+TblConstr[[#This Row],[Buildings]]+TblConstr[[#This Row],[Incoming]]</f>
        <v>646</v>
      </c>
      <c r="G116" s="199" t="n">
        <f aca="false">OFFSET(TblConstr[[#This Row],[Plain]],-1,0)+TblConstr[[#This Row],[Ch_Plain]]</f>
        <v>-81</v>
      </c>
      <c r="H116" s="193" t="n">
        <f aca="false">OFFSET(TblConstr[[#This Row],[Forest]],-1,0)+TblConstr[[#This Row],[Ch_Forest]]</f>
        <v>2</v>
      </c>
      <c r="I116" s="200" t="n">
        <f aca="false">OFFSET(TblConstr[[#This Row],[Mountain]],-1,0)+TblConstr[[#This Row],[Ch_Mountain]]</f>
        <v>3</v>
      </c>
      <c r="J116" s="201" t="n">
        <f aca="false">OFFSET(TblConstr[[#This Row],[Hill]],-1,0)+TblConstr[[#This Row],[Ch_Hill]]</f>
        <v>4</v>
      </c>
      <c r="K116" s="202" t="n">
        <f aca="false">OFFSET(TblConstr[[#This Row],[Swamp]],-1,0)+TblConstr[[#This Row],[Ch_Swamp]]</f>
        <v>5</v>
      </c>
      <c r="L116" s="197" t="n">
        <f aca="false">OFFSET(TblConstr[[#This Row],[Cavern]],-1,0)+TblConstr[[#This Row],[Ch_Cavern]]</f>
        <v>6</v>
      </c>
      <c r="M116" s="198" t="n">
        <f aca="false">OFFSET(TblConstr[[#This Row],[Water]],-1,0)+TblConstr[[#This Row],[Ch_Water]]</f>
        <v>7</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5574946</v>
      </c>
      <c r="AL116" s="69" t="n">
        <f aca="false">TblProd[[#This Row],[Lumber]]</f>
        <v>542258</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6" s="69" t="n">
        <f aca="false">ROUNDDOWN( MAX(1 - MIN(facs_constr_factor*TblConstr[[#This Row],[Facs -DB]],facs_constr_max) + tech_1_11*TblTech[[#This Row],[11-1]] + tech_6_3_2*TblTech[[#This Row],[6-3]] + tech_5_2_3*TblTech[[#This Row],[5-2]], 1-global_constr_cap) * TblConstr[[#This Row],[RCPA Lumber]],0)</f>
        <v>200</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6" s="69" t="n">
        <f aca="false">ROUNDDOWN( MAX(1 - MIN(facs_constr_factor*TblConstr[[#This Row],[Facs DB]],facs_constr_max) + tech_1_11*TblTech[[#This Row],[1-11]] + tech_6_3_2*TblTech[[#This Row],[6-3]] + tech_5_2_3*TblTech[[#This Row],[5-2]], 1-global_constr_cap) * ROUND((TblConstr[[#This Row],[Land]]-250)*0.285 + 87.5 + 0/4.25,0),0)</f>
        <v>200</v>
      </c>
      <c r="AQ116" s="1" t="n">
        <f aca="false">TblConstr[[#This Row],[build -db]]*TblConstr[[#This Row],[CPA Platinum -DB]] + TblConstr[[#This Row],[build db]]*TblConstr[[#This Row],[CPA Platinum DB]]</f>
        <v>-65340</v>
      </c>
      <c r="AR116" s="1" t="n">
        <f aca="false">TblConstr[[#This Row],[build -db]]*TblConstr[[#This Row],[CPA Lumber -DB]]+TblConstr[[#This Row],[build db]]*TblConstr[[#This Row],[CPA Lumber DB]]</f>
        <v>-10800</v>
      </c>
      <c r="AS116" s="69" t="n">
        <f aca="false">MIN(SUM(OFFSET(TblConstr[[#This Row],[Plain]:[Water]],-1,0))+SUM(TblConstr[[#This Row],[Dest Hom]:[Dest Doc]])+IF(TblConstr[[#This Row],[Hour]]&gt;12,SUM(OFFSET(TblExplore[[#This Row],[Plains Explore]:[Water Explore]],-12,0)),0),SUM(TblConstr[[#This Row],[Hom]:[Doc]]))</f>
        <v>-54</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1345</v>
      </c>
      <c r="AW116" s="69" t="n">
        <f aca="false">ROUND((TblConstr[[#This Row],[Land]]-250 - IF(TblExplore[[#This Row],[Land Bonus]]&lt;&gt;0,20,0))*0.285 + 87.5 + 0/4.25,0)</f>
        <v>200</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646</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349</v>
      </c>
      <c r="DA116" s="69" t="n">
        <f aca="false">H116+SUM(T105:U116)+SUM(BD116:BE116)</f>
        <v>27</v>
      </c>
      <c r="DB116" s="1" t="n">
        <f aca="false">I116+SUM(V105:W116)+SUM(BF116:BG116)</f>
        <v>3</v>
      </c>
      <c r="DC116" s="69" t="n">
        <f aca="false">J116+SUM(X105:Y116)+SUM(BH116:BI116)</f>
        <v>59</v>
      </c>
      <c r="DD116" s="69" t="n">
        <f aca="false">K116+SUM(AB105:AD116)+SUM(BL116:BN116)</f>
        <v>81</v>
      </c>
      <c r="DE116" s="1" t="n">
        <f aca="false">L116+SUM(AE105:AE116)+BO116</f>
        <v>6</v>
      </c>
      <c r="DF116" s="69" t="n">
        <f aca="false">M116+SUM(AG105:AG116)+BQ116</f>
        <v>31</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-54</v>
      </c>
      <c r="C117" s="172" t="n">
        <f aca="false">SUM(TblConstr[[#This Row],[Tot Hom]:[Tot Doc]])</f>
        <v>700</v>
      </c>
      <c r="D117" s="172" t="n">
        <f aca="false">SUM(O106:AG117)</f>
        <v>0</v>
      </c>
      <c r="E117" s="173"/>
      <c r="F117" s="33" t="n">
        <f aca="false">TblConstr[[#This Row],[Barren]]+TblConstr[[#This Row],[Buildings]]+TblConstr[[#This Row],[Incoming]]</f>
        <v>646</v>
      </c>
      <c r="G117" s="199" t="n">
        <f aca="false">OFFSET(TblConstr[[#This Row],[Plain]],-1,0)+TblConstr[[#This Row],[Ch_Plain]]</f>
        <v>-81</v>
      </c>
      <c r="H117" s="193" t="n">
        <f aca="false">OFFSET(TblConstr[[#This Row],[Forest]],-1,0)+TblConstr[[#This Row],[Ch_Forest]]</f>
        <v>2</v>
      </c>
      <c r="I117" s="200" t="n">
        <f aca="false">OFFSET(TblConstr[[#This Row],[Mountain]],-1,0)+TblConstr[[#This Row],[Ch_Mountain]]</f>
        <v>3</v>
      </c>
      <c r="J117" s="201" t="n">
        <f aca="false">OFFSET(TblConstr[[#This Row],[Hill]],-1,0)+TblConstr[[#This Row],[Ch_Hill]]</f>
        <v>4</v>
      </c>
      <c r="K117" s="202" t="n">
        <f aca="false">OFFSET(TblConstr[[#This Row],[Swamp]],-1,0)+TblConstr[[#This Row],[Ch_Swamp]]</f>
        <v>5</v>
      </c>
      <c r="L117" s="197" t="n">
        <f aca="false">OFFSET(TblConstr[[#This Row],[Cavern]],-1,0)+TblConstr[[#This Row],[Ch_Cavern]]</f>
        <v>6</v>
      </c>
      <c r="M117" s="198" t="n">
        <f aca="false">OFFSET(TblConstr[[#This Row],[Water]],-1,0)+TblConstr[[#This Row],[Ch_Water]]</f>
        <v>7</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5670213</v>
      </c>
      <c r="AL117" s="69" t="n">
        <f aca="false">TblProd[[#This Row],[Lumber]]</f>
        <v>548760</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7" s="69" t="n">
        <f aca="false">ROUNDDOWN( MAX(1 - MIN(facs_constr_factor*TblConstr[[#This Row],[Facs -DB]],facs_constr_max) + tech_1_11*TblTech[[#This Row],[11-1]] + tech_6_3_2*TblTech[[#This Row],[6-3]] + tech_5_2_3*TblTech[[#This Row],[5-2]], 1-global_constr_cap) * TblConstr[[#This Row],[RCPA Lumber]],0)</f>
        <v>200</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7" s="69" t="n">
        <f aca="false">ROUNDDOWN( MAX(1 - MIN(facs_constr_factor*TblConstr[[#This Row],[Facs DB]],facs_constr_max) + tech_1_11*TblTech[[#This Row],[1-11]] + tech_6_3_2*TblTech[[#This Row],[6-3]] + tech_5_2_3*TblTech[[#This Row],[5-2]], 1-global_constr_cap) * ROUND((TblConstr[[#This Row],[Land]]-250)*0.285 + 87.5 + 0/4.25,0),0)</f>
        <v>200</v>
      </c>
      <c r="AQ117" s="1" t="n">
        <f aca="false">TblConstr[[#This Row],[build -db]]*TblConstr[[#This Row],[CPA Platinum -DB]] + TblConstr[[#This Row],[build db]]*TblConstr[[#This Row],[CPA Platinum DB]]</f>
        <v>-65340</v>
      </c>
      <c r="AR117" s="1" t="n">
        <f aca="false">TblConstr[[#This Row],[build -db]]*TblConstr[[#This Row],[CPA Lumber -DB]]+TblConstr[[#This Row],[build db]]*TblConstr[[#This Row],[CPA Lumber DB]]</f>
        <v>-10800</v>
      </c>
      <c r="AS117" s="69" t="n">
        <f aca="false">MIN(SUM(OFFSET(TblConstr[[#This Row],[Plain]:[Water]],-1,0))+SUM(TblConstr[[#This Row],[Dest Hom]:[Dest Doc]])+IF(TblConstr[[#This Row],[Hour]]&gt;12,SUM(OFFSET(TblExplore[[#This Row],[Plains Explore]:[Water Explore]],-12,0)),0),SUM(TblConstr[[#This Row],[Hom]:[Doc]]))</f>
        <v>-54</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1345</v>
      </c>
      <c r="AW117" s="69" t="n">
        <f aca="false">ROUND((TblConstr[[#This Row],[Land]]-250 - IF(TblExplore[[#This Row],[Land Bonus]]&lt;&gt;0,20,0))*0.285 + 87.5 + 0/4.25,0)</f>
        <v>200</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646</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349</v>
      </c>
      <c r="DA117" s="69" t="n">
        <f aca="false">H117+SUM(T106:U117)+SUM(BD117:BE117)</f>
        <v>27</v>
      </c>
      <c r="DB117" s="1" t="n">
        <f aca="false">I117+SUM(V106:W117)+SUM(BF117:BG117)</f>
        <v>3</v>
      </c>
      <c r="DC117" s="69" t="n">
        <f aca="false">J117+SUM(X106:Y117)+SUM(BH117:BI117)</f>
        <v>59</v>
      </c>
      <c r="DD117" s="69" t="n">
        <f aca="false">K117+SUM(AB106:AD117)+SUM(BL117:BN117)</f>
        <v>81</v>
      </c>
      <c r="DE117" s="1" t="n">
        <f aca="false">L117+SUM(AE106:AE117)+BO117</f>
        <v>6</v>
      </c>
      <c r="DF117" s="69" t="n">
        <f aca="false">M117+SUM(AG106:AG117)+BQ117</f>
        <v>31</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-54</v>
      </c>
      <c r="C118" s="172" t="n">
        <f aca="false">SUM(TblConstr[[#This Row],[Tot Hom]:[Tot Doc]])</f>
        <v>700</v>
      </c>
      <c r="D118" s="172" t="n">
        <f aca="false">SUM(O107:AG118)</f>
        <v>0</v>
      </c>
      <c r="E118" s="173"/>
      <c r="F118" s="33" t="n">
        <f aca="false">TblConstr[[#This Row],[Barren]]+TblConstr[[#This Row],[Buildings]]+TblConstr[[#This Row],[Incoming]]</f>
        <v>646</v>
      </c>
      <c r="G118" s="199" t="n">
        <f aca="false">OFFSET(TblConstr[[#This Row],[Plain]],-1,0)+TblConstr[[#This Row],[Ch_Plain]]</f>
        <v>-81</v>
      </c>
      <c r="H118" s="193" t="n">
        <f aca="false">OFFSET(TblConstr[[#This Row],[Forest]],-1,0)+TblConstr[[#This Row],[Ch_Forest]]</f>
        <v>2</v>
      </c>
      <c r="I118" s="200" t="n">
        <f aca="false">OFFSET(TblConstr[[#This Row],[Mountain]],-1,0)+TblConstr[[#This Row],[Ch_Mountain]]</f>
        <v>3</v>
      </c>
      <c r="J118" s="201" t="n">
        <f aca="false">OFFSET(TblConstr[[#This Row],[Hill]],-1,0)+TblConstr[[#This Row],[Ch_Hill]]</f>
        <v>4</v>
      </c>
      <c r="K118" s="202" t="n">
        <f aca="false">OFFSET(TblConstr[[#This Row],[Swamp]],-1,0)+TblConstr[[#This Row],[Ch_Swamp]]</f>
        <v>5</v>
      </c>
      <c r="L118" s="197" t="n">
        <f aca="false">OFFSET(TblConstr[[#This Row],[Cavern]],-1,0)+TblConstr[[#This Row],[Ch_Cavern]]</f>
        <v>6</v>
      </c>
      <c r="M118" s="198" t="n">
        <f aca="false">OFFSET(TblConstr[[#This Row],[Water]],-1,0)+TblConstr[[#This Row],[Ch_Water]]</f>
        <v>7</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5765305</v>
      </c>
      <c r="AL118" s="69" t="n">
        <f aca="false">TblProd[[#This Row],[Lumber]]</f>
        <v>555197</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8" s="69" t="n">
        <f aca="false">ROUNDDOWN( MAX(1 - MIN(facs_constr_factor*TblConstr[[#This Row],[Facs -DB]],facs_constr_max) + tech_1_11*TblTech[[#This Row],[11-1]] + tech_6_3_2*TblTech[[#This Row],[6-3]] + tech_5_2_3*TblTech[[#This Row],[5-2]], 1-global_constr_cap) * TblConstr[[#This Row],[RCPA Lumber]],0)</f>
        <v>200</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8" s="69" t="n">
        <f aca="false">ROUNDDOWN( MAX(1 - MIN(facs_constr_factor*TblConstr[[#This Row],[Facs DB]],facs_constr_max) + tech_1_11*TblTech[[#This Row],[1-11]] + tech_6_3_2*TblTech[[#This Row],[6-3]] + tech_5_2_3*TblTech[[#This Row],[5-2]], 1-global_constr_cap) * ROUND((TblConstr[[#This Row],[Land]]-250)*0.285 + 87.5 + 0/4.25,0),0)</f>
        <v>200</v>
      </c>
      <c r="AQ118" s="1" t="n">
        <f aca="false">TblConstr[[#This Row],[build -db]]*TblConstr[[#This Row],[CPA Platinum -DB]] + TblConstr[[#This Row],[build db]]*TblConstr[[#This Row],[CPA Platinum DB]]</f>
        <v>-65340</v>
      </c>
      <c r="AR118" s="1" t="n">
        <f aca="false">TblConstr[[#This Row],[build -db]]*TblConstr[[#This Row],[CPA Lumber -DB]]+TblConstr[[#This Row],[build db]]*TblConstr[[#This Row],[CPA Lumber DB]]</f>
        <v>-10800</v>
      </c>
      <c r="AS118" s="69" t="n">
        <f aca="false">MIN(SUM(OFFSET(TblConstr[[#This Row],[Plain]:[Water]],-1,0))+SUM(TblConstr[[#This Row],[Dest Hom]:[Dest Doc]])+IF(TblConstr[[#This Row],[Hour]]&gt;12,SUM(OFFSET(TblExplore[[#This Row],[Plains Explore]:[Water Explore]],-12,0)),0),SUM(TblConstr[[#This Row],[Hom]:[Doc]]))</f>
        <v>-54</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1345</v>
      </c>
      <c r="AW118" s="69" t="n">
        <f aca="false">ROUND((TblConstr[[#This Row],[Land]]-250 - IF(TblExplore[[#This Row],[Land Bonus]]&lt;&gt;0,20,0))*0.285 + 87.5 + 0/4.25,0)</f>
        <v>200</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646</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349</v>
      </c>
      <c r="DA118" s="69" t="n">
        <f aca="false">H118+SUM(T107:U118)+SUM(BD118:BE118)</f>
        <v>27</v>
      </c>
      <c r="DB118" s="1" t="n">
        <f aca="false">I118+SUM(V107:W118)+SUM(BF118:BG118)</f>
        <v>3</v>
      </c>
      <c r="DC118" s="69" t="n">
        <f aca="false">J118+SUM(X107:Y118)+SUM(BH118:BI118)</f>
        <v>59</v>
      </c>
      <c r="DD118" s="69" t="n">
        <f aca="false">K118+SUM(AB107:AD118)+SUM(BL118:BN118)</f>
        <v>81</v>
      </c>
      <c r="DE118" s="1" t="n">
        <f aca="false">L118+SUM(AE107:AE118)+BO118</f>
        <v>6</v>
      </c>
      <c r="DF118" s="69" t="n">
        <f aca="false">M118+SUM(AG107:AG118)+BQ118</f>
        <v>31</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-54</v>
      </c>
      <c r="C119" s="172" t="n">
        <f aca="false">SUM(TblConstr[[#This Row],[Tot Hom]:[Tot Doc]])</f>
        <v>700</v>
      </c>
      <c r="D119" s="172" t="n">
        <f aca="false">SUM(O108:AG119)</f>
        <v>0</v>
      </c>
      <c r="E119" s="173"/>
      <c r="F119" s="33" t="n">
        <f aca="false">TblConstr[[#This Row],[Barren]]+TblConstr[[#This Row],[Buildings]]+TblConstr[[#This Row],[Incoming]]</f>
        <v>646</v>
      </c>
      <c r="G119" s="199" t="n">
        <f aca="false">OFFSET(TblConstr[[#This Row],[Plain]],-1,0)+TblConstr[[#This Row],[Ch_Plain]]</f>
        <v>-81</v>
      </c>
      <c r="H119" s="193" t="n">
        <f aca="false">OFFSET(TblConstr[[#This Row],[Forest]],-1,0)+TblConstr[[#This Row],[Ch_Forest]]</f>
        <v>2</v>
      </c>
      <c r="I119" s="200" t="n">
        <f aca="false">OFFSET(TblConstr[[#This Row],[Mountain]],-1,0)+TblConstr[[#This Row],[Ch_Mountain]]</f>
        <v>3</v>
      </c>
      <c r="J119" s="201" t="n">
        <f aca="false">OFFSET(TblConstr[[#This Row],[Hill]],-1,0)+TblConstr[[#This Row],[Ch_Hill]]</f>
        <v>4</v>
      </c>
      <c r="K119" s="202" t="n">
        <f aca="false">OFFSET(TblConstr[[#This Row],[Swamp]],-1,0)+TblConstr[[#This Row],[Ch_Swamp]]</f>
        <v>5</v>
      </c>
      <c r="L119" s="197" t="n">
        <f aca="false">OFFSET(TblConstr[[#This Row],[Cavern]],-1,0)+TblConstr[[#This Row],[Ch_Cavern]]</f>
        <v>6</v>
      </c>
      <c r="M119" s="198" t="n">
        <f aca="false">OFFSET(TblConstr[[#This Row],[Water]],-1,0)+TblConstr[[#This Row],[Ch_Water]]</f>
        <v>7</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5860224</v>
      </c>
      <c r="AL119" s="69" t="n">
        <f aca="false">TblProd[[#This Row],[Lumber]]</f>
        <v>561570</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19" s="69" t="n">
        <f aca="false">ROUNDDOWN( MAX(1 - MIN(facs_constr_factor*TblConstr[[#This Row],[Facs -DB]],facs_constr_max) + tech_1_11*TblTech[[#This Row],[11-1]] + tech_6_3_2*TblTech[[#This Row],[6-3]] + tech_5_2_3*TblTech[[#This Row],[5-2]], 1-global_constr_cap) * TblConstr[[#This Row],[RCPA Lumber]],0)</f>
        <v>200</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19" s="69" t="n">
        <f aca="false">ROUNDDOWN( MAX(1 - MIN(facs_constr_factor*TblConstr[[#This Row],[Facs DB]],facs_constr_max) + tech_1_11*TblTech[[#This Row],[1-11]] + tech_6_3_2*TblTech[[#This Row],[6-3]] + tech_5_2_3*TblTech[[#This Row],[5-2]], 1-global_constr_cap) * ROUND((TblConstr[[#This Row],[Land]]-250)*0.285 + 87.5 + 0/4.25,0),0)</f>
        <v>200</v>
      </c>
      <c r="AQ119" s="1" t="n">
        <f aca="false">TblConstr[[#This Row],[build -db]]*TblConstr[[#This Row],[CPA Platinum -DB]] + TblConstr[[#This Row],[build db]]*TblConstr[[#This Row],[CPA Platinum DB]]</f>
        <v>-65340</v>
      </c>
      <c r="AR119" s="1" t="n">
        <f aca="false">TblConstr[[#This Row],[build -db]]*TblConstr[[#This Row],[CPA Lumber -DB]]+TblConstr[[#This Row],[build db]]*TblConstr[[#This Row],[CPA Lumber DB]]</f>
        <v>-10800</v>
      </c>
      <c r="AS119" s="69" t="n">
        <f aca="false">MIN(SUM(OFFSET(TblConstr[[#This Row],[Plain]:[Water]],-1,0))+SUM(TblConstr[[#This Row],[Dest Hom]:[Dest Doc]])+IF(TblConstr[[#This Row],[Hour]]&gt;12,SUM(OFFSET(TblExplore[[#This Row],[Plains Explore]:[Water Explore]],-12,0)),0),SUM(TblConstr[[#This Row],[Hom]:[Doc]]))</f>
        <v>-54</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1345</v>
      </c>
      <c r="AW119" s="69" t="n">
        <f aca="false">ROUND((TblConstr[[#This Row],[Land]]-250 - IF(TblExplore[[#This Row],[Land Bonus]]&lt;&gt;0,20,0))*0.285 + 87.5 + 0/4.25,0)</f>
        <v>200</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646</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349</v>
      </c>
      <c r="DA119" s="69" t="n">
        <f aca="false">H119+SUM(T108:U119)+SUM(BD119:BE119)</f>
        <v>27</v>
      </c>
      <c r="DB119" s="1" t="n">
        <f aca="false">I119+SUM(V108:W119)+SUM(BF119:BG119)</f>
        <v>3</v>
      </c>
      <c r="DC119" s="69" t="n">
        <f aca="false">J119+SUM(X108:Y119)+SUM(BH119:BI119)</f>
        <v>59</v>
      </c>
      <c r="DD119" s="69" t="n">
        <f aca="false">K119+SUM(AB108:AD119)+SUM(BL119:BN119)</f>
        <v>81</v>
      </c>
      <c r="DE119" s="1" t="n">
        <f aca="false">L119+SUM(AE108:AE119)+BO119</f>
        <v>6</v>
      </c>
      <c r="DF119" s="69" t="n">
        <f aca="false">M119+SUM(AG108:AG119)+BQ119</f>
        <v>31</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-54</v>
      </c>
      <c r="C120" s="172" t="n">
        <f aca="false">SUM(TblConstr[[#This Row],[Tot Hom]:[Tot Doc]])</f>
        <v>700</v>
      </c>
      <c r="D120" s="172" t="n">
        <f aca="false">SUM(O109:AG120)</f>
        <v>0</v>
      </c>
      <c r="E120" s="173"/>
      <c r="F120" s="33" t="n">
        <f aca="false">TblConstr[[#This Row],[Barren]]+TblConstr[[#This Row],[Buildings]]+TblConstr[[#This Row],[Incoming]]</f>
        <v>646</v>
      </c>
      <c r="G120" s="199" t="n">
        <f aca="false">OFFSET(TblConstr[[#This Row],[Plain]],-1,0)+TblConstr[[#This Row],[Ch_Plain]]</f>
        <v>-81</v>
      </c>
      <c r="H120" s="193" t="n">
        <f aca="false">OFFSET(TblConstr[[#This Row],[Forest]],-1,0)+TblConstr[[#This Row],[Ch_Forest]]</f>
        <v>2</v>
      </c>
      <c r="I120" s="200" t="n">
        <f aca="false">OFFSET(TblConstr[[#This Row],[Mountain]],-1,0)+TblConstr[[#This Row],[Ch_Mountain]]</f>
        <v>3</v>
      </c>
      <c r="J120" s="201" t="n">
        <f aca="false">OFFSET(TblConstr[[#This Row],[Hill]],-1,0)+TblConstr[[#This Row],[Ch_Hill]]</f>
        <v>4</v>
      </c>
      <c r="K120" s="202" t="n">
        <f aca="false">OFFSET(TblConstr[[#This Row],[Swamp]],-1,0)+TblConstr[[#This Row],[Ch_Swamp]]</f>
        <v>5</v>
      </c>
      <c r="L120" s="197" t="n">
        <f aca="false">OFFSET(TblConstr[[#This Row],[Cavern]],-1,0)+TblConstr[[#This Row],[Ch_Cavern]]</f>
        <v>6</v>
      </c>
      <c r="M120" s="198" t="n">
        <f aca="false">OFFSET(TblConstr[[#This Row],[Water]],-1,0)+TblConstr[[#This Row],[Ch_Water]]</f>
        <v>7</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5954970</v>
      </c>
      <c r="AL120" s="69" t="n">
        <f aca="false">TblProd[[#This Row],[Lumber]]</f>
        <v>567879</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0" s="69" t="n">
        <f aca="false">ROUNDDOWN( MAX(1 - MIN(facs_constr_factor*TblConstr[[#This Row],[Facs -DB]],facs_constr_max) + tech_1_11*TblTech[[#This Row],[11-1]] + tech_6_3_2*TblTech[[#This Row],[6-3]] + tech_5_2_3*TblTech[[#This Row],[5-2]], 1-global_constr_cap) * TblConstr[[#This Row],[RCPA Lumber]],0)</f>
        <v>200</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0" s="69" t="n">
        <f aca="false">ROUNDDOWN( MAX(1 - MIN(facs_constr_factor*TblConstr[[#This Row],[Facs DB]],facs_constr_max) + tech_1_11*TblTech[[#This Row],[1-11]] + tech_6_3_2*TblTech[[#This Row],[6-3]] + tech_5_2_3*TblTech[[#This Row],[5-2]], 1-global_constr_cap) * ROUND((TblConstr[[#This Row],[Land]]-250)*0.285 + 87.5 + 0/4.25,0),0)</f>
        <v>200</v>
      </c>
      <c r="AQ120" s="1" t="n">
        <f aca="false">TblConstr[[#This Row],[build -db]]*TblConstr[[#This Row],[CPA Platinum -DB]] + TblConstr[[#This Row],[build db]]*TblConstr[[#This Row],[CPA Platinum DB]]</f>
        <v>-65340</v>
      </c>
      <c r="AR120" s="1" t="n">
        <f aca="false">TblConstr[[#This Row],[build -db]]*TblConstr[[#This Row],[CPA Lumber -DB]]+TblConstr[[#This Row],[build db]]*TblConstr[[#This Row],[CPA Lumber DB]]</f>
        <v>-10800</v>
      </c>
      <c r="AS120" s="69" t="n">
        <f aca="false">MIN(SUM(OFFSET(TblConstr[[#This Row],[Plain]:[Water]],-1,0))+SUM(TblConstr[[#This Row],[Dest Hom]:[Dest Doc]])+IF(TblConstr[[#This Row],[Hour]]&gt;12,SUM(OFFSET(TblExplore[[#This Row],[Plains Explore]:[Water Explore]],-12,0)),0),SUM(TblConstr[[#This Row],[Hom]:[Doc]]))</f>
        <v>-54</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1345</v>
      </c>
      <c r="AW120" s="69" t="n">
        <f aca="false">ROUND((TblConstr[[#This Row],[Land]]-250 - IF(TblExplore[[#This Row],[Land Bonus]]&lt;&gt;0,20,0))*0.285 + 87.5 + 0/4.25,0)</f>
        <v>200</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646</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349</v>
      </c>
      <c r="DA120" s="69" t="n">
        <f aca="false">H120+SUM(T109:U120)+SUM(BD120:BE120)</f>
        <v>27</v>
      </c>
      <c r="DB120" s="1" t="n">
        <f aca="false">I120+SUM(V109:W120)+SUM(BF120:BG120)</f>
        <v>3</v>
      </c>
      <c r="DC120" s="69" t="n">
        <f aca="false">J120+SUM(X109:Y120)+SUM(BH120:BI120)</f>
        <v>59</v>
      </c>
      <c r="DD120" s="69" t="n">
        <f aca="false">K120+SUM(AB109:AD120)+SUM(BL120:BN120)</f>
        <v>81</v>
      </c>
      <c r="DE120" s="1" t="n">
        <f aca="false">L120+SUM(AE109:AE120)+BO120</f>
        <v>6</v>
      </c>
      <c r="DF120" s="69" t="n">
        <f aca="false">M120+SUM(AG109:AG120)+BQ120</f>
        <v>31</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-54</v>
      </c>
      <c r="C121" s="172" t="n">
        <f aca="false">SUM(TblConstr[[#This Row],[Tot Hom]:[Tot Doc]])</f>
        <v>700</v>
      </c>
      <c r="D121" s="172" t="n">
        <f aca="false">SUM(O110:AG121)</f>
        <v>0</v>
      </c>
      <c r="E121" s="173"/>
      <c r="F121" s="33" t="n">
        <f aca="false">TblConstr[[#This Row],[Barren]]+TblConstr[[#This Row],[Buildings]]+TblConstr[[#This Row],[Incoming]]</f>
        <v>646</v>
      </c>
      <c r="G121" s="199" t="n">
        <f aca="false">OFFSET(TblConstr[[#This Row],[Plain]],-1,0)+TblConstr[[#This Row],[Ch_Plain]]</f>
        <v>-81</v>
      </c>
      <c r="H121" s="193" t="n">
        <f aca="false">OFFSET(TblConstr[[#This Row],[Forest]],-1,0)+TblConstr[[#This Row],[Ch_Forest]]</f>
        <v>2</v>
      </c>
      <c r="I121" s="200" t="n">
        <f aca="false">OFFSET(TblConstr[[#This Row],[Mountain]],-1,0)+TblConstr[[#This Row],[Ch_Mountain]]</f>
        <v>3</v>
      </c>
      <c r="J121" s="201" t="n">
        <f aca="false">OFFSET(TblConstr[[#This Row],[Hill]],-1,0)+TblConstr[[#This Row],[Ch_Hill]]</f>
        <v>4</v>
      </c>
      <c r="K121" s="202" t="n">
        <f aca="false">OFFSET(TblConstr[[#This Row],[Swamp]],-1,0)+TblConstr[[#This Row],[Ch_Swamp]]</f>
        <v>5</v>
      </c>
      <c r="L121" s="197" t="n">
        <f aca="false">OFFSET(TblConstr[[#This Row],[Cavern]],-1,0)+TblConstr[[#This Row],[Ch_Cavern]]</f>
        <v>6</v>
      </c>
      <c r="M121" s="198" t="n">
        <f aca="false">OFFSET(TblConstr[[#This Row],[Water]],-1,0)+TblConstr[[#This Row],[Ch_Water]]</f>
        <v>7</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6049546</v>
      </c>
      <c r="AL121" s="69" t="n">
        <f aca="false">TblProd[[#This Row],[Lumber]]</f>
        <v>574125</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1" s="69" t="n">
        <f aca="false">ROUNDDOWN( MAX(1 - MIN(facs_constr_factor*TblConstr[[#This Row],[Facs -DB]],facs_constr_max) + tech_1_11*TblTech[[#This Row],[11-1]] + tech_6_3_2*TblTech[[#This Row],[6-3]] + tech_5_2_3*TblTech[[#This Row],[5-2]], 1-global_constr_cap) * TblConstr[[#This Row],[RCPA Lumber]],0)</f>
        <v>200</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1" s="69" t="n">
        <f aca="false">ROUNDDOWN( MAX(1 - MIN(facs_constr_factor*TblConstr[[#This Row],[Facs DB]],facs_constr_max) + tech_1_11*TblTech[[#This Row],[1-11]] + tech_6_3_2*TblTech[[#This Row],[6-3]] + tech_5_2_3*TblTech[[#This Row],[5-2]], 1-global_constr_cap) * ROUND((TblConstr[[#This Row],[Land]]-250)*0.285 + 87.5 + 0/4.25,0),0)</f>
        <v>200</v>
      </c>
      <c r="AQ121" s="1" t="n">
        <f aca="false">TblConstr[[#This Row],[build -db]]*TblConstr[[#This Row],[CPA Platinum -DB]] + TblConstr[[#This Row],[build db]]*TblConstr[[#This Row],[CPA Platinum DB]]</f>
        <v>-65340</v>
      </c>
      <c r="AR121" s="1" t="n">
        <f aca="false">TblConstr[[#This Row],[build -db]]*TblConstr[[#This Row],[CPA Lumber -DB]]+TblConstr[[#This Row],[build db]]*TblConstr[[#This Row],[CPA Lumber DB]]</f>
        <v>-10800</v>
      </c>
      <c r="AS121" s="69" t="n">
        <f aca="false">MIN(SUM(OFFSET(TblConstr[[#This Row],[Plain]:[Water]],-1,0))+SUM(TblConstr[[#This Row],[Dest Hom]:[Dest Doc]])+IF(TblConstr[[#This Row],[Hour]]&gt;12,SUM(OFFSET(TblExplore[[#This Row],[Plains Explore]:[Water Explore]],-12,0)),0),SUM(TblConstr[[#This Row],[Hom]:[Doc]]))</f>
        <v>-54</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1345</v>
      </c>
      <c r="AW121" s="69" t="n">
        <f aca="false">ROUND((TblConstr[[#This Row],[Land]]-250 - IF(TblExplore[[#This Row],[Land Bonus]]&lt;&gt;0,20,0))*0.285 + 87.5 + 0/4.25,0)</f>
        <v>200</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646</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349</v>
      </c>
      <c r="DA121" s="69" t="n">
        <f aca="false">H121+SUM(T110:U121)+SUM(BD121:BE121)</f>
        <v>27</v>
      </c>
      <c r="DB121" s="1" t="n">
        <f aca="false">I121+SUM(V110:W121)+SUM(BF121:BG121)</f>
        <v>3</v>
      </c>
      <c r="DC121" s="69" t="n">
        <f aca="false">J121+SUM(X110:Y121)+SUM(BH121:BI121)</f>
        <v>59</v>
      </c>
      <c r="DD121" s="69" t="n">
        <f aca="false">K121+SUM(AB110:AD121)+SUM(BL121:BN121)</f>
        <v>81</v>
      </c>
      <c r="DE121" s="1" t="n">
        <f aca="false">L121+SUM(AE110:AE121)+BO121</f>
        <v>6</v>
      </c>
      <c r="DF121" s="69" t="n">
        <f aca="false">M121+SUM(AG110:AG121)+BQ121</f>
        <v>31</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-54</v>
      </c>
      <c r="C122" s="172" t="n">
        <f aca="false">SUM(TblConstr[[#This Row],[Tot Hom]:[Tot Doc]])</f>
        <v>700</v>
      </c>
      <c r="D122" s="172" t="n">
        <f aca="false">SUM(O111:AG122)</f>
        <v>0</v>
      </c>
      <c r="E122" s="173"/>
      <c r="F122" s="33" t="n">
        <f aca="false">TblConstr[[#This Row],[Barren]]+TblConstr[[#This Row],[Buildings]]+TblConstr[[#This Row],[Incoming]]</f>
        <v>646</v>
      </c>
      <c r="G122" s="199" t="n">
        <f aca="false">OFFSET(TblConstr[[#This Row],[Plain]],-1,0)+TblConstr[[#This Row],[Ch_Plain]]</f>
        <v>-81</v>
      </c>
      <c r="H122" s="193" t="n">
        <f aca="false">OFFSET(TblConstr[[#This Row],[Forest]],-1,0)+TblConstr[[#This Row],[Ch_Forest]]</f>
        <v>2</v>
      </c>
      <c r="I122" s="200" t="n">
        <f aca="false">OFFSET(TblConstr[[#This Row],[Mountain]],-1,0)+TblConstr[[#This Row],[Ch_Mountain]]</f>
        <v>3</v>
      </c>
      <c r="J122" s="201" t="n">
        <f aca="false">OFFSET(TblConstr[[#This Row],[Hill]],-1,0)+TblConstr[[#This Row],[Ch_Hill]]</f>
        <v>4</v>
      </c>
      <c r="K122" s="202" t="n">
        <f aca="false">OFFSET(TblConstr[[#This Row],[Swamp]],-1,0)+TblConstr[[#This Row],[Ch_Swamp]]</f>
        <v>5</v>
      </c>
      <c r="L122" s="197" t="n">
        <f aca="false">OFFSET(TblConstr[[#This Row],[Cavern]],-1,0)+TblConstr[[#This Row],[Ch_Cavern]]</f>
        <v>6</v>
      </c>
      <c r="M122" s="198" t="n">
        <f aca="false">OFFSET(TblConstr[[#This Row],[Water]],-1,0)+TblConstr[[#This Row],[Ch_Water]]</f>
        <v>7</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6143955</v>
      </c>
      <c r="AL122" s="69" t="n">
        <f aca="false">TblProd[[#This Row],[Lumber]]</f>
        <v>580309</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2" s="69" t="n">
        <f aca="false">ROUNDDOWN( MAX(1 - MIN(facs_constr_factor*TblConstr[[#This Row],[Facs -DB]],facs_constr_max) + tech_1_11*TblTech[[#This Row],[11-1]] + tech_6_3_2*TblTech[[#This Row],[6-3]] + tech_5_2_3*TblTech[[#This Row],[5-2]], 1-global_constr_cap) * TblConstr[[#This Row],[RCPA Lumber]],0)</f>
        <v>200</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2" s="69" t="n">
        <f aca="false">ROUNDDOWN( MAX(1 - MIN(facs_constr_factor*TblConstr[[#This Row],[Facs DB]],facs_constr_max) + tech_1_11*TblTech[[#This Row],[1-11]] + tech_6_3_2*TblTech[[#This Row],[6-3]] + tech_5_2_3*TblTech[[#This Row],[5-2]], 1-global_constr_cap) * ROUND((TblConstr[[#This Row],[Land]]-250)*0.285 + 87.5 + 0/4.25,0),0)</f>
        <v>200</v>
      </c>
      <c r="AQ122" s="1" t="n">
        <f aca="false">TblConstr[[#This Row],[build -db]]*TblConstr[[#This Row],[CPA Platinum -DB]] + TblConstr[[#This Row],[build db]]*TblConstr[[#This Row],[CPA Platinum DB]]</f>
        <v>-65340</v>
      </c>
      <c r="AR122" s="1" t="n">
        <f aca="false">TblConstr[[#This Row],[build -db]]*TblConstr[[#This Row],[CPA Lumber -DB]]+TblConstr[[#This Row],[build db]]*TblConstr[[#This Row],[CPA Lumber DB]]</f>
        <v>-10800</v>
      </c>
      <c r="AS122" s="69" t="n">
        <f aca="false">MIN(SUM(OFFSET(TblConstr[[#This Row],[Plain]:[Water]],-1,0))+SUM(TblConstr[[#This Row],[Dest Hom]:[Dest Doc]])+IF(TblConstr[[#This Row],[Hour]]&gt;12,SUM(OFFSET(TblExplore[[#This Row],[Plains Explore]:[Water Explore]],-12,0)),0),SUM(TblConstr[[#This Row],[Hom]:[Doc]]))</f>
        <v>-54</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1345</v>
      </c>
      <c r="AW122" s="69" t="n">
        <f aca="false">ROUND((TblConstr[[#This Row],[Land]]-250 - IF(TblExplore[[#This Row],[Land Bonus]]&lt;&gt;0,20,0))*0.285 + 87.5 + 0/4.25,0)</f>
        <v>200</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646</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349</v>
      </c>
      <c r="DA122" s="69" t="n">
        <f aca="false">H122+SUM(T111:U122)+SUM(BD122:BE122)</f>
        <v>27</v>
      </c>
      <c r="DB122" s="1" t="n">
        <f aca="false">I122+SUM(V111:W122)+SUM(BF122:BG122)</f>
        <v>3</v>
      </c>
      <c r="DC122" s="69" t="n">
        <f aca="false">J122+SUM(X111:Y122)+SUM(BH122:BI122)</f>
        <v>59</v>
      </c>
      <c r="DD122" s="69" t="n">
        <f aca="false">K122+SUM(AB111:AD122)+SUM(BL122:BN122)</f>
        <v>81</v>
      </c>
      <c r="DE122" s="1" t="n">
        <f aca="false">L122+SUM(AE111:AE122)+BO122</f>
        <v>6</v>
      </c>
      <c r="DF122" s="69" t="n">
        <f aca="false">M122+SUM(AG111:AG122)+BQ122</f>
        <v>31</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-54</v>
      </c>
      <c r="C123" s="172" t="n">
        <f aca="false">SUM(TblConstr[[#This Row],[Tot Hom]:[Tot Doc]])</f>
        <v>700</v>
      </c>
      <c r="D123" s="172" t="n">
        <f aca="false">SUM(O112:AG123)</f>
        <v>0</v>
      </c>
      <c r="E123" s="173"/>
      <c r="F123" s="33" t="n">
        <f aca="false">TblConstr[[#This Row],[Barren]]+TblConstr[[#This Row],[Buildings]]+TblConstr[[#This Row],[Incoming]]</f>
        <v>646</v>
      </c>
      <c r="G123" s="199" t="n">
        <f aca="false">OFFSET(TblConstr[[#This Row],[Plain]],-1,0)+TblConstr[[#This Row],[Ch_Plain]]</f>
        <v>-81</v>
      </c>
      <c r="H123" s="193" t="n">
        <f aca="false">OFFSET(TblConstr[[#This Row],[Forest]],-1,0)+TblConstr[[#This Row],[Ch_Forest]]</f>
        <v>2</v>
      </c>
      <c r="I123" s="200" t="n">
        <f aca="false">OFFSET(TblConstr[[#This Row],[Mountain]],-1,0)+TblConstr[[#This Row],[Ch_Mountain]]</f>
        <v>3</v>
      </c>
      <c r="J123" s="201" t="n">
        <f aca="false">OFFSET(TblConstr[[#This Row],[Hill]],-1,0)+TblConstr[[#This Row],[Ch_Hill]]</f>
        <v>4</v>
      </c>
      <c r="K123" s="202" t="n">
        <f aca="false">OFFSET(TblConstr[[#This Row],[Swamp]],-1,0)+TblConstr[[#This Row],[Ch_Swamp]]</f>
        <v>5</v>
      </c>
      <c r="L123" s="197" t="n">
        <f aca="false">OFFSET(TblConstr[[#This Row],[Cavern]],-1,0)+TblConstr[[#This Row],[Ch_Cavern]]</f>
        <v>6</v>
      </c>
      <c r="M123" s="198" t="n">
        <f aca="false">OFFSET(TblConstr[[#This Row],[Water]],-1,0)+TblConstr[[#This Row],[Ch_Water]]</f>
        <v>7</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6238196</v>
      </c>
      <c r="AL123" s="69" t="n">
        <f aca="false">TblProd[[#This Row],[Lumber]]</f>
        <v>586431</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3" s="69" t="n">
        <f aca="false">ROUNDDOWN( MAX(1 - MIN(facs_constr_factor*TblConstr[[#This Row],[Facs -DB]],facs_constr_max) + tech_1_11*TblTech[[#This Row],[11-1]] + tech_6_3_2*TblTech[[#This Row],[6-3]] + tech_5_2_3*TblTech[[#This Row],[5-2]], 1-global_constr_cap) * TblConstr[[#This Row],[RCPA Lumber]],0)</f>
        <v>200</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3" s="69" t="n">
        <f aca="false">ROUNDDOWN( MAX(1 - MIN(facs_constr_factor*TblConstr[[#This Row],[Facs DB]],facs_constr_max) + tech_1_11*TblTech[[#This Row],[1-11]] + tech_6_3_2*TblTech[[#This Row],[6-3]] + tech_5_2_3*TblTech[[#This Row],[5-2]], 1-global_constr_cap) * ROUND((TblConstr[[#This Row],[Land]]-250)*0.285 + 87.5 + 0/4.25,0),0)</f>
        <v>200</v>
      </c>
      <c r="AQ123" s="1" t="n">
        <f aca="false">TblConstr[[#This Row],[build -db]]*TblConstr[[#This Row],[CPA Platinum -DB]] + TblConstr[[#This Row],[build db]]*TblConstr[[#This Row],[CPA Platinum DB]]</f>
        <v>-65340</v>
      </c>
      <c r="AR123" s="1" t="n">
        <f aca="false">TblConstr[[#This Row],[build -db]]*TblConstr[[#This Row],[CPA Lumber -DB]]+TblConstr[[#This Row],[build db]]*TblConstr[[#This Row],[CPA Lumber DB]]</f>
        <v>-10800</v>
      </c>
      <c r="AS123" s="69" t="n">
        <f aca="false">MIN(SUM(OFFSET(TblConstr[[#This Row],[Plain]:[Water]],-1,0))+SUM(TblConstr[[#This Row],[Dest Hom]:[Dest Doc]])+IF(TblConstr[[#This Row],[Hour]]&gt;12,SUM(OFFSET(TblExplore[[#This Row],[Plains Explore]:[Water Explore]],-12,0)),0),SUM(TblConstr[[#This Row],[Hom]:[Doc]]))</f>
        <v>-54</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1345</v>
      </c>
      <c r="AW123" s="69" t="n">
        <f aca="false">ROUND((TblConstr[[#This Row],[Land]]-250 - IF(TblExplore[[#This Row],[Land Bonus]]&lt;&gt;0,20,0))*0.285 + 87.5 + 0/4.25,0)</f>
        <v>200</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646</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349</v>
      </c>
      <c r="DA123" s="69" t="n">
        <f aca="false">H123+SUM(T112:U123)+SUM(BD123:BE123)</f>
        <v>27</v>
      </c>
      <c r="DB123" s="1" t="n">
        <f aca="false">I123+SUM(V112:W123)+SUM(BF123:BG123)</f>
        <v>3</v>
      </c>
      <c r="DC123" s="69" t="n">
        <f aca="false">J123+SUM(X112:Y123)+SUM(BH123:BI123)</f>
        <v>59</v>
      </c>
      <c r="DD123" s="69" t="n">
        <f aca="false">K123+SUM(AB112:AD123)+SUM(BL123:BN123)</f>
        <v>81</v>
      </c>
      <c r="DE123" s="1" t="n">
        <f aca="false">L123+SUM(AE112:AE123)+BO123</f>
        <v>6</v>
      </c>
      <c r="DF123" s="69" t="n">
        <f aca="false">M123+SUM(AG112:AG123)+BQ123</f>
        <v>31</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-54</v>
      </c>
      <c r="C124" s="172" t="n">
        <f aca="false">SUM(TblConstr[[#This Row],[Tot Hom]:[Tot Doc]])</f>
        <v>700</v>
      </c>
      <c r="D124" s="172" t="n">
        <f aca="false">SUM(O113:AG124)</f>
        <v>0</v>
      </c>
      <c r="E124" s="173"/>
      <c r="F124" s="33" t="n">
        <f aca="false">TblConstr[[#This Row],[Barren]]+TblConstr[[#This Row],[Buildings]]+TblConstr[[#This Row],[Incoming]]</f>
        <v>646</v>
      </c>
      <c r="G124" s="199" t="n">
        <f aca="false">OFFSET(TblConstr[[#This Row],[Plain]],-1,0)+TblConstr[[#This Row],[Ch_Plain]]</f>
        <v>-81</v>
      </c>
      <c r="H124" s="193" t="n">
        <f aca="false">OFFSET(TblConstr[[#This Row],[Forest]],-1,0)+TblConstr[[#This Row],[Ch_Forest]]</f>
        <v>2</v>
      </c>
      <c r="I124" s="200" t="n">
        <f aca="false">OFFSET(TblConstr[[#This Row],[Mountain]],-1,0)+TblConstr[[#This Row],[Ch_Mountain]]</f>
        <v>3</v>
      </c>
      <c r="J124" s="201" t="n">
        <f aca="false">OFFSET(TblConstr[[#This Row],[Hill]],-1,0)+TblConstr[[#This Row],[Ch_Hill]]</f>
        <v>4</v>
      </c>
      <c r="K124" s="202" t="n">
        <f aca="false">OFFSET(TblConstr[[#This Row],[Swamp]],-1,0)+TblConstr[[#This Row],[Ch_Swamp]]</f>
        <v>5</v>
      </c>
      <c r="L124" s="197" t="n">
        <f aca="false">OFFSET(TblConstr[[#This Row],[Cavern]],-1,0)+TblConstr[[#This Row],[Ch_Cavern]]</f>
        <v>6</v>
      </c>
      <c r="M124" s="198" t="n">
        <f aca="false">OFFSET(TblConstr[[#This Row],[Water]],-1,0)+TblConstr[[#This Row],[Ch_Water]]</f>
        <v>7</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6332273</v>
      </c>
      <c r="AL124" s="69" t="n">
        <f aca="false">TblProd[[#This Row],[Lumber]]</f>
        <v>592492</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4" s="69" t="n">
        <f aca="false">ROUNDDOWN( MAX(1 - MIN(facs_constr_factor*TblConstr[[#This Row],[Facs -DB]],facs_constr_max) + tech_1_11*TblTech[[#This Row],[11-1]] + tech_6_3_2*TblTech[[#This Row],[6-3]] + tech_5_2_3*TblTech[[#This Row],[5-2]], 1-global_constr_cap) * TblConstr[[#This Row],[RCPA Lumber]],0)</f>
        <v>200</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4" s="69" t="n">
        <f aca="false">ROUNDDOWN( MAX(1 - MIN(facs_constr_factor*TblConstr[[#This Row],[Facs DB]],facs_constr_max) + tech_1_11*TblTech[[#This Row],[1-11]] + tech_6_3_2*TblTech[[#This Row],[6-3]] + tech_5_2_3*TblTech[[#This Row],[5-2]], 1-global_constr_cap) * ROUND((TblConstr[[#This Row],[Land]]-250)*0.285 + 87.5 + 0/4.25,0),0)</f>
        <v>200</v>
      </c>
      <c r="AQ124" s="1" t="n">
        <f aca="false">TblConstr[[#This Row],[build -db]]*TblConstr[[#This Row],[CPA Platinum -DB]] + TblConstr[[#This Row],[build db]]*TblConstr[[#This Row],[CPA Platinum DB]]</f>
        <v>-65340</v>
      </c>
      <c r="AR124" s="1" t="n">
        <f aca="false">TblConstr[[#This Row],[build -db]]*TblConstr[[#This Row],[CPA Lumber -DB]]+TblConstr[[#This Row],[build db]]*TblConstr[[#This Row],[CPA Lumber DB]]</f>
        <v>-10800</v>
      </c>
      <c r="AS124" s="69" t="n">
        <f aca="false">MIN(SUM(OFFSET(TblConstr[[#This Row],[Plain]:[Water]],-1,0))+SUM(TblConstr[[#This Row],[Dest Hom]:[Dest Doc]])+IF(TblConstr[[#This Row],[Hour]]&gt;12,SUM(OFFSET(TblExplore[[#This Row],[Plains Explore]:[Water Explore]],-12,0)),0),SUM(TblConstr[[#This Row],[Hom]:[Doc]]))</f>
        <v>-54</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1345</v>
      </c>
      <c r="AW124" s="69" t="n">
        <f aca="false">ROUND((TblConstr[[#This Row],[Land]]-250 - IF(TblExplore[[#This Row],[Land Bonus]]&lt;&gt;0,20,0))*0.285 + 87.5 + 0/4.25,0)</f>
        <v>200</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646</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349</v>
      </c>
      <c r="DA124" s="69" t="n">
        <f aca="false">H124+SUM(T113:U124)+SUM(BD124:BE124)</f>
        <v>27</v>
      </c>
      <c r="DB124" s="1" t="n">
        <f aca="false">I124+SUM(V113:W124)+SUM(BF124:BG124)</f>
        <v>3</v>
      </c>
      <c r="DC124" s="69" t="n">
        <f aca="false">J124+SUM(X113:Y124)+SUM(BH124:BI124)</f>
        <v>59</v>
      </c>
      <c r="DD124" s="69" t="n">
        <f aca="false">K124+SUM(AB113:AD124)+SUM(BL124:BN124)</f>
        <v>81</v>
      </c>
      <c r="DE124" s="1" t="n">
        <f aca="false">L124+SUM(AE113:AE124)+BO124</f>
        <v>6</v>
      </c>
      <c r="DF124" s="69" t="n">
        <f aca="false">M124+SUM(AG113:AG124)+BQ124</f>
        <v>31</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-54</v>
      </c>
      <c r="C125" s="172" t="n">
        <f aca="false">SUM(TblConstr[[#This Row],[Tot Hom]:[Tot Doc]])</f>
        <v>700</v>
      </c>
      <c r="D125" s="172" t="n">
        <f aca="false">SUM(O114:AG125)</f>
        <v>0</v>
      </c>
      <c r="E125" s="173"/>
      <c r="F125" s="33" t="n">
        <f aca="false">TblConstr[[#This Row],[Barren]]+TblConstr[[#This Row],[Buildings]]+TblConstr[[#This Row],[Incoming]]</f>
        <v>646</v>
      </c>
      <c r="G125" s="199" t="n">
        <f aca="false">OFFSET(TblConstr[[#This Row],[Plain]],-1,0)+TblConstr[[#This Row],[Ch_Plain]]</f>
        <v>-81</v>
      </c>
      <c r="H125" s="193" t="n">
        <f aca="false">OFFSET(TblConstr[[#This Row],[Forest]],-1,0)+TblConstr[[#This Row],[Ch_Forest]]</f>
        <v>2</v>
      </c>
      <c r="I125" s="200" t="n">
        <f aca="false">OFFSET(TblConstr[[#This Row],[Mountain]],-1,0)+TblConstr[[#This Row],[Ch_Mountain]]</f>
        <v>3</v>
      </c>
      <c r="J125" s="201" t="n">
        <f aca="false">OFFSET(TblConstr[[#This Row],[Hill]],-1,0)+TblConstr[[#This Row],[Ch_Hill]]</f>
        <v>4</v>
      </c>
      <c r="K125" s="202" t="n">
        <f aca="false">OFFSET(TblConstr[[#This Row],[Swamp]],-1,0)+TblConstr[[#This Row],[Ch_Swamp]]</f>
        <v>5</v>
      </c>
      <c r="L125" s="197" t="n">
        <f aca="false">OFFSET(TblConstr[[#This Row],[Cavern]],-1,0)+TblConstr[[#This Row],[Ch_Cavern]]</f>
        <v>6</v>
      </c>
      <c r="M125" s="198" t="n">
        <f aca="false">OFFSET(TblConstr[[#This Row],[Water]],-1,0)+TblConstr[[#This Row],[Ch_Water]]</f>
        <v>7</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6426185</v>
      </c>
      <c r="AL125" s="69" t="n">
        <f aca="false">TblProd[[#This Row],[Lumber]]</f>
        <v>598492</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5" s="69" t="n">
        <f aca="false">ROUNDDOWN( MAX(1 - MIN(facs_constr_factor*TblConstr[[#This Row],[Facs -DB]],facs_constr_max) + tech_1_11*TblTech[[#This Row],[11-1]] + tech_6_3_2*TblTech[[#This Row],[6-3]] + tech_5_2_3*TblTech[[#This Row],[5-2]], 1-global_constr_cap) * TblConstr[[#This Row],[RCPA Lumber]],0)</f>
        <v>200</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5" s="69" t="n">
        <f aca="false">ROUNDDOWN( MAX(1 - MIN(facs_constr_factor*TblConstr[[#This Row],[Facs DB]],facs_constr_max) + tech_1_11*TblTech[[#This Row],[1-11]] + tech_6_3_2*TblTech[[#This Row],[6-3]] + tech_5_2_3*TblTech[[#This Row],[5-2]], 1-global_constr_cap) * ROUND((TblConstr[[#This Row],[Land]]-250)*0.285 + 87.5 + 0/4.25,0),0)</f>
        <v>200</v>
      </c>
      <c r="AQ125" s="1" t="n">
        <f aca="false">TblConstr[[#This Row],[build -db]]*TblConstr[[#This Row],[CPA Platinum -DB]] + TblConstr[[#This Row],[build db]]*TblConstr[[#This Row],[CPA Platinum DB]]</f>
        <v>-65340</v>
      </c>
      <c r="AR125" s="1" t="n">
        <f aca="false">TblConstr[[#This Row],[build -db]]*TblConstr[[#This Row],[CPA Lumber -DB]]+TblConstr[[#This Row],[build db]]*TblConstr[[#This Row],[CPA Lumber DB]]</f>
        <v>-10800</v>
      </c>
      <c r="AS125" s="69" t="n">
        <f aca="false">MIN(SUM(OFFSET(TblConstr[[#This Row],[Plain]:[Water]],-1,0))+SUM(TblConstr[[#This Row],[Dest Hom]:[Dest Doc]])+IF(TblConstr[[#This Row],[Hour]]&gt;12,SUM(OFFSET(TblExplore[[#This Row],[Plains Explore]:[Water Explore]],-12,0)),0),SUM(TblConstr[[#This Row],[Hom]:[Doc]]))</f>
        <v>-54</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1345</v>
      </c>
      <c r="AW125" s="69" t="n">
        <f aca="false">ROUND((TblConstr[[#This Row],[Land]]-250 - IF(TblExplore[[#This Row],[Land Bonus]]&lt;&gt;0,20,0))*0.285 + 87.5 + 0/4.25,0)</f>
        <v>200</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646</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349</v>
      </c>
      <c r="DA125" s="69" t="n">
        <f aca="false">H125+SUM(T114:U125)+SUM(BD125:BE125)</f>
        <v>27</v>
      </c>
      <c r="DB125" s="1" t="n">
        <f aca="false">I125+SUM(V114:W125)+SUM(BF125:BG125)</f>
        <v>3</v>
      </c>
      <c r="DC125" s="69" t="n">
        <f aca="false">J125+SUM(X114:Y125)+SUM(BH125:BI125)</f>
        <v>59</v>
      </c>
      <c r="DD125" s="69" t="n">
        <f aca="false">K125+SUM(AB114:AD125)+SUM(BL125:BN125)</f>
        <v>81</v>
      </c>
      <c r="DE125" s="1" t="n">
        <f aca="false">L125+SUM(AE114:AE125)+BO125</f>
        <v>6</v>
      </c>
      <c r="DF125" s="69" t="n">
        <f aca="false">M125+SUM(AG114:AG125)+BQ125</f>
        <v>31</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-54</v>
      </c>
      <c r="C126" s="172" t="n">
        <f aca="false">SUM(TblConstr[[#This Row],[Tot Hom]:[Tot Doc]])</f>
        <v>700</v>
      </c>
      <c r="D126" s="172" t="n">
        <f aca="false">SUM(O115:AG126)</f>
        <v>0</v>
      </c>
      <c r="E126" s="173"/>
      <c r="F126" s="33" t="n">
        <f aca="false">TblConstr[[#This Row],[Barren]]+TblConstr[[#This Row],[Buildings]]+TblConstr[[#This Row],[Incoming]]</f>
        <v>646</v>
      </c>
      <c r="G126" s="199" t="n">
        <f aca="false">OFFSET(TblConstr[[#This Row],[Plain]],-1,0)+TblConstr[[#This Row],[Ch_Plain]]</f>
        <v>-81</v>
      </c>
      <c r="H126" s="193" t="n">
        <f aca="false">OFFSET(TblConstr[[#This Row],[Forest]],-1,0)+TblConstr[[#This Row],[Ch_Forest]]</f>
        <v>2</v>
      </c>
      <c r="I126" s="200" t="n">
        <f aca="false">OFFSET(TblConstr[[#This Row],[Mountain]],-1,0)+TblConstr[[#This Row],[Ch_Mountain]]</f>
        <v>3</v>
      </c>
      <c r="J126" s="201" t="n">
        <f aca="false">OFFSET(TblConstr[[#This Row],[Hill]],-1,0)+TblConstr[[#This Row],[Ch_Hill]]</f>
        <v>4</v>
      </c>
      <c r="K126" s="202" t="n">
        <f aca="false">OFFSET(TblConstr[[#This Row],[Swamp]],-1,0)+TblConstr[[#This Row],[Ch_Swamp]]</f>
        <v>5</v>
      </c>
      <c r="L126" s="197" t="n">
        <f aca="false">OFFSET(TblConstr[[#This Row],[Cavern]],-1,0)+TblConstr[[#This Row],[Ch_Cavern]]</f>
        <v>6</v>
      </c>
      <c r="M126" s="198" t="n">
        <f aca="false">OFFSET(TblConstr[[#This Row],[Water]],-1,0)+TblConstr[[#This Row],[Ch_Water]]</f>
        <v>7</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6519935</v>
      </c>
      <c r="AL126" s="69" t="n">
        <f aca="false">TblProd[[#This Row],[Lumber]]</f>
        <v>604432</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6" s="69" t="n">
        <f aca="false">ROUNDDOWN( MAX(1 - MIN(facs_constr_factor*TblConstr[[#This Row],[Facs -DB]],facs_constr_max) + tech_1_11*TblTech[[#This Row],[11-1]] + tech_6_3_2*TblTech[[#This Row],[6-3]] + tech_5_2_3*TblTech[[#This Row],[5-2]], 1-global_constr_cap) * TblConstr[[#This Row],[RCPA Lumber]],0)</f>
        <v>200</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6" s="69" t="n">
        <f aca="false">ROUNDDOWN( MAX(1 - MIN(facs_constr_factor*TblConstr[[#This Row],[Facs DB]],facs_constr_max) + tech_1_11*TblTech[[#This Row],[1-11]] + tech_6_3_2*TblTech[[#This Row],[6-3]] + tech_5_2_3*TblTech[[#This Row],[5-2]], 1-global_constr_cap) * ROUND((TblConstr[[#This Row],[Land]]-250)*0.285 + 87.5 + 0/4.25,0),0)</f>
        <v>200</v>
      </c>
      <c r="AQ126" s="1" t="n">
        <f aca="false">TblConstr[[#This Row],[build -db]]*TblConstr[[#This Row],[CPA Platinum -DB]] + TblConstr[[#This Row],[build db]]*TblConstr[[#This Row],[CPA Platinum DB]]</f>
        <v>-65340</v>
      </c>
      <c r="AR126" s="1" t="n">
        <f aca="false">TblConstr[[#This Row],[build -db]]*TblConstr[[#This Row],[CPA Lumber -DB]]+TblConstr[[#This Row],[build db]]*TblConstr[[#This Row],[CPA Lumber DB]]</f>
        <v>-10800</v>
      </c>
      <c r="AS126" s="69" t="n">
        <f aca="false">MIN(SUM(OFFSET(TblConstr[[#This Row],[Plain]:[Water]],-1,0))+SUM(TblConstr[[#This Row],[Dest Hom]:[Dest Doc]])+IF(TblConstr[[#This Row],[Hour]]&gt;12,SUM(OFFSET(TblExplore[[#This Row],[Plains Explore]:[Water Explore]],-12,0)),0),SUM(TblConstr[[#This Row],[Hom]:[Doc]]))</f>
        <v>-54</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1345</v>
      </c>
      <c r="AW126" s="69" t="n">
        <f aca="false">ROUND((TblConstr[[#This Row],[Land]]-250 - IF(TblExplore[[#This Row],[Land Bonus]]&lt;&gt;0,20,0))*0.285 + 87.5 + 0/4.25,0)</f>
        <v>200</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646</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349</v>
      </c>
      <c r="DA126" s="69" t="n">
        <f aca="false">H126+SUM(T115:U126)+SUM(BD126:BE126)</f>
        <v>27</v>
      </c>
      <c r="DB126" s="1" t="n">
        <f aca="false">I126+SUM(V115:W126)+SUM(BF126:BG126)</f>
        <v>3</v>
      </c>
      <c r="DC126" s="69" t="n">
        <f aca="false">J126+SUM(X115:Y126)+SUM(BH126:BI126)</f>
        <v>59</v>
      </c>
      <c r="DD126" s="69" t="n">
        <f aca="false">K126+SUM(AB115:AD126)+SUM(BL126:BN126)</f>
        <v>81</v>
      </c>
      <c r="DE126" s="1" t="n">
        <f aca="false">L126+SUM(AE115:AE126)+BO126</f>
        <v>6</v>
      </c>
      <c r="DF126" s="69" t="n">
        <f aca="false">M126+SUM(AG115:AG126)+BQ126</f>
        <v>31</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-54</v>
      </c>
      <c r="C127" s="172" t="n">
        <f aca="false">SUM(TblConstr[[#This Row],[Tot Hom]:[Tot Doc]])</f>
        <v>700</v>
      </c>
      <c r="D127" s="172" t="n">
        <f aca="false">SUM(O116:AG127)</f>
        <v>0</v>
      </c>
      <c r="E127" s="173"/>
      <c r="F127" s="33" t="n">
        <f aca="false">TblConstr[[#This Row],[Barren]]+TblConstr[[#This Row],[Buildings]]+TblConstr[[#This Row],[Incoming]]</f>
        <v>646</v>
      </c>
      <c r="G127" s="199" t="n">
        <f aca="false">OFFSET(TblConstr[[#This Row],[Plain]],-1,0)+TblConstr[[#This Row],[Ch_Plain]]</f>
        <v>-81</v>
      </c>
      <c r="H127" s="193" t="n">
        <f aca="false">OFFSET(TblConstr[[#This Row],[Forest]],-1,0)+TblConstr[[#This Row],[Ch_Forest]]</f>
        <v>2</v>
      </c>
      <c r="I127" s="200" t="n">
        <f aca="false">OFFSET(TblConstr[[#This Row],[Mountain]],-1,0)+TblConstr[[#This Row],[Ch_Mountain]]</f>
        <v>3</v>
      </c>
      <c r="J127" s="201" t="n">
        <f aca="false">OFFSET(TblConstr[[#This Row],[Hill]],-1,0)+TblConstr[[#This Row],[Ch_Hill]]</f>
        <v>4</v>
      </c>
      <c r="K127" s="202" t="n">
        <f aca="false">OFFSET(TblConstr[[#This Row],[Swamp]],-1,0)+TblConstr[[#This Row],[Ch_Swamp]]</f>
        <v>5</v>
      </c>
      <c r="L127" s="197" t="n">
        <f aca="false">OFFSET(TblConstr[[#This Row],[Cavern]],-1,0)+TblConstr[[#This Row],[Ch_Cavern]]</f>
        <v>6</v>
      </c>
      <c r="M127" s="198" t="n">
        <f aca="false">OFFSET(TblConstr[[#This Row],[Water]],-1,0)+TblConstr[[#This Row],[Ch_Water]]</f>
        <v>7</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6613526</v>
      </c>
      <c r="AL127" s="69" t="n">
        <f aca="false">TblProd[[#This Row],[Lumber]]</f>
        <v>610313</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7" s="69" t="n">
        <f aca="false">ROUNDDOWN( MAX(1 - MIN(facs_constr_factor*TblConstr[[#This Row],[Facs -DB]],facs_constr_max) + tech_1_11*TblTech[[#This Row],[11-1]] + tech_6_3_2*TblTech[[#This Row],[6-3]] + tech_5_2_3*TblTech[[#This Row],[5-2]], 1-global_constr_cap) * TblConstr[[#This Row],[RCPA Lumber]],0)</f>
        <v>200</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7" s="69" t="n">
        <f aca="false">ROUNDDOWN( MAX(1 - MIN(facs_constr_factor*TblConstr[[#This Row],[Facs DB]],facs_constr_max) + tech_1_11*TblTech[[#This Row],[1-11]] + tech_6_3_2*TblTech[[#This Row],[6-3]] + tech_5_2_3*TblTech[[#This Row],[5-2]], 1-global_constr_cap) * ROUND((TblConstr[[#This Row],[Land]]-250)*0.285 + 87.5 + 0/4.25,0),0)</f>
        <v>200</v>
      </c>
      <c r="AQ127" s="1" t="n">
        <f aca="false">TblConstr[[#This Row],[build -db]]*TblConstr[[#This Row],[CPA Platinum -DB]] + TblConstr[[#This Row],[build db]]*TblConstr[[#This Row],[CPA Platinum DB]]</f>
        <v>-65340</v>
      </c>
      <c r="AR127" s="1" t="n">
        <f aca="false">TblConstr[[#This Row],[build -db]]*TblConstr[[#This Row],[CPA Lumber -DB]]+TblConstr[[#This Row],[build db]]*TblConstr[[#This Row],[CPA Lumber DB]]</f>
        <v>-10800</v>
      </c>
      <c r="AS127" s="69" t="n">
        <f aca="false">MIN(SUM(OFFSET(TblConstr[[#This Row],[Plain]:[Water]],-1,0))+SUM(TblConstr[[#This Row],[Dest Hom]:[Dest Doc]])+IF(TblConstr[[#This Row],[Hour]]&gt;12,SUM(OFFSET(TblExplore[[#This Row],[Plains Explore]:[Water Explore]],-12,0)),0),SUM(TblConstr[[#This Row],[Hom]:[Doc]]))</f>
        <v>-54</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1345</v>
      </c>
      <c r="AW127" s="69" t="n">
        <f aca="false">ROUND((TblConstr[[#This Row],[Land]]-250 - IF(TblExplore[[#This Row],[Land Bonus]]&lt;&gt;0,20,0))*0.285 + 87.5 + 0/4.25,0)</f>
        <v>200</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646</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349</v>
      </c>
      <c r="DA127" s="69" t="n">
        <f aca="false">H127+SUM(T116:U127)+SUM(BD127:BE127)</f>
        <v>27</v>
      </c>
      <c r="DB127" s="1" t="n">
        <f aca="false">I127+SUM(V116:W127)+SUM(BF127:BG127)</f>
        <v>3</v>
      </c>
      <c r="DC127" s="69" t="n">
        <f aca="false">J127+SUM(X116:Y127)+SUM(BH127:BI127)</f>
        <v>59</v>
      </c>
      <c r="DD127" s="69" t="n">
        <f aca="false">K127+SUM(AB116:AD127)+SUM(BL127:BN127)</f>
        <v>81</v>
      </c>
      <c r="DE127" s="1" t="n">
        <f aca="false">L127+SUM(AE116:AE127)+BO127</f>
        <v>6</v>
      </c>
      <c r="DF127" s="69" t="n">
        <f aca="false">M127+SUM(AG116:AG127)+BQ127</f>
        <v>31</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-54</v>
      </c>
      <c r="C128" s="172" t="n">
        <f aca="false">SUM(TblConstr[[#This Row],[Tot Hom]:[Tot Doc]])</f>
        <v>700</v>
      </c>
      <c r="D128" s="172" t="n">
        <f aca="false">SUM(O117:AG128)</f>
        <v>0</v>
      </c>
      <c r="E128" s="173"/>
      <c r="F128" s="33" t="n">
        <f aca="false">TblConstr[[#This Row],[Barren]]+TblConstr[[#This Row],[Buildings]]+TblConstr[[#This Row],[Incoming]]</f>
        <v>646</v>
      </c>
      <c r="G128" s="199" t="n">
        <f aca="false">OFFSET(TblConstr[[#This Row],[Plain]],-1,0)+TblConstr[[#This Row],[Ch_Plain]]</f>
        <v>-81</v>
      </c>
      <c r="H128" s="193" t="n">
        <f aca="false">OFFSET(TblConstr[[#This Row],[Forest]],-1,0)+TblConstr[[#This Row],[Ch_Forest]]</f>
        <v>2</v>
      </c>
      <c r="I128" s="200" t="n">
        <f aca="false">OFFSET(TblConstr[[#This Row],[Mountain]],-1,0)+TblConstr[[#This Row],[Ch_Mountain]]</f>
        <v>3</v>
      </c>
      <c r="J128" s="201" t="n">
        <f aca="false">OFFSET(TblConstr[[#This Row],[Hill]],-1,0)+TblConstr[[#This Row],[Ch_Hill]]</f>
        <v>4</v>
      </c>
      <c r="K128" s="202" t="n">
        <f aca="false">OFFSET(TblConstr[[#This Row],[Swamp]],-1,0)+TblConstr[[#This Row],[Ch_Swamp]]</f>
        <v>5</v>
      </c>
      <c r="L128" s="197" t="n">
        <f aca="false">OFFSET(TblConstr[[#This Row],[Cavern]],-1,0)+TblConstr[[#This Row],[Ch_Cavern]]</f>
        <v>6</v>
      </c>
      <c r="M128" s="198" t="n">
        <f aca="false">OFFSET(TblConstr[[#This Row],[Water]],-1,0)+TblConstr[[#This Row],[Ch_Water]]</f>
        <v>7</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6706957</v>
      </c>
      <c r="AL128" s="69" t="n">
        <f aca="false">TblProd[[#This Row],[Lumber]]</f>
        <v>616135</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8" s="69" t="n">
        <f aca="false">ROUNDDOWN( MAX(1 - MIN(facs_constr_factor*TblConstr[[#This Row],[Facs -DB]],facs_constr_max) + tech_1_11*TblTech[[#This Row],[11-1]] + tech_6_3_2*TblTech[[#This Row],[6-3]] + tech_5_2_3*TblTech[[#This Row],[5-2]], 1-global_constr_cap) * TblConstr[[#This Row],[RCPA Lumber]],0)</f>
        <v>200</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8" s="69" t="n">
        <f aca="false">ROUNDDOWN( MAX(1 - MIN(facs_constr_factor*TblConstr[[#This Row],[Facs DB]],facs_constr_max) + tech_1_11*TblTech[[#This Row],[1-11]] + tech_6_3_2*TblTech[[#This Row],[6-3]] + tech_5_2_3*TblTech[[#This Row],[5-2]], 1-global_constr_cap) * ROUND((TblConstr[[#This Row],[Land]]-250)*0.285 + 87.5 + 0/4.25,0),0)</f>
        <v>200</v>
      </c>
      <c r="AQ128" s="1" t="n">
        <f aca="false">TblConstr[[#This Row],[build -db]]*TblConstr[[#This Row],[CPA Platinum -DB]] + TblConstr[[#This Row],[build db]]*TblConstr[[#This Row],[CPA Platinum DB]]</f>
        <v>-65340</v>
      </c>
      <c r="AR128" s="1" t="n">
        <f aca="false">TblConstr[[#This Row],[build -db]]*TblConstr[[#This Row],[CPA Lumber -DB]]+TblConstr[[#This Row],[build db]]*TblConstr[[#This Row],[CPA Lumber DB]]</f>
        <v>-10800</v>
      </c>
      <c r="AS128" s="69" t="n">
        <f aca="false">MIN(SUM(OFFSET(TblConstr[[#This Row],[Plain]:[Water]],-1,0))+SUM(TblConstr[[#This Row],[Dest Hom]:[Dest Doc]])+IF(TblConstr[[#This Row],[Hour]]&gt;12,SUM(OFFSET(TblExplore[[#This Row],[Plains Explore]:[Water Explore]],-12,0)),0),SUM(TblConstr[[#This Row],[Hom]:[Doc]]))</f>
        <v>-54</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1345</v>
      </c>
      <c r="AW128" s="69" t="n">
        <f aca="false">ROUND((TblConstr[[#This Row],[Land]]-250 - IF(TblExplore[[#This Row],[Land Bonus]]&lt;&gt;0,20,0))*0.285 + 87.5 + 0/4.25,0)</f>
        <v>200</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646</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349</v>
      </c>
      <c r="DA128" s="69" t="n">
        <f aca="false">H128+SUM(T117:U128)+SUM(BD128:BE128)</f>
        <v>27</v>
      </c>
      <c r="DB128" s="1" t="n">
        <f aca="false">I128+SUM(V117:W128)+SUM(BF128:BG128)</f>
        <v>3</v>
      </c>
      <c r="DC128" s="69" t="n">
        <f aca="false">J128+SUM(X117:Y128)+SUM(BH128:BI128)</f>
        <v>59</v>
      </c>
      <c r="DD128" s="69" t="n">
        <f aca="false">K128+SUM(AB117:AD128)+SUM(BL128:BN128)</f>
        <v>81</v>
      </c>
      <c r="DE128" s="1" t="n">
        <f aca="false">L128+SUM(AE117:AE128)+BO128</f>
        <v>6</v>
      </c>
      <c r="DF128" s="69" t="n">
        <f aca="false">M128+SUM(AG117:AG128)+BQ128</f>
        <v>31</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-54</v>
      </c>
      <c r="C129" s="172" t="n">
        <f aca="false">SUM(TblConstr[[#This Row],[Tot Hom]:[Tot Doc]])</f>
        <v>700</v>
      </c>
      <c r="D129" s="172" t="n">
        <f aca="false">SUM(O118:AG129)</f>
        <v>0</v>
      </c>
      <c r="E129" s="173"/>
      <c r="F129" s="33" t="n">
        <f aca="false">TblConstr[[#This Row],[Barren]]+TblConstr[[#This Row],[Buildings]]+TblConstr[[#This Row],[Incoming]]</f>
        <v>646</v>
      </c>
      <c r="G129" s="199" t="n">
        <f aca="false">OFFSET(TblConstr[[#This Row],[Plain]],-1,0)+TblConstr[[#This Row],[Ch_Plain]]</f>
        <v>-81</v>
      </c>
      <c r="H129" s="193" t="n">
        <f aca="false">OFFSET(TblConstr[[#This Row],[Forest]],-1,0)+TblConstr[[#This Row],[Ch_Forest]]</f>
        <v>2</v>
      </c>
      <c r="I129" s="200" t="n">
        <f aca="false">OFFSET(TblConstr[[#This Row],[Mountain]],-1,0)+TblConstr[[#This Row],[Ch_Mountain]]</f>
        <v>3</v>
      </c>
      <c r="J129" s="201" t="n">
        <f aca="false">OFFSET(TblConstr[[#This Row],[Hill]],-1,0)+TblConstr[[#This Row],[Ch_Hill]]</f>
        <v>4</v>
      </c>
      <c r="K129" s="202" t="n">
        <f aca="false">OFFSET(TblConstr[[#This Row],[Swamp]],-1,0)+TblConstr[[#This Row],[Ch_Swamp]]</f>
        <v>5</v>
      </c>
      <c r="L129" s="197" t="n">
        <f aca="false">OFFSET(TblConstr[[#This Row],[Cavern]],-1,0)+TblConstr[[#This Row],[Ch_Cavern]]</f>
        <v>6</v>
      </c>
      <c r="M129" s="198" t="n">
        <f aca="false">OFFSET(TblConstr[[#This Row],[Water]],-1,0)+TblConstr[[#This Row],[Ch_Water]]</f>
        <v>7</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6800232</v>
      </c>
      <c r="AL129" s="69" t="n">
        <f aca="false">TblProd[[#This Row],[Lumber]]</f>
        <v>621899</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29" s="69" t="n">
        <f aca="false">ROUNDDOWN( MAX(1 - MIN(facs_constr_factor*TblConstr[[#This Row],[Facs -DB]],facs_constr_max) + tech_1_11*TblTech[[#This Row],[11-1]] + tech_6_3_2*TblTech[[#This Row],[6-3]] + tech_5_2_3*TblTech[[#This Row],[5-2]], 1-global_constr_cap) * TblConstr[[#This Row],[RCPA Lumber]],0)</f>
        <v>200</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29" s="69" t="n">
        <f aca="false">ROUNDDOWN( MAX(1 - MIN(facs_constr_factor*TblConstr[[#This Row],[Facs DB]],facs_constr_max) + tech_1_11*TblTech[[#This Row],[1-11]] + tech_6_3_2*TblTech[[#This Row],[6-3]] + tech_5_2_3*TblTech[[#This Row],[5-2]], 1-global_constr_cap) * ROUND((TblConstr[[#This Row],[Land]]-250)*0.285 + 87.5 + 0/4.25,0),0)</f>
        <v>200</v>
      </c>
      <c r="AQ129" s="1" t="n">
        <f aca="false">TblConstr[[#This Row],[build -db]]*TblConstr[[#This Row],[CPA Platinum -DB]] + TblConstr[[#This Row],[build db]]*TblConstr[[#This Row],[CPA Platinum DB]]</f>
        <v>-65340</v>
      </c>
      <c r="AR129" s="1" t="n">
        <f aca="false">TblConstr[[#This Row],[build -db]]*TblConstr[[#This Row],[CPA Lumber -DB]]+TblConstr[[#This Row],[build db]]*TblConstr[[#This Row],[CPA Lumber DB]]</f>
        <v>-10800</v>
      </c>
      <c r="AS129" s="69" t="n">
        <f aca="false">MIN(SUM(OFFSET(TblConstr[[#This Row],[Plain]:[Water]],-1,0))+SUM(TblConstr[[#This Row],[Dest Hom]:[Dest Doc]])+IF(TblConstr[[#This Row],[Hour]]&gt;12,SUM(OFFSET(TblExplore[[#This Row],[Plains Explore]:[Water Explore]],-12,0)),0),SUM(TblConstr[[#This Row],[Hom]:[Doc]]))</f>
        <v>-54</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1345</v>
      </c>
      <c r="AW129" s="69" t="n">
        <f aca="false">ROUND((TblConstr[[#This Row],[Land]]-250 - IF(TblExplore[[#This Row],[Land Bonus]]&lt;&gt;0,20,0))*0.285 + 87.5 + 0/4.25,0)</f>
        <v>200</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646</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349</v>
      </c>
      <c r="DA129" s="69" t="n">
        <f aca="false">H129+SUM(T118:U129)+SUM(BD129:BE129)</f>
        <v>27</v>
      </c>
      <c r="DB129" s="1" t="n">
        <f aca="false">I129+SUM(V118:W129)+SUM(BF129:BG129)</f>
        <v>3</v>
      </c>
      <c r="DC129" s="69" t="n">
        <f aca="false">J129+SUM(X118:Y129)+SUM(BH129:BI129)</f>
        <v>59</v>
      </c>
      <c r="DD129" s="69" t="n">
        <f aca="false">K129+SUM(AB118:AD129)+SUM(BL129:BN129)</f>
        <v>81</v>
      </c>
      <c r="DE129" s="1" t="n">
        <f aca="false">L129+SUM(AE118:AE129)+BO129</f>
        <v>6</v>
      </c>
      <c r="DF129" s="69" t="n">
        <f aca="false">M129+SUM(AG118:AG129)+BQ129</f>
        <v>31</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-54</v>
      </c>
      <c r="C130" s="172" t="n">
        <f aca="false">SUM(TblConstr[[#This Row],[Tot Hom]:[Tot Doc]])</f>
        <v>700</v>
      </c>
      <c r="D130" s="172" t="n">
        <f aca="false">SUM(O119:AG130)</f>
        <v>0</v>
      </c>
      <c r="E130" s="173"/>
      <c r="F130" s="33" t="n">
        <f aca="false">TblConstr[[#This Row],[Barren]]+TblConstr[[#This Row],[Buildings]]+TblConstr[[#This Row],[Incoming]]</f>
        <v>646</v>
      </c>
      <c r="G130" s="199" t="n">
        <f aca="false">OFFSET(TblConstr[[#This Row],[Plain]],-1,0)+TblConstr[[#This Row],[Ch_Plain]]</f>
        <v>-81</v>
      </c>
      <c r="H130" s="193" t="n">
        <f aca="false">OFFSET(TblConstr[[#This Row],[Forest]],-1,0)+TblConstr[[#This Row],[Ch_Forest]]</f>
        <v>2</v>
      </c>
      <c r="I130" s="200" t="n">
        <f aca="false">OFFSET(TblConstr[[#This Row],[Mountain]],-1,0)+TblConstr[[#This Row],[Ch_Mountain]]</f>
        <v>3</v>
      </c>
      <c r="J130" s="201" t="n">
        <f aca="false">OFFSET(TblConstr[[#This Row],[Hill]],-1,0)+TblConstr[[#This Row],[Ch_Hill]]</f>
        <v>4</v>
      </c>
      <c r="K130" s="202" t="n">
        <f aca="false">OFFSET(TblConstr[[#This Row],[Swamp]],-1,0)+TblConstr[[#This Row],[Ch_Swamp]]</f>
        <v>5</v>
      </c>
      <c r="L130" s="197" t="n">
        <f aca="false">OFFSET(TblConstr[[#This Row],[Cavern]],-1,0)+TblConstr[[#This Row],[Ch_Cavern]]</f>
        <v>6</v>
      </c>
      <c r="M130" s="198" t="n">
        <f aca="false">OFFSET(TblConstr[[#This Row],[Water]],-1,0)+TblConstr[[#This Row],[Ch_Water]]</f>
        <v>7</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6893350</v>
      </c>
      <c r="AL130" s="69" t="n">
        <f aca="false">TblProd[[#This Row],[Lumber]]</f>
        <v>627605</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0" s="69" t="n">
        <f aca="false">ROUNDDOWN( MAX(1 - MIN(facs_constr_factor*TblConstr[[#This Row],[Facs -DB]],facs_constr_max) + tech_1_11*TblTech[[#This Row],[11-1]] + tech_6_3_2*TblTech[[#This Row],[6-3]] + tech_5_2_3*TblTech[[#This Row],[5-2]], 1-global_constr_cap) * TblConstr[[#This Row],[RCPA Lumber]],0)</f>
        <v>200</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0" s="69" t="n">
        <f aca="false">ROUNDDOWN( MAX(1 - MIN(facs_constr_factor*TblConstr[[#This Row],[Facs DB]],facs_constr_max) + tech_1_11*TblTech[[#This Row],[1-11]] + tech_6_3_2*TblTech[[#This Row],[6-3]] + tech_5_2_3*TblTech[[#This Row],[5-2]], 1-global_constr_cap) * ROUND((TblConstr[[#This Row],[Land]]-250)*0.285 + 87.5 + 0/4.25,0),0)</f>
        <v>200</v>
      </c>
      <c r="AQ130" s="1" t="n">
        <f aca="false">TblConstr[[#This Row],[build -db]]*TblConstr[[#This Row],[CPA Platinum -DB]] + TblConstr[[#This Row],[build db]]*TblConstr[[#This Row],[CPA Platinum DB]]</f>
        <v>-65340</v>
      </c>
      <c r="AR130" s="1" t="n">
        <f aca="false">TblConstr[[#This Row],[build -db]]*TblConstr[[#This Row],[CPA Lumber -DB]]+TblConstr[[#This Row],[build db]]*TblConstr[[#This Row],[CPA Lumber DB]]</f>
        <v>-10800</v>
      </c>
      <c r="AS130" s="69" t="n">
        <f aca="false">MIN(SUM(OFFSET(TblConstr[[#This Row],[Plain]:[Water]],-1,0))+SUM(TblConstr[[#This Row],[Dest Hom]:[Dest Doc]])+IF(TblConstr[[#This Row],[Hour]]&gt;12,SUM(OFFSET(TblExplore[[#This Row],[Plains Explore]:[Water Explore]],-12,0)),0),SUM(TblConstr[[#This Row],[Hom]:[Doc]]))</f>
        <v>-54</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1345</v>
      </c>
      <c r="AW130" s="69" t="n">
        <f aca="false">ROUND((TblConstr[[#This Row],[Land]]-250 - IF(TblExplore[[#This Row],[Land Bonus]]&lt;&gt;0,20,0))*0.285 + 87.5 + 0/4.25,0)</f>
        <v>200</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646</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349</v>
      </c>
      <c r="DA130" s="69" t="n">
        <f aca="false">H130+SUM(T119:U130)+SUM(BD130:BE130)</f>
        <v>27</v>
      </c>
      <c r="DB130" s="1" t="n">
        <f aca="false">I130+SUM(V119:W130)+SUM(BF130:BG130)</f>
        <v>3</v>
      </c>
      <c r="DC130" s="69" t="n">
        <f aca="false">J130+SUM(X119:Y130)+SUM(BH130:BI130)</f>
        <v>59</v>
      </c>
      <c r="DD130" s="69" t="n">
        <f aca="false">K130+SUM(AB119:AD130)+SUM(BL130:BN130)</f>
        <v>81</v>
      </c>
      <c r="DE130" s="1" t="n">
        <f aca="false">L130+SUM(AE119:AE130)+BO130</f>
        <v>6</v>
      </c>
      <c r="DF130" s="69" t="n">
        <f aca="false">M130+SUM(AG119:AG130)+BQ130</f>
        <v>31</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-54</v>
      </c>
      <c r="C131" s="172" t="n">
        <f aca="false">SUM(TblConstr[[#This Row],[Tot Hom]:[Tot Doc]])</f>
        <v>700</v>
      </c>
      <c r="D131" s="172" t="n">
        <f aca="false">SUM(O120:AG131)</f>
        <v>0</v>
      </c>
      <c r="E131" s="173"/>
      <c r="F131" s="33" t="n">
        <f aca="false">TblConstr[[#This Row],[Barren]]+TblConstr[[#This Row],[Buildings]]+TblConstr[[#This Row],[Incoming]]</f>
        <v>646</v>
      </c>
      <c r="G131" s="199" t="n">
        <f aca="false">OFFSET(TblConstr[[#This Row],[Plain]],-1,0)+TblConstr[[#This Row],[Ch_Plain]]</f>
        <v>-81</v>
      </c>
      <c r="H131" s="193" t="n">
        <f aca="false">OFFSET(TblConstr[[#This Row],[Forest]],-1,0)+TblConstr[[#This Row],[Ch_Forest]]</f>
        <v>2</v>
      </c>
      <c r="I131" s="200" t="n">
        <f aca="false">OFFSET(TblConstr[[#This Row],[Mountain]],-1,0)+TblConstr[[#This Row],[Ch_Mountain]]</f>
        <v>3</v>
      </c>
      <c r="J131" s="201" t="n">
        <f aca="false">OFFSET(TblConstr[[#This Row],[Hill]],-1,0)+TblConstr[[#This Row],[Ch_Hill]]</f>
        <v>4</v>
      </c>
      <c r="K131" s="202" t="n">
        <f aca="false">OFFSET(TblConstr[[#This Row],[Swamp]],-1,0)+TblConstr[[#This Row],[Ch_Swamp]]</f>
        <v>5</v>
      </c>
      <c r="L131" s="197" t="n">
        <f aca="false">OFFSET(TblConstr[[#This Row],[Cavern]],-1,0)+TblConstr[[#This Row],[Ch_Cavern]]</f>
        <v>6</v>
      </c>
      <c r="M131" s="198" t="n">
        <f aca="false">OFFSET(TblConstr[[#This Row],[Water]],-1,0)+TblConstr[[#This Row],[Ch_Water]]</f>
        <v>7</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6986314</v>
      </c>
      <c r="AL131" s="69" t="n">
        <f aca="false">TblProd[[#This Row],[Lumber]]</f>
        <v>633254</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1" s="69" t="n">
        <f aca="false">ROUNDDOWN( MAX(1 - MIN(facs_constr_factor*TblConstr[[#This Row],[Facs -DB]],facs_constr_max) + tech_1_11*TblTech[[#This Row],[11-1]] + tech_6_3_2*TblTech[[#This Row],[6-3]] + tech_5_2_3*TblTech[[#This Row],[5-2]], 1-global_constr_cap) * TblConstr[[#This Row],[RCPA Lumber]],0)</f>
        <v>200</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1" s="69" t="n">
        <f aca="false">ROUNDDOWN( MAX(1 - MIN(facs_constr_factor*TblConstr[[#This Row],[Facs DB]],facs_constr_max) + tech_1_11*TblTech[[#This Row],[1-11]] + tech_6_3_2*TblTech[[#This Row],[6-3]] + tech_5_2_3*TblTech[[#This Row],[5-2]], 1-global_constr_cap) * ROUND((TblConstr[[#This Row],[Land]]-250)*0.285 + 87.5 + 0/4.25,0),0)</f>
        <v>200</v>
      </c>
      <c r="AQ131" s="1" t="n">
        <f aca="false">TblConstr[[#This Row],[build -db]]*TblConstr[[#This Row],[CPA Platinum -DB]] + TblConstr[[#This Row],[build db]]*TblConstr[[#This Row],[CPA Platinum DB]]</f>
        <v>-65340</v>
      </c>
      <c r="AR131" s="1" t="n">
        <f aca="false">TblConstr[[#This Row],[build -db]]*TblConstr[[#This Row],[CPA Lumber -DB]]+TblConstr[[#This Row],[build db]]*TblConstr[[#This Row],[CPA Lumber DB]]</f>
        <v>-10800</v>
      </c>
      <c r="AS131" s="69" t="n">
        <f aca="false">MIN(SUM(OFFSET(TblConstr[[#This Row],[Plain]:[Water]],-1,0))+SUM(TblConstr[[#This Row],[Dest Hom]:[Dest Doc]])+IF(TblConstr[[#This Row],[Hour]]&gt;12,SUM(OFFSET(TblExplore[[#This Row],[Plains Explore]:[Water Explore]],-12,0)),0),SUM(TblConstr[[#This Row],[Hom]:[Doc]]))</f>
        <v>-54</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1345</v>
      </c>
      <c r="AW131" s="69" t="n">
        <f aca="false">ROUND((TblConstr[[#This Row],[Land]]-250 - IF(TblExplore[[#This Row],[Land Bonus]]&lt;&gt;0,20,0))*0.285 + 87.5 + 0/4.25,0)</f>
        <v>200</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646</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349</v>
      </c>
      <c r="DA131" s="69" t="n">
        <f aca="false">H131+SUM(T120:U131)+SUM(BD131:BE131)</f>
        <v>27</v>
      </c>
      <c r="DB131" s="1" t="n">
        <f aca="false">I131+SUM(V120:W131)+SUM(BF131:BG131)</f>
        <v>3</v>
      </c>
      <c r="DC131" s="69" t="n">
        <f aca="false">J131+SUM(X120:Y131)+SUM(BH131:BI131)</f>
        <v>59</v>
      </c>
      <c r="DD131" s="69" t="n">
        <f aca="false">K131+SUM(AB120:AD131)+SUM(BL131:BN131)</f>
        <v>81</v>
      </c>
      <c r="DE131" s="1" t="n">
        <f aca="false">L131+SUM(AE120:AE131)+BO131</f>
        <v>6</v>
      </c>
      <c r="DF131" s="69" t="n">
        <f aca="false">M131+SUM(AG120:AG131)+BQ131</f>
        <v>31</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-54</v>
      </c>
      <c r="C132" s="172" t="n">
        <f aca="false">SUM(TblConstr[[#This Row],[Tot Hom]:[Tot Doc]])</f>
        <v>700</v>
      </c>
      <c r="D132" s="172" t="n">
        <f aca="false">SUM(O121:AG132)</f>
        <v>0</v>
      </c>
      <c r="E132" s="173"/>
      <c r="F132" s="33" t="n">
        <f aca="false">TblConstr[[#This Row],[Barren]]+TblConstr[[#This Row],[Buildings]]+TblConstr[[#This Row],[Incoming]]</f>
        <v>646</v>
      </c>
      <c r="G132" s="199" t="n">
        <f aca="false">OFFSET(TblConstr[[#This Row],[Plain]],-1,0)+TblConstr[[#This Row],[Ch_Plain]]</f>
        <v>-81</v>
      </c>
      <c r="H132" s="193" t="n">
        <f aca="false">OFFSET(TblConstr[[#This Row],[Forest]],-1,0)+TblConstr[[#This Row],[Ch_Forest]]</f>
        <v>2</v>
      </c>
      <c r="I132" s="200" t="n">
        <f aca="false">OFFSET(TblConstr[[#This Row],[Mountain]],-1,0)+TblConstr[[#This Row],[Ch_Mountain]]</f>
        <v>3</v>
      </c>
      <c r="J132" s="201" t="n">
        <f aca="false">OFFSET(TblConstr[[#This Row],[Hill]],-1,0)+TblConstr[[#This Row],[Ch_Hill]]</f>
        <v>4</v>
      </c>
      <c r="K132" s="202" t="n">
        <f aca="false">OFFSET(TblConstr[[#This Row],[Swamp]],-1,0)+TblConstr[[#This Row],[Ch_Swamp]]</f>
        <v>5</v>
      </c>
      <c r="L132" s="197" t="n">
        <f aca="false">OFFSET(TblConstr[[#This Row],[Cavern]],-1,0)+TblConstr[[#This Row],[Ch_Cavern]]</f>
        <v>6</v>
      </c>
      <c r="M132" s="198" t="n">
        <f aca="false">OFFSET(TblConstr[[#This Row],[Water]],-1,0)+TblConstr[[#This Row],[Ch_Water]]</f>
        <v>7</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7079127</v>
      </c>
      <c r="AL132" s="69" t="n">
        <f aca="false">TblProd[[#This Row],[Lumber]]</f>
        <v>638846</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2" s="69" t="n">
        <f aca="false">ROUNDDOWN( MAX(1 - MIN(facs_constr_factor*TblConstr[[#This Row],[Facs -DB]],facs_constr_max) + tech_1_11*TblTech[[#This Row],[11-1]] + tech_6_3_2*TblTech[[#This Row],[6-3]] + tech_5_2_3*TblTech[[#This Row],[5-2]], 1-global_constr_cap) * TblConstr[[#This Row],[RCPA Lumber]],0)</f>
        <v>200</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2" s="69" t="n">
        <f aca="false">ROUNDDOWN( MAX(1 - MIN(facs_constr_factor*TblConstr[[#This Row],[Facs DB]],facs_constr_max) + tech_1_11*TblTech[[#This Row],[1-11]] + tech_6_3_2*TblTech[[#This Row],[6-3]] + tech_5_2_3*TblTech[[#This Row],[5-2]], 1-global_constr_cap) * ROUND((TblConstr[[#This Row],[Land]]-250)*0.285 + 87.5 + 0/4.25,0),0)</f>
        <v>200</v>
      </c>
      <c r="AQ132" s="1" t="n">
        <f aca="false">TblConstr[[#This Row],[build -db]]*TblConstr[[#This Row],[CPA Platinum -DB]] + TblConstr[[#This Row],[build db]]*TblConstr[[#This Row],[CPA Platinum DB]]</f>
        <v>-65340</v>
      </c>
      <c r="AR132" s="1" t="n">
        <f aca="false">TblConstr[[#This Row],[build -db]]*TblConstr[[#This Row],[CPA Lumber -DB]]+TblConstr[[#This Row],[build db]]*TblConstr[[#This Row],[CPA Lumber DB]]</f>
        <v>-10800</v>
      </c>
      <c r="AS132" s="69" t="n">
        <f aca="false">MIN(SUM(OFFSET(TblConstr[[#This Row],[Plain]:[Water]],-1,0))+SUM(TblConstr[[#This Row],[Dest Hom]:[Dest Doc]])+IF(TblConstr[[#This Row],[Hour]]&gt;12,SUM(OFFSET(TblExplore[[#This Row],[Plains Explore]:[Water Explore]],-12,0)),0),SUM(TblConstr[[#This Row],[Hom]:[Doc]]))</f>
        <v>-54</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1345</v>
      </c>
      <c r="AW132" s="69" t="n">
        <f aca="false">ROUND((TblConstr[[#This Row],[Land]]-250 - IF(TblExplore[[#This Row],[Land Bonus]]&lt;&gt;0,20,0))*0.285 + 87.5 + 0/4.25,0)</f>
        <v>200</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646</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349</v>
      </c>
      <c r="DA132" s="69" t="n">
        <f aca="false">H132+SUM(T121:U132)+SUM(BD132:BE132)</f>
        <v>27</v>
      </c>
      <c r="DB132" s="1" t="n">
        <f aca="false">I132+SUM(V121:W132)+SUM(BF132:BG132)</f>
        <v>3</v>
      </c>
      <c r="DC132" s="69" t="n">
        <f aca="false">J132+SUM(X121:Y132)+SUM(BH132:BI132)</f>
        <v>59</v>
      </c>
      <c r="DD132" s="69" t="n">
        <f aca="false">K132+SUM(AB121:AD132)+SUM(BL132:BN132)</f>
        <v>81</v>
      </c>
      <c r="DE132" s="1" t="n">
        <f aca="false">L132+SUM(AE121:AE132)+BO132</f>
        <v>6</v>
      </c>
      <c r="DF132" s="69" t="n">
        <f aca="false">M132+SUM(AG121:AG132)+BQ132</f>
        <v>31</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-54</v>
      </c>
      <c r="C133" s="172" t="n">
        <f aca="false">SUM(TblConstr[[#This Row],[Tot Hom]:[Tot Doc]])</f>
        <v>700</v>
      </c>
      <c r="D133" s="172" t="n">
        <f aca="false">SUM(O122:AG133)</f>
        <v>0</v>
      </c>
      <c r="E133" s="173"/>
      <c r="F133" s="33" t="n">
        <f aca="false">TblConstr[[#This Row],[Barren]]+TblConstr[[#This Row],[Buildings]]+TblConstr[[#This Row],[Incoming]]</f>
        <v>646</v>
      </c>
      <c r="G133" s="199" t="n">
        <f aca="false">OFFSET(TblConstr[[#This Row],[Plain]],-1,0)+TblConstr[[#This Row],[Ch_Plain]]</f>
        <v>-81</v>
      </c>
      <c r="H133" s="193" t="n">
        <f aca="false">OFFSET(TblConstr[[#This Row],[Forest]],-1,0)+TblConstr[[#This Row],[Ch_Forest]]</f>
        <v>2</v>
      </c>
      <c r="I133" s="200" t="n">
        <f aca="false">OFFSET(TblConstr[[#This Row],[Mountain]],-1,0)+TblConstr[[#This Row],[Ch_Mountain]]</f>
        <v>3</v>
      </c>
      <c r="J133" s="201" t="n">
        <f aca="false">OFFSET(TblConstr[[#This Row],[Hill]],-1,0)+TblConstr[[#This Row],[Ch_Hill]]</f>
        <v>4</v>
      </c>
      <c r="K133" s="202" t="n">
        <f aca="false">OFFSET(TblConstr[[#This Row],[Swamp]],-1,0)+TblConstr[[#This Row],[Ch_Swamp]]</f>
        <v>5</v>
      </c>
      <c r="L133" s="197" t="n">
        <f aca="false">OFFSET(TblConstr[[#This Row],[Cavern]],-1,0)+TblConstr[[#This Row],[Ch_Cavern]]</f>
        <v>6</v>
      </c>
      <c r="M133" s="198" t="n">
        <f aca="false">OFFSET(TblConstr[[#This Row],[Water]],-1,0)+TblConstr[[#This Row],[Ch_Water]]</f>
        <v>7</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7171789</v>
      </c>
      <c r="AL133" s="69" t="n">
        <f aca="false">TblProd[[#This Row],[Lumber]]</f>
        <v>644383</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3" s="69" t="n">
        <f aca="false">ROUNDDOWN( MAX(1 - MIN(facs_constr_factor*TblConstr[[#This Row],[Facs -DB]],facs_constr_max) + tech_1_11*TblTech[[#This Row],[11-1]] + tech_6_3_2*TblTech[[#This Row],[6-3]] + tech_5_2_3*TblTech[[#This Row],[5-2]], 1-global_constr_cap) * TblConstr[[#This Row],[RCPA Lumber]],0)</f>
        <v>200</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3" s="69" t="n">
        <f aca="false">ROUNDDOWN( MAX(1 - MIN(facs_constr_factor*TblConstr[[#This Row],[Facs DB]],facs_constr_max) + tech_1_11*TblTech[[#This Row],[1-11]] + tech_6_3_2*TblTech[[#This Row],[6-3]] + tech_5_2_3*TblTech[[#This Row],[5-2]], 1-global_constr_cap) * ROUND((TblConstr[[#This Row],[Land]]-250)*0.285 + 87.5 + 0/4.25,0),0)</f>
        <v>200</v>
      </c>
      <c r="AQ133" s="1" t="n">
        <f aca="false">TblConstr[[#This Row],[build -db]]*TblConstr[[#This Row],[CPA Platinum -DB]] + TblConstr[[#This Row],[build db]]*TblConstr[[#This Row],[CPA Platinum DB]]</f>
        <v>-65340</v>
      </c>
      <c r="AR133" s="1" t="n">
        <f aca="false">TblConstr[[#This Row],[build -db]]*TblConstr[[#This Row],[CPA Lumber -DB]]+TblConstr[[#This Row],[build db]]*TblConstr[[#This Row],[CPA Lumber DB]]</f>
        <v>-10800</v>
      </c>
      <c r="AS133" s="69" t="n">
        <f aca="false">MIN(SUM(OFFSET(TblConstr[[#This Row],[Plain]:[Water]],-1,0))+SUM(TblConstr[[#This Row],[Dest Hom]:[Dest Doc]])+IF(TblConstr[[#This Row],[Hour]]&gt;12,SUM(OFFSET(TblExplore[[#This Row],[Plains Explore]:[Water Explore]],-12,0)),0),SUM(TblConstr[[#This Row],[Hom]:[Doc]]))</f>
        <v>-54</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1345</v>
      </c>
      <c r="AW133" s="69" t="n">
        <f aca="false">ROUND((TblConstr[[#This Row],[Land]]-250 - IF(TblExplore[[#This Row],[Land Bonus]]&lt;&gt;0,20,0))*0.285 + 87.5 + 0/4.25,0)</f>
        <v>200</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646</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349</v>
      </c>
      <c r="DA133" s="69" t="n">
        <f aca="false">H133+SUM(T122:U133)+SUM(BD133:BE133)</f>
        <v>27</v>
      </c>
      <c r="DB133" s="1" t="n">
        <f aca="false">I133+SUM(V122:W133)+SUM(BF133:BG133)</f>
        <v>3</v>
      </c>
      <c r="DC133" s="69" t="n">
        <f aca="false">J133+SUM(X122:Y133)+SUM(BH133:BI133)</f>
        <v>59</v>
      </c>
      <c r="DD133" s="69" t="n">
        <f aca="false">K133+SUM(AB122:AD133)+SUM(BL133:BN133)</f>
        <v>81</v>
      </c>
      <c r="DE133" s="1" t="n">
        <f aca="false">L133+SUM(AE122:AE133)+BO133</f>
        <v>6</v>
      </c>
      <c r="DF133" s="69" t="n">
        <f aca="false">M133+SUM(AG122:AG133)+BQ133</f>
        <v>31</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-54</v>
      </c>
      <c r="C134" s="172" t="n">
        <f aca="false">SUM(TblConstr[[#This Row],[Tot Hom]:[Tot Doc]])</f>
        <v>700</v>
      </c>
      <c r="D134" s="172" t="n">
        <f aca="false">SUM(O123:AG134)</f>
        <v>0</v>
      </c>
      <c r="E134" s="173"/>
      <c r="F134" s="33" t="n">
        <f aca="false">TblConstr[[#This Row],[Barren]]+TblConstr[[#This Row],[Buildings]]+TblConstr[[#This Row],[Incoming]]</f>
        <v>646</v>
      </c>
      <c r="G134" s="199" t="n">
        <f aca="false">OFFSET(TblConstr[[#This Row],[Plain]],-1,0)+TblConstr[[#This Row],[Ch_Plain]]</f>
        <v>-81</v>
      </c>
      <c r="H134" s="193" t="n">
        <f aca="false">OFFSET(TblConstr[[#This Row],[Forest]],-1,0)+TblConstr[[#This Row],[Ch_Forest]]</f>
        <v>2</v>
      </c>
      <c r="I134" s="200" t="n">
        <f aca="false">OFFSET(TblConstr[[#This Row],[Mountain]],-1,0)+TblConstr[[#This Row],[Ch_Mountain]]</f>
        <v>3</v>
      </c>
      <c r="J134" s="201" t="n">
        <f aca="false">OFFSET(TblConstr[[#This Row],[Hill]],-1,0)+TblConstr[[#This Row],[Ch_Hill]]</f>
        <v>4</v>
      </c>
      <c r="K134" s="202" t="n">
        <f aca="false">OFFSET(TblConstr[[#This Row],[Swamp]],-1,0)+TblConstr[[#This Row],[Ch_Swamp]]</f>
        <v>5</v>
      </c>
      <c r="L134" s="197" t="n">
        <f aca="false">OFFSET(TblConstr[[#This Row],[Cavern]],-1,0)+TblConstr[[#This Row],[Ch_Cavern]]</f>
        <v>6</v>
      </c>
      <c r="M134" s="198" t="n">
        <f aca="false">OFFSET(TblConstr[[#This Row],[Water]],-1,0)+TblConstr[[#This Row],[Ch_Water]]</f>
        <v>7</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7264302</v>
      </c>
      <c r="AL134" s="69" t="n">
        <f aca="false">TblProd[[#This Row],[Lumber]]</f>
        <v>649864</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4" s="69" t="n">
        <f aca="false">ROUNDDOWN( MAX(1 - MIN(facs_constr_factor*TblConstr[[#This Row],[Facs -DB]],facs_constr_max) + tech_1_11*TblTech[[#This Row],[11-1]] + tech_6_3_2*TblTech[[#This Row],[6-3]] + tech_5_2_3*TblTech[[#This Row],[5-2]], 1-global_constr_cap) * TblConstr[[#This Row],[RCPA Lumber]],0)</f>
        <v>200</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4" s="69" t="n">
        <f aca="false">ROUNDDOWN( MAX(1 - MIN(facs_constr_factor*TblConstr[[#This Row],[Facs DB]],facs_constr_max) + tech_1_11*TblTech[[#This Row],[1-11]] + tech_6_3_2*TblTech[[#This Row],[6-3]] + tech_5_2_3*TblTech[[#This Row],[5-2]], 1-global_constr_cap) * ROUND((TblConstr[[#This Row],[Land]]-250)*0.285 + 87.5 + 0/4.25,0),0)</f>
        <v>200</v>
      </c>
      <c r="AQ134" s="1" t="n">
        <f aca="false">TblConstr[[#This Row],[build -db]]*TblConstr[[#This Row],[CPA Platinum -DB]] + TblConstr[[#This Row],[build db]]*TblConstr[[#This Row],[CPA Platinum DB]]</f>
        <v>-65340</v>
      </c>
      <c r="AR134" s="1" t="n">
        <f aca="false">TblConstr[[#This Row],[build -db]]*TblConstr[[#This Row],[CPA Lumber -DB]]+TblConstr[[#This Row],[build db]]*TblConstr[[#This Row],[CPA Lumber DB]]</f>
        <v>-10800</v>
      </c>
      <c r="AS134" s="69" t="n">
        <f aca="false">MIN(SUM(OFFSET(TblConstr[[#This Row],[Plain]:[Water]],-1,0))+SUM(TblConstr[[#This Row],[Dest Hom]:[Dest Doc]])+IF(TblConstr[[#This Row],[Hour]]&gt;12,SUM(OFFSET(TblExplore[[#This Row],[Plains Explore]:[Water Explore]],-12,0)),0),SUM(TblConstr[[#This Row],[Hom]:[Doc]]))</f>
        <v>-54</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1345</v>
      </c>
      <c r="AW134" s="69" t="n">
        <f aca="false">ROUND((TblConstr[[#This Row],[Land]]-250 - IF(TblExplore[[#This Row],[Land Bonus]]&lt;&gt;0,20,0))*0.285 + 87.5 + 0/4.25,0)</f>
        <v>200</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646</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349</v>
      </c>
      <c r="DA134" s="69" t="n">
        <f aca="false">H134+SUM(T123:U134)+SUM(BD134:BE134)</f>
        <v>27</v>
      </c>
      <c r="DB134" s="1" t="n">
        <f aca="false">I134+SUM(V123:W134)+SUM(BF134:BG134)</f>
        <v>3</v>
      </c>
      <c r="DC134" s="69" t="n">
        <f aca="false">J134+SUM(X123:Y134)+SUM(BH134:BI134)</f>
        <v>59</v>
      </c>
      <c r="DD134" s="69" t="n">
        <f aca="false">K134+SUM(AB123:AD134)+SUM(BL134:BN134)</f>
        <v>81</v>
      </c>
      <c r="DE134" s="1" t="n">
        <f aca="false">L134+SUM(AE123:AE134)+BO134</f>
        <v>6</v>
      </c>
      <c r="DF134" s="69" t="n">
        <f aca="false">M134+SUM(AG123:AG134)+BQ134</f>
        <v>31</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-54</v>
      </c>
      <c r="C135" s="172" t="n">
        <f aca="false">SUM(TblConstr[[#This Row],[Tot Hom]:[Tot Doc]])</f>
        <v>700</v>
      </c>
      <c r="D135" s="172" t="n">
        <f aca="false">SUM(O124:AG135)</f>
        <v>0</v>
      </c>
      <c r="E135" s="173"/>
      <c r="F135" s="33" t="n">
        <f aca="false">TblConstr[[#This Row],[Barren]]+TblConstr[[#This Row],[Buildings]]+TblConstr[[#This Row],[Incoming]]</f>
        <v>646</v>
      </c>
      <c r="G135" s="199" t="n">
        <f aca="false">OFFSET(TblConstr[[#This Row],[Plain]],-1,0)+TblConstr[[#This Row],[Ch_Plain]]</f>
        <v>-81</v>
      </c>
      <c r="H135" s="193" t="n">
        <f aca="false">OFFSET(TblConstr[[#This Row],[Forest]],-1,0)+TblConstr[[#This Row],[Ch_Forest]]</f>
        <v>2</v>
      </c>
      <c r="I135" s="200" t="n">
        <f aca="false">OFFSET(TblConstr[[#This Row],[Mountain]],-1,0)+TblConstr[[#This Row],[Ch_Mountain]]</f>
        <v>3</v>
      </c>
      <c r="J135" s="201" t="n">
        <f aca="false">OFFSET(TblConstr[[#This Row],[Hill]],-1,0)+TblConstr[[#This Row],[Ch_Hill]]</f>
        <v>4</v>
      </c>
      <c r="K135" s="202" t="n">
        <f aca="false">OFFSET(TblConstr[[#This Row],[Swamp]],-1,0)+TblConstr[[#This Row],[Ch_Swamp]]</f>
        <v>5</v>
      </c>
      <c r="L135" s="197" t="n">
        <f aca="false">OFFSET(TblConstr[[#This Row],[Cavern]],-1,0)+TblConstr[[#This Row],[Ch_Cavern]]</f>
        <v>6</v>
      </c>
      <c r="M135" s="198" t="n">
        <f aca="false">OFFSET(TblConstr[[#This Row],[Water]],-1,0)+TblConstr[[#This Row],[Ch_Water]]</f>
        <v>7</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7356667</v>
      </c>
      <c r="AL135" s="69" t="n">
        <f aca="false">TblProd[[#This Row],[Lumber]]</f>
        <v>655290</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5" s="69" t="n">
        <f aca="false">ROUNDDOWN( MAX(1 - MIN(facs_constr_factor*TblConstr[[#This Row],[Facs -DB]],facs_constr_max) + tech_1_11*TblTech[[#This Row],[11-1]] + tech_6_3_2*TblTech[[#This Row],[6-3]] + tech_5_2_3*TblTech[[#This Row],[5-2]], 1-global_constr_cap) * TblConstr[[#This Row],[RCPA Lumber]],0)</f>
        <v>200</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5" s="69" t="n">
        <f aca="false">ROUNDDOWN( MAX(1 - MIN(facs_constr_factor*TblConstr[[#This Row],[Facs DB]],facs_constr_max) + tech_1_11*TblTech[[#This Row],[1-11]] + tech_6_3_2*TblTech[[#This Row],[6-3]] + tech_5_2_3*TblTech[[#This Row],[5-2]], 1-global_constr_cap) * ROUND((TblConstr[[#This Row],[Land]]-250)*0.285 + 87.5 + 0/4.25,0),0)</f>
        <v>200</v>
      </c>
      <c r="AQ135" s="1" t="n">
        <f aca="false">TblConstr[[#This Row],[build -db]]*TblConstr[[#This Row],[CPA Platinum -DB]] + TblConstr[[#This Row],[build db]]*TblConstr[[#This Row],[CPA Platinum DB]]</f>
        <v>-65340</v>
      </c>
      <c r="AR135" s="1" t="n">
        <f aca="false">TblConstr[[#This Row],[build -db]]*TblConstr[[#This Row],[CPA Lumber -DB]]+TblConstr[[#This Row],[build db]]*TblConstr[[#This Row],[CPA Lumber DB]]</f>
        <v>-10800</v>
      </c>
      <c r="AS135" s="69" t="n">
        <f aca="false">MIN(SUM(OFFSET(TblConstr[[#This Row],[Plain]:[Water]],-1,0))+SUM(TblConstr[[#This Row],[Dest Hom]:[Dest Doc]])+IF(TblConstr[[#This Row],[Hour]]&gt;12,SUM(OFFSET(TblExplore[[#This Row],[Plains Explore]:[Water Explore]],-12,0)),0),SUM(TblConstr[[#This Row],[Hom]:[Doc]]))</f>
        <v>-54</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1345</v>
      </c>
      <c r="AW135" s="69" t="n">
        <f aca="false">ROUND((TblConstr[[#This Row],[Land]]-250 - IF(TblExplore[[#This Row],[Land Bonus]]&lt;&gt;0,20,0))*0.285 + 87.5 + 0/4.25,0)</f>
        <v>200</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646</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349</v>
      </c>
      <c r="DA135" s="69" t="n">
        <f aca="false">H135+SUM(T124:U135)+SUM(BD135:BE135)</f>
        <v>27</v>
      </c>
      <c r="DB135" s="1" t="n">
        <f aca="false">I135+SUM(V124:W135)+SUM(BF135:BG135)</f>
        <v>3</v>
      </c>
      <c r="DC135" s="69" t="n">
        <f aca="false">J135+SUM(X124:Y135)+SUM(BH135:BI135)</f>
        <v>59</v>
      </c>
      <c r="DD135" s="69" t="n">
        <f aca="false">K135+SUM(AB124:AD135)+SUM(BL135:BN135)</f>
        <v>81</v>
      </c>
      <c r="DE135" s="1" t="n">
        <f aca="false">L135+SUM(AE124:AE135)+BO135</f>
        <v>6</v>
      </c>
      <c r="DF135" s="69" t="n">
        <f aca="false">M135+SUM(AG124:AG135)+BQ135</f>
        <v>31</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-54</v>
      </c>
      <c r="C136" s="172" t="n">
        <f aca="false">SUM(TblConstr[[#This Row],[Tot Hom]:[Tot Doc]])</f>
        <v>700</v>
      </c>
      <c r="D136" s="172" t="n">
        <f aca="false">SUM(O125:AG136)</f>
        <v>0</v>
      </c>
      <c r="E136" s="173"/>
      <c r="F136" s="33" t="n">
        <f aca="false">TblConstr[[#This Row],[Barren]]+TblConstr[[#This Row],[Buildings]]+TblConstr[[#This Row],[Incoming]]</f>
        <v>646</v>
      </c>
      <c r="G136" s="199" t="n">
        <f aca="false">OFFSET(TblConstr[[#This Row],[Plain]],-1,0)+TblConstr[[#This Row],[Ch_Plain]]</f>
        <v>-81</v>
      </c>
      <c r="H136" s="193" t="n">
        <f aca="false">OFFSET(TblConstr[[#This Row],[Forest]],-1,0)+TblConstr[[#This Row],[Ch_Forest]]</f>
        <v>2</v>
      </c>
      <c r="I136" s="200" t="n">
        <f aca="false">OFFSET(TblConstr[[#This Row],[Mountain]],-1,0)+TblConstr[[#This Row],[Ch_Mountain]]</f>
        <v>3</v>
      </c>
      <c r="J136" s="201" t="n">
        <f aca="false">OFFSET(TblConstr[[#This Row],[Hill]],-1,0)+TblConstr[[#This Row],[Ch_Hill]]</f>
        <v>4</v>
      </c>
      <c r="K136" s="202" t="n">
        <f aca="false">OFFSET(TblConstr[[#This Row],[Swamp]],-1,0)+TblConstr[[#This Row],[Ch_Swamp]]</f>
        <v>5</v>
      </c>
      <c r="L136" s="197" t="n">
        <f aca="false">OFFSET(TblConstr[[#This Row],[Cavern]],-1,0)+TblConstr[[#This Row],[Ch_Cavern]]</f>
        <v>6</v>
      </c>
      <c r="M136" s="198" t="n">
        <f aca="false">OFFSET(TblConstr[[#This Row],[Water]],-1,0)+TblConstr[[#This Row],[Ch_Water]]</f>
        <v>7</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7448886</v>
      </c>
      <c r="AL136" s="69" t="n">
        <f aca="false">TblProd[[#This Row],[Lumber]]</f>
        <v>660662</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1210</v>
      </c>
      <c r="AN136" s="69" t="n">
        <f aca="false">ROUNDDOWN( MAX(1 - MIN(facs_constr_factor*TblConstr[[#This Row],[Facs -DB]],facs_constr_max) + tech_1_11*TblTech[[#This Row],[11-1]] + tech_6_3_2*TblTech[[#This Row],[6-3]] + tech_5_2_3*TblTech[[#This Row],[5-2]], 1-global_constr_cap) * TblConstr[[#This Row],[RCPA Lumber]],0)</f>
        <v>200</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1210</v>
      </c>
      <c r="AP136" s="69" t="n">
        <f aca="false">ROUNDDOWN( MAX(1 - MIN(facs_constr_factor*TblConstr[[#This Row],[Facs DB]],facs_constr_max) + tech_1_11*TblTech[[#This Row],[1-11]] + tech_6_3_2*TblTech[[#This Row],[6-3]] + tech_5_2_3*TblTech[[#This Row],[5-2]], 1-global_constr_cap) * ROUND((TblConstr[[#This Row],[Land]]-250)*0.285 + 87.5 + 0/4.25,0),0)</f>
        <v>200</v>
      </c>
      <c r="AQ136" s="1" t="n">
        <f aca="false">TblConstr[[#This Row],[build -db]]*TblConstr[[#This Row],[CPA Platinum -DB]] + TblConstr[[#This Row],[build db]]*TblConstr[[#This Row],[CPA Platinum DB]]</f>
        <v>-65340</v>
      </c>
      <c r="AR136" s="1" t="n">
        <f aca="false">TblConstr[[#This Row],[build -db]]*TblConstr[[#This Row],[CPA Lumber -DB]]+TblConstr[[#This Row],[build db]]*TblConstr[[#This Row],[CPA Lumber DB]]</f>
        <v>-10800</v>
      </c>
      <c r="AS136" s="69" t="n">
        <f aca="false">MIN(SUM(OFFSET(TblConstr[[#This Row],[Plain]:[Water]],-1,0))+SUM(TblConstr[[#This Row],[Dest Hom]:[Dest Doc]])+IF(TblConstr[[#This Row],[Hour]]&gt;12,SUM(OFFSET(TblExplore[[#This Row],[Plains Explore]:[Water Explore]],-12,0)),0),SUM(TblConstr[[#This Row],[Hom]:[Doc]]))</f>
        <v>-54</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1345</v>
      </c>
      <c r="AW136" s="69" t="n">
        <f aca="false">ROUND((TblConstr[[#This Row],[Land]]-250 - IF(TblExplore[[#This Row],[Land Bonus]]&lt;&gt;0,20,0))*0.285 + 87.5 + 0/4.25,0)</f>
        <v>200</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646</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349</v>
      </c>
      <c r="DA136" s="69" t="n">
        <f aca="false">H136+SUM(T125:U136)+SUM(BD136:BE136)</f>
        <v>27</v>
      </c>
      <c r="DB136" s="1" t="n">
        <f aca="false">I136+SUM(V125:W136)+SUM(BF136:BG136)</f>
        <v>3</v>
      </c>
      <c r="DC136" s="69" t="n">
        <f aca="false">J136+SUM(X125:Y136)+SUM(BH136:BI136)</f>
        <v>59</v>
      </c>
      <c r="DD136" s="69" t="n">
        <f aca="false">K136+SUM(AB125:AD136)+SUM(BL136:BN136)</f>
        <v>81</v>
      </c>
      <c r="DE136" s="1" t="n">
        <f aca="false">L136+SUM(AE125:AE136)+BO136</f>
        <v>6</v>
      </c>
      <c r="DF136" s="69" t="n">
        <f aca="false">M136+SUM(AG125:AG136)+BQ136</f>
        <v>31</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N1" colorId="64" zoomScale="85" zoomScaleNormal="85" zoomScalePageLayoutView="100" workbookViewId="0">
      <pane xSplit="0" ySplit="3" topLeftCell="A7" activePane="bottomLeft" state="frozen"/>
      <selection pane="topLeft" activeCell="N1" activeCellId="0" sqref="N1"/>
      <selection pane="bottomLeft" activeCell="S9" activeCellId="0" sqref="S9"/>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32177</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37</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38394</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45</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44502.5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52</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53587</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63</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39408</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46</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49346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58</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0.563676907829534</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59563</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70</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0.593161546085233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70075</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82</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0.624132804757185</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80898</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95</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0.567827130852341</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21929</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24</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0.553849627455408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23317</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26</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0.572103487064117</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24112</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27</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0.591795561533289</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23628</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25</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0.620951530042439</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30585</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28</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794516</v>
      </c>
      <c r="N26" s="247" t="n">
        <f aca="false">TblMili[[#This Row],[Smithies]]</f>
        <v>0</v>
      </c>
      <c r="O26" s="247" t="n">
        <f aca="false">TblPop[[#This Row],[Employment]]</f>
        <v>1</v>
      </c>
      <c r="P26" s="247" t="n">
        <f aca="false">TblImps[[#This Row],[Population]]</f>
        <v>0.65234809703984</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38772</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33</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Production!T76</f>
        <v>45685</v>
      </c>
      <c r="N27" s="247" t="n">
        <f aca="false">TblMili[[#This Row],[Smithies]]</f>
        <v>0</v>
      </c>
      <c r="O27" s="247" t="n">
        <f aca="false">TblPop[[#This Row],[Employment]]</f>
        <v>1</v>
      </c>
      <c r="P27" s="247" t="n">
        <f aca="false">TblImps[[#This Row],[Population]]</f>
        <v>0.678952042628774</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41357</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30</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409</v>
      </c>
      <c r="N28" s="247" t="n">
        <f aca="false">TblMili[[#This Row],[Smithies]]</f>
        <v>0</v>
      </c>
      <c r="O28" s="247" t="n">
        <f aca="false">TblPop[[#This Row],[Employment]]</f>
        <v>1</v>
      </c>
      <c r="P28" s="247" t="n">
        <f aca="false">TblImps[[#This Row],[Population]]</f>
        <v>0.677646571369381</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54909</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37</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646</v>
      </c>
      <c r="N29" s="247" t="n">
        <f aca="false">TblMili[[#This Row],[Smithies]]</f>
        <v>0</v>
      </c>
      <c r="O29" s="247" t="n">
        <f aca="false">TblPop[[#This Row],[Employment]]</f>
        <v>1</v>
      </c>
      <c r="P29" s="247" t="n">
        <f aca="false">TblImps[[#This Row],[Population]]</f>
        <v>0.724466542365859</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68958</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45</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0.774394033561218</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85158</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0.827429044955459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101920</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0.860575927076859</v>
      </c>
      <c r="Q32" s="181" t="n">
        <f aca="false">TblExplore[[#This Row],[Land]]</f>
        <v>299</v>
      </c>
      <c r="R32" s="170" t="n">
        <f aca="false">TblExplore[[#This Row],[Hour]]</f>
        <v>29</v>
      </c>
      <c r="S32" s="248"/>
      <c r="T32" s="152" t="n">
        <v>1</v>
      </c>
      <c r="U32" s="182" t="n">
        <v>2</v>
      </c>
      <c r="V32" s="182" t="n">
        <v>3</v>
      </c>
      <c r="W32" s="182" t="n">
        <v>4</v>
      </c>
      <c r="X32" s="182" t="n">
        <v>5</v>
      </c>
      <c r="Y32" s="182" t="n">
        <v>6</v>
      </c>
      <c r="Z32" s="182" t="n">
        <v>7</v>
      </c>
      <c r="AA32" s="153" t="n">
        <f aca="false">TblImps[[#This Row],[Real time]]</f>
        <v>45430.9166666667</v>
      </c>
      <c r="AB32" s="69" t="n">
        <f aca="false">TblMili[[#This Row],[Draftees]]</f>
        <v>175</v>
      </c>
      <c r="AC32" s="69" t="n">
        <f aca="false">TblProd[[#This Row],[Platinum]]</f>
        <v>93406</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27608</v>
      </c>
      <c r="AI32" s="69" t="n">
        <f aca="false">SUM(TblExplore[[#This Row],[Plains Explore]:[Water Explore]])*TblExplore[[#This Row],[Draftees/acre]]</f>
        <v>112</v>
      </c>
      <c r="AJ32" s="151" t="n">
        <f aca="false">_xlfn.FLOOR.MATH(MIN(TblExplore[[#This Row],[Platinum]]/TblExplore[[#This Row],[Plat/acre]],TblExplore[[#This Row],[Draftees]]/TblExplore[[#This Row],[Draftees/acre]]))</f>
        <v>43</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0.84108378170638</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170</v>
      </c>
      <c r="AC33" s="69" t="n">
        <f aca="false">TblProd[[#This Row],[Platinum]]</f>
        <v>74370</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34</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0.765791223404255</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162</v>
      </c>
      <c r="AC34" s="69" t="n">
        <f aca="false">TblProd[[#This Row],[Platinum]]</f>
        <v>77680</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32</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0.782384255525085</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156</v>
      </c>
      <c r="AC35" s="69" t="n">
        <f aca="false">TblProd[[#This Row],[Platinum]]</f>
        <v>80670</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31</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0.798686062881276</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153</v>
      </c>
      <c r="AC36" s="69" t="n">
        <f aca="false">TblProd[[#This Row],[Platinum]]</f>
        <v>83767</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30</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0.821963903334353</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148</v>
      </c>
      <c r="AC37" s="69" t="n">
        <f aca="false">TblProd[[#This Row],[Platinum]]</f>
        <v>89772</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29</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0.859139948336119</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140</v>
      </c>
      <c r="AC38" s="69" t="n">
        <f aca="false">TblProd[[#This Row],[Platinum]]</f>
        <v>95411</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28</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0.893044915126934</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130</v>
      </c>
      <c r="AC39" s="69" t="n">
        <f aca="false">TblProd[[#This Row],[Platinum]]</f>
        <v>97049</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26</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0.924748669426375</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123</v>
      </c>
      <c r="AC40" s="69" t="n">
        <f aca="false">TblProd[[#This Row],[Platinum]]</f>
        <v>103821</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24</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0.973684210526316</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119</v>
      </c>
      <c r="AC41" s="69" t="n">
        <f aca="false">TblProd[[#This Row],[Platinum]]</f>
        <v>111534</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23</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0.947568389057751</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114</v>
      </c>
      <c r="AC42" s="69" t="n">
        <f aca="false">TblProd[[#This Row],[Platinum]]</f>
        <v>118024</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22</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0.946992709599028</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115</v>
      </c>
      <c r="AC43" s="69" t="n">
        <f aca="false">TblProd[[#This Row],[Platinum]]</f>
        <v>126043</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23</v>
      </c>
    </row>
    <row r="44" customFormat="false" ht="12.75" hidden="false" customHeight="false" outlineLevel="0" collapsed="false">
      <c r="A44" s="170" t="n">
        <f aca="false">TblRezone[[#This Row],[Hour]]</f>
        <v>41</v>
      </c>
      <c r="B44" s="181" t="n">
        <f aca="false">TblConstr[[#This Row],[Land]]</f>
        <v>447</v>
      </c>
      <c r="C44" s="245"/>
      <c r="D44" s="246" t="n">
        <f aca="false">TblConstr[[#This Row],[Plain]]</f>
        <v>-81</v>
      </c>
      <c r="E44" s="193" t="n">
        <f aca="false">TblConstr[[#This Row],[Forest]]</f>
        <v>2</v>
      </c>
      <c r="F44" s="200" t="n">
        <f aca="false">TblConstr[[#This Row],[Mountain]]</f>
        <v>3</v>
      </c>
      <c r="G44" s="201" t="n">
        <f aca="false">TblConstr[[#This Row],[Hill]]</f>
        <v>4</v>
      </c>
      <c r="H44" s="202" t="n">
        <f aca="false">TblConstr[[#This Row],[Swamp]]</f>
        <v>5</v>
      </c>
      <c r="I44" s="197" t="n">
        <f aca="false">TblConstr[[#This Row],[Cavern]]</f>
        <v>6</v>
      </c>
      <c r="J44" s="198" t="n">
        <f aca="false">TblConstr[[#This Row],[Water]]</f>
        <v>7</v>
      </c>
      <c r="K44" s="4"/>
      <c r="L44" s="4"/>
      <c r="M44" s="4"/>
      <c r="N44" s="247" t="n">
        <f aca="false">TblMili[[#This Row],[Smithies]]</f>
        <v>0</v>
      </c>
      <c r="O44" s="247" t="n">
        <f aca="false">TblPop[[#This Row],[Employment]]</f>
        <v>1</v>
      </c>
      <c r="P44" s="247" t="n">
        <f aca="false">TblImps[[#This Row],[Population]]</f>
        <v>0.990455531453362</v>
      </c>
      <c r="Q44" s="181" t="n">
        <f aca="false">TblExplore[[#This Row],[Land]]</f>
        <v>447</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115</v>
      </c>
      <c r="AC44" s="69" t="n">
        <f aca="false">TblProd[[#This Row],[Platinum]]</f>
        <v>123382</v>
      </c>
      <c r="AD44" s="245"/>
      <c r="AE44" s="151" t="n">
        <f aca="false">TblExplore[[#This Row],[Land]]-TblExplore[[#This Row],[Land Bonus]]*20</f>
        <v>447</v>
      </c>
      <c r="AF44" s="69" t="n">
        <f aca="false">ROUND(MAX(0.6*TblExplore[[#This Row],[Land-DB]]^1.299,850)*(1+ tech_2_6*Techs!AC44 + tech_2_9*Techs!AF44 + tech_3_7*Techs!AN44 + Overview!$I$32),0)</f>
        <v>1663</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18293</v>
      </c>
      <c r="AI44" s="69" t="n">
        <f aca="false">SUM(TblExplore[[#This Row],[Plains Explore]:[Water Explore]])*TblExplore[[#This Row],[Draftees/acre]]</f>
        <v>66</v>
      </c>
      <c r="AJ44" s="151" t="n">
        <f aca="false">_xlfn.FLOOR.MATH(MIN(TblExplore[[#This Row],[Platinum]]/TblExplore[[#This Row],[Plat/acre]],TblExplore[[#This Row],[Draftees]]/TblExplore[[#This Row],[Draftees/acre]]))</f>
        <v>19</v>
      </c>
    </row>
    <row r="45" customFormat="false" ht="12.75" hidden="false" customHeight="false" outlineLevel="0" collapsed="false">
      <c r="A45" s="170" t="n">
        <f aca="false">TblRezone[[#This Row],[Hour]]</f>
        <v>42</v>
      </c>
      <c r="B45" s="181" t="n">
        <f aca="false">TblConstr[[#This Row],[Land]]</f>
        <v>456</v>
      </c>
      <c r="C45" s="245"/>
      <c r="D45" s="246" t="n">
        <f aca="false">TblConstr[[#This Row],[Plain]]</f>
        <v>-81</v>
      </c>
      <c r="E45" s="193" t="n">
        <f aca="false">TblConstr[[#This Row],[Forest]]</f>
        <v>2</v>
      </c>
      <c r="F45" s="200" t="n">
        <f aca="false">TblConstr[[#This Row],[Mountain]]</f>
        <v>3</v>
      </c>
      <c r="G45" s="201" t="n">
        <f aca="false">TblConstr[[#This Row],[Hill]]</f>
        <v>4</v>
      </c>
      <c r="H45" s="202" t="n">
        <f aca="false">TblConstr[[#This Row],[Swamp]]</f>
        <v>5</v>
      </c>
      <c r="I45" s="197" t="n">
        <f aca="false">TblConstr[[#This Row],[Cavern]]</f>
        <v>6</v>
      </c>
      <c r="J45" s="198" t="n">
        <f aca="false">TblConstr[[#This Row],[Water]]</f>
        <v>7</v>
      </c>
      <c r="K45" s="4"/>
      <c r="L45" s="4"/>
      <c r="M45" s="4"/>
      <c r="N45" s="247" t="n">
        <f aca="false">TblMili[[#This Row],[Smithies]]</f>
        <v>0</v>
      </c>
      <c r="O45" s="247" t="n">
        <f aca="false">TblPop[[#This Row],[Employment]]</f>
        <v>1</v>
      </c>
      <c r="P45" s="247" t="n">
        <f aca="false">TblImps[[#This Row],[Population]]</f>
        <v>0.917792505735407</v>
      </c>
      <c r="Q45" s="181" t="n">
        <f aca="false">TblExplore[[#This Row],[Land]]</f>
        <v>456</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110</v>
      </c>
      <c r="AC45" s="69" t="n">
        <f aca="false">TblProd[[#This Row],[Platinum]]</f>
        <v>155975</v>
      </c>
      <c r="AD45" s="245"/>
      <c r="AE45" s="151" t="n">
        <f aca="false">TblExplore[[#This Row],[Land]]-TblExplore[[#This Row],[Land Bonus]]*20</f>
        <v>456</v>
      </c>
      <c r="AF45" s="69" t="n">
        <f aca="false">ROUND(MAX(0.6*TblExplore[[#This Row],[Land-DB]]^1.299,850)*(1+ tech_2_6*Techs!AC45 + tech_2_9*Techs!AF45 + tech_3_7*Techs!AN45 + Overview!$I$32),0)</f>
        <v>1707</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20484</v>
      </c>
      <c r="AI45" s="69" t="n">
        <f aca="false">SUM(TblExplore[[#This Row],[Plains Explore]:[Water Explore]])*TblExplore[[#This Row],[Draftees/acre]]</f>
        <v>72</v>
      </c>
      <c r="AJ45" s="151" t="n">
        <f aca="false">_xlfn.FLOOR.MATH(MIN(TblExplore[[#This Row],[Platinum]]/TblExplore[[#This Row],[Plat/acre]],TblExplore[[#This Row],[Draftees]]/TblExplore[[#This Row],[Draftees/acre]]))</f>
        <v>18</v>
      </c>
    </row>
    <row r="46" customFormat="false" ht="12.75" hidden="false" customHeight="false" outlineLevel="0" collapsed="false">
      <c r="A46" s="170" t="n">
        <f aca="false">TblRezone[[#This Row],[Hour]]</f>
        <v>43</v>
      </c>
      <c r="B46" s="181" t="n">
        <f aca="false">TblConstr[[#This Row],[Land]]</f>
        <v>466</v>
      </c>
      <c r="C46" s="245"/>
      <c r="D46" s="246" t="n">
        <f aca="false">TblConstr[[#This Row],[Plain]]</f>
        <v>-81</v>
      </c>
      <c r="E46" s="193" t="n">
        <f aca="false">TblConstr[[#This Row],[Forest]]</f>
        <v>2</v>
      </c>
      <c r="F46" s="200" t="n">
        <f aca="false">TblConstr[[#This Row],[Mountain]]</f>
        <v>3</v>
      </c>
      <c r="G46" s="201" t="n">
        <f aca="false">TblConstr[[#This Row],[Hill]]</f>
        <v>4</v>
      </c>
      <c r="H46" s="202" t="n">
        <f aca="false">TblConstr[[#This Row],[Swamp]]</f>
        <v>5</v>
      </c>
      <c r="I46" s="197" t="n">
        <f aca="false">TblConstr[[#This Row],[Cavern]]</f>
        <v>6</v>
      </c>
      <c r="J46" s="198" t="n">
        <f aca="false">TblConstr[[#This Row],[Water]]</f>
        <v>7</v>
      </c>
      <c r="K46" s="4"/>
      <c r="L46" s="4"/>
      <c r="M46" s="4"/>
      <c r="N46" s="247" t="n">
        <f aca="false">TblMili[[#This Row],[Smithies]]</f>
        <v>0</v>
      </c>
      <c r="O46" s="247" t="n">
        <f aca="false">TblPop[[#This Row],[Employment]]</f>
        <v>1</v>
      </c>
      <c r="P46" s="247" t="n">
        <f aca="false">TblImps[[#This Row],[Population]]</f>
        <v>0.949856196073528</v>
      </c>
      <c r="Q46" s="181" t="n">
        <f aca="false">TblExplore[[#This Row],[Land]]</f>
        <v>466</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133</v>
      </c>
      <c r="AC46" s="69" t="n">
        <f aca="false">TblProd[[#This Row],[Platinum]]</f>
        <v>196488</v>
      </c>
      <c r="AD46" s="245"/>
      <c r="AE46" s="151" t="n">
        <f aca="false">TblExplore[[#This Row],[Land]]-TblExplore[[#This Row],[Land Bonus]]*20</f>
        <v>466</v>
      </c>
      <c r="AF46" s="69" t="n">
        <f aca="false">ROUND(MAX(0.6*TblExplore[[#This Row],[Land-DB]]^1.299,850)*(1+ tech_2_6*Techs!AC46 + tech_2_9*Techs!AF46 + tech_3_7*Techs!AN46 + Overview!$I$32),0)</f>
        <v>1755</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14040</v>
      </c>
      <c r="AI46" s="69" t="n">
        <f aca="false">SUM(TblExplore[[#This Row],[Plains Explore]:[Water Explore]])*TblExplore[[#This Row],[Draftees/acre]]</f>
        <v>48</v>
      </c>
      <c r="AJ46" s="151" t="n">
        <f aca="false">_xlfn.FLOOR.MATH(MIN(TblExplore[[#This Row],[Platinum]]/TblExplore[[#This Row],[Plat/acre]],TblExplore[[#This Row],[Draftees]]/TblExplore[[#This Row],[Draftees/acre]]))</f>
        <v>22</v>
      </c>
    </row>
    <row r="47" customFormat="false" ht="12.75" hidden="false" customHeight="false" outlineLevel="0" collapsed="false">
      <c r="A47" s="170" t="n">
        <f aca="false">TblRezone[[#This Row],[Hour]]</f>
        <v>44</v>
      </c>
      <c r="B47" s="181" t="n">
        <f aca="false">TblConstr[[#This Row],[Land]]</f>
        <v>476</v>
      </c>
      <c r="C47" s="245"/>
      <c r="D47" s="246" t="n">
        <f aca="false">TblConstr[[#This Row],[Plain]]</f>
        <v>-81</v>
      </c>
      <c r="E47" s="193" t="n">
        <f aca="false">TblConstr[[#This Row],[Forest]]</f>
        <v>2</v>
      </c>
      <c r="F47" s="200" t="n">
        <f aca="false">TblConstr[[#This Row],[Mountain]]</f>
        <v>3</v>
      </c>
      <c r="G47" s="201" t="n">
        <f aca="false">TblConstr[[#This Row],[Hill]]</f>
        <v>4</v>
      </c>
      <c r="H47" s="202" t="n">
        <f aca="false">TblConstr[[#This Row],[Swamp]]</f>
        <v>5</v>
      </c>
      <c r="I47" s="197" t="n">
        <f aca="false">TblConstr[[#This Row],[Cavern]]</f>
        <v>6</v>
      </c>
      <c r="J47" s="198" t="n">
        <f aca="false">TblConstr[[#This Row],[Water]]</f>
        <v>7</v>
      </c>
      <c r="K47" s="4"/>
      <c r="L47" s="4"/>
      <c r="M47" s="4"/>
      <c r="N47" s="247" t="n">
        <f aca="false">TblMili[[#This Row],[Smithies]]</f>
        <v>0</v>
      </c>
      <c r="O47" s="247" t="n">
        <f aca="false">TblPop[[#This Row],[Employment]]</f>
        <v>1</v>
      </c>
      <c r="P47" s="247" t="n">
        <f aca="false">TblImps[[#This Row],[Population]]</f>
        <v>0.987987251777396</v>
      </c>
      <c r="Q47" s="181" t="n">
        <f aca="false">TblExplore[[#This Row],[Land]]</f>
        <v>476</v>
      </c>
      <c r="R47" s="170" t="n">
        <f aca="false">TblExplore[[#This Row],[Hour]]</f>
        <v>44</v>
      </c>
      <c r="S47" s="248"/>
      <c r="T47" s="182"/>
      <c r="U47" s="182"/>
      <c r="V47" s="182"/>
      <c r="W47" s="182"/>
      <c r="X47" s="182"/>
      <c r="Y47" s="182"/>
      <c r="Z47" s="182"/>
      <c r="AA47" s="153" t="n">
        <f aca="false">TblImps[[#This Row],[Real time]]</f>
        <v>45431.5416666667</v>
      </c>
      <c r="AB47" s="69" t="n">
        <f aca="false">TblMili[[#This Row],[Draftees]]</f>
        <v>208</v>
      </c>
      <c r="AC47" s="69" t="n">
        <f aca="false">TblProd[[#This Row],[Platinum]]</f>
        <v>253003</v>
      </c>
      <c r="AD47" s="245"/>
      <c r="AE47" s="151" t="n">
        <f aca="false">TblExplore[[#This Row],[Land]]-TblExplore[[#This Row],[Land Bonus]]*20</f>
        <v>476</v>
      </c>
      <c r="AF47" s="69" t="n">
        <f aca="false">ROUND(MAX(0.6*TblExplore[[#This Row],[Land-DB]]^1.299,850)*(1+ tech_2_6*Techs!AC47 + tech_2_9*Techs!AF47 + tech_3_7*Techs!AN47 + Overview!$I$32),0)</f>
        <v>1805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34</v>
      </c>
    </row>
    <row r="48" customFormat="false" ht="12.75" hidden="false" customHeight="false" outlineLevel="0" collapsed="false">
      <c r="A48" s="170" t="n">
        <f aca="false">TblRezone[[#This Row],[Hour]]</f>
        <v>45</v>
      </c>
      <c r="B48" s="181" t="n">
        <f aca="false">TblConstr[[#This Row],[Land]]</f>
        <v>486</v>
      </c>
      <c r="C48" s="245"/>
      <c r="D48" s="246" t="n">
        <f aca="false">TblConstr[[#This Row],[Plain]]</f>
        <v>-81</v>
      </c>
      <c r="E48" s="193" t="n">
        <f aca="false">TblConstr[[#This Row],[Forest]]</f>
        <v>2</v>
      </c>
      <c r="F48" s="200" t="n">
        <f aca="false">TblConstr[[#This Row],[Mountain]]</f>
        <v>3</v>
      </c>
      <c r="G48" s="201" t="n">
        <f aca="false">TblConstr[[#This Row],[Hill]]</f>
        <v>4</v>
      </c>
      <c r="H48" s="202" t="n">
        <f aca="false">TblConstr[[#This Row],[Swamp]]</f>
        <v>5</v>
      </c>
      <c r="I48" s="197" t="n">
        <f aca="false">TblConstr[[#This Row],[Cavern]]</f>
        <v>6</v>
      </c>
      <c r="J48" s="198" t="n">
        <f aca="false">TblConstr[[#This Row],[Water]]</f>
        <v>7</v>
      </c>
      <c r="K48" s="4"/>
      <c r="L48" s="4"/>
      <c r="M48" s="4"/>
      <c r="N48" s="247" t="n">
        <f aca="false">TblMili[[#This Row],[Smithies]]</f>
        <v>0</v>
      </c>
      <c r="O48" s="247" t="n">
        <f aca="false">TblPop[[#This Row],[Employment]]</f>
        <v>1</v>
      </c>
      <c r="P48" s="247" t="n">
        <f aca="false">TblImps[[#This Row],[Population]]</f>
        <v>1</v>
      </c>
      <c r="Q48" s="181" t="n">
        <f aca="false">TblExplore[[#This Row],[Land]]</f>
        <v>486</v>
      </c>
      <c r="R48" s="170" t="n">
        <f aca="false">TblExplore[[#This Row],[Hour]]</f>
        <v>45</v>
      </c>
      <c r="S48" s="248"/>
      <c r="T48" s="182"/>
      <c r="U48" s="182"/>
      <c r="V48" s="182"/>
      <c r="W48" s="182"/>
      <c r="X48" s="182"/>
      <c r="Y48" s="182"/>
      <c r="Z48" s="182"/>
      <c r="AA48" s="153" t="n">
        <f aca="false">TblImps[[#This Row],[Real time]]</f>
        <v>45431.5833333333</v>
      </c>
      <c r="AB48" s="69" t="n">
        <f aca="false">TblMili[[#This Row],[Draftees]]</f>
        <v>287</v>
      </c>
      <c r="AC48" s="69" t="n">
        <f aca="false">TblProd[[#This Row],[Platinum]]</f>
        <v>310894</v>
      </c>
      <c r="AD48" s="245"/>
      <c r="AE48" s="151" t="n">
        <f aca="false">TblExplore[[#This Row],[Land]]-TblExplore[[#This Row],[Land Bonus]]*20</f>
        <v>486</v>
      </c>
      <c r="AF48" s="69" t="n">
        <f aca="false">ROUND(MAX(0.6*TblExplore[[#This Row],[Land-DB]]^1.299,850)*(1+ tech_2_6*Techs!AC48 + tech_2_9*Techs!AF48 + tech_3_7*Techs!AN48 + Overview!$I$32),0)</f>
        <v>1854</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47</v>
      </c>
    </row>
    <row r="49" customFormat="false" ht="12.75" hidden="false" customHeight="false" outlineLevel="0" collapsed="false">
      <c r="A49" s="170" t="n">
        <f aca="false">TblRezone[[#This Row],[Hour]]</f>
        <v>46</v>
      </c>
      <c r="B49" s="181" t="n">
        <f aca="false">TblConstr[[#This Row],[Land]]</f>
        <v>497</v>
      </c>
      <c r="C49" s="245"/>
      <c r="D49" s="246" t="n">
        <f aca="false">TblConstr[[#This Row],[Plain]]</f>
        <v>-81</v>
      </c>
      <c r="E49" s="193" t="n">
        <f aca="false">TblConstr[[#This Row],[Forest]]</f>
        <v>2</v>
      </c>
      <c r="F49" s="200" t="n">
        <f aca="false">TblConstr[[#This Row],[Mountain]]</f>
        <v>3</v>
      </c>
      <c r="G49" s="201" t="n">
        <f aca="false">TblConstr[[#This Row],[Hill]]</f>
        <v>4</v>
      </c>
      <c r="H49" s="202" t="n">
        <f aca="false">TblConstr[[#This Row],[Swamp]]</f>
        <v>5</v>
      </c>
      <c r="I49" s="197" t="n">
        <f aca="false">TblConstr[[#This Row],[Cavern]]</f>
        <v>6</v>
      </c>
      <c r="J49" s="198" t="n">
        <f aca="false">TblConstr[[#This Row],[Water]]</f>
        <v>7</v>
      </c>
      <c r="K49" s="4"/>
      <c r="L49" s="4"/>
      <c r="M49" s="4"/>
      <c r="N49" s="247" t="n">
        <f aca="false">TblMili[[#This Row],[Smithies]]</f>
        <v>0</v>
      </c>
      <c r="O49" s="247" t="n">
        <f aca="false">TblPop[[#This Row],[Employment]]</f>
        <v>1</v>
      </c>
      <c r="P49" s="247" t="n">
        <f aca="false">TblImps[[#This Row],[Population]]</f>
        <v>1</v>
      </c>
      <c r="Q49" s="181" t="n">
        <f aca="false">TblExplore[[#This Row],[Land]]</f>
        <v>497</v>
      </c>
      <c r="R49" s="170" t="n">
        <f aca="false">TblExplore[[#This Row],[Hour]]</f>
        <v>46</v>
      </c>
      <c r="S49" s="248"/>
      <c r="T49" s="182"/>
      <c r="U49" s="182"/>
      <c r="V49" s="182"/>
      <c r="W49" s="182"/>
      <c r="X49" s="182"/>
      <c r="Y49" s="182"/>
      <c r="Z49" s="182"/>
      <c r="AA49" s="153" t="n">
        <f aca="false">TblImps[[#This Row],[Real time]]</f>
        <v>45431.625</v>
      </c>
      <c r="AB49" s="69" t="n">
        <f aca="false">TblMili[[#This Row],[Draftees]]</f>
        <v>367</v>
      </c>
      <c r="AC49" s="69" t="n">
        <f aca="false">TblProd[[#This Row],[Platinum]]</f>
        <v>369076</v>
      </c>
      <c r="AD49" s="245"/>
      <c r="AE49" s="151" t="n">
        <f aca="false">TblExplore[[#This Row],[Land]]-TblExplore[[#This Row],[Land Bonus]]*20</f>
        <v>497</v>
      </c>
      <c r="AF49" s="69" t="n">
        <f aca="false">ROUND(MAX(0.6*TblExplore[[#This Row],[Land-DB]]^1.299,850)*(1+ tech_2_6*Techs!AC49 + tech_2_9*Techs!AF49 + tech_3_7*Techs!AN49 + Overview!$I$32),0)</f>
        <v>1909</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61</v>
      </c>
    </row>
    <row r="50" customFormat="false" ht="12.75" hidden="false" customHeight="false" outlineLevel="0" collapsed="false">
      <c r="A50" s="170" t="n">
        <f aca="false">TblRezone[[#This Row],[Hour]]</f>
        <v>47</v>
      </c>
      <c r="B50" s="181" t="n">
        <f aca="false">TblConstr[[#This Row],[Land]]</f>
        <v>509</v>
      </c>
      <c r="C50" s="245"/>
      <c r="D50" s="246" t="n">
        <f aca="false">TblConstr[[#This Row],[Plain]]</f>
        <v>-81</v>
      </c>
      <c r="E50" s="193" t="n">
        <f aca="false">TblConstr[[#This Row],[Forest]]</f>
        <v>2</v>
      </c>
      <c r="F50" s="200" t="n">
        <f aca="false">TblConstr[[#This Row],[Mountain]]</f>
        <v>3</v>
      </c>
      <c r="G50" s="201" t="n">
        <f aca="false">TblConstr[[#This Row],[Hill]]</f>
        <v>4</v>
      </c>
      <c r="H50" s="202" t="n">
        <f aca="false">TblConstr[[#This Row],[Swamp]]</f>
        <v>5</v>
      </c>
      <c r="I50" s="197" t="n">
        <f aca="false">TblConstr[[#This Row],[Cavern]]</f>
        <v>6</v>
      </c>
      <c r="J50" s="198" t="n">
        <f aca="false">TblConstr[[#This Row],[Water]]</f>
        <v>7</v>
      </c>
      <c r="K50" s="4"/>
      <c r="L50" s="4"/>
      <c r="M50" s="4"/>
      <c r="N50" s="247" t="n">
        <f aca="false">TblMili[[#This Row],[Smithies]]</f>
        <v>0</v>
      </c>
      <c r="O50" s="247" t="n">
        <f aca="false">TblPop[[#This Row],[Employment]]</f>
        <v>1</v>
      </c>
      <c r="P50" s="247" t="n">
        <f aca="false">TblImps[[#This Row],[Population]]</f>
        <v>1</v>
      </c>
      <c r="Q50" s="181" t="n">
        <f aca="false">TblExplore[[#This Row],[Land]]</f>
        <v>509</v>
      </c>
      <c r="R50" s="170" t="n">
        <f aca="false">TblExplore[[#This Row],[Hour]]</f>
        <v>47</v>
      </c>
      <c r="S50" s="248"/>
      <c r="T50" s="182"/>
      <c r="U50" s="182"/>
      <c r="V50" s="182"/>
      <c r="W50" s="182"/>
      <c r="X50" s="182"/>
      <c r="Y50" s="182"/>
      <c r="Z50" s="182"/>
      <c r="AA50" s="153" t="n">
        <f aca="false">TblImps[[#This Row],[Real time]]</f>
        <v>45431.6666666667</v>
      </c>
      <c r="AB50" s="69" t="n">
        <f aca="false">TblMili[[#This Row],[Draftees]]</f>
        <v>448</v>
      </c>
      <c r="AC50" s="69" t="n">
        <f aca="false">TblProd[[#This Row],[Platinum]]</f>
        <v>427306</v>
      </c>
      <c r="AD50" s="245"/>
      <c r="AE50" s="151" t="n">
        <f aca="false">TblExplore[[#This Row],[Land]]-TblExplore[[#This Row],[Land Bonus]]*20</f>
        <v>509</v>
      </c>
      <c r="AF50" s="69" t="n">
        <f aca="false">ROUND(MAX(0.6*TblExplore[[#This Row],[Land-DB]]^1.299,850)*(1+ tech_2_6*Techs!AC50 + tech_2_9*Techs!AF50 + tech_3_7*Techs!AN50 + Overview!$I$32),0)</f>
        <v>1969</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74</v>
      </c>
    </row>
    <row r="51" customFormat="false" ht="12.75" hidden="false" customHeight="false" outlineLevel="0" collapsed="false">
      <c r="A51" s="170" t="n">
        <f aca="false">TblRezone[[#This Row],[Hour]]</f>
        <v>48</v>
      </c>
      <c r="B51" s="181" t="n">
        <f aca="false">TblConstr[[#This Row],[Land]]</f>
        <v>542</v>
      </c>
      <c r="C51" s="245"/>
      <c r="D51" s="246" t="n">
        <f aca="false">TblConstr[[#This Row],[Plain]]</f>
        <v>-81</v>
      </c>
      <c r="E51" s="193" t="n">
        <f aca="false">TblConstr[[#This Row],[Forest]]</f>
        <v>2</v>
      </c>
      <c r="F51" s="200" t="n">
        <f aca="false">TblConstr[[#This Row],[Mountain]]</f>
        <v>3</v>
      </c>
      <c r="G51" s="201" t="n">
        <f aca="false">TblConstr[[#This Row],[Hill]]</f>
        <v>4</v>
      </c>
      <c r="H51" s="202" t="n">
        <f aca="false">TblConstr[[#This Row],[Swamp]]</f>
        <v>5</v>
      </c>
      <c r="I51" s="197" t="n">
        <f aca="false">TblConstr[[#This Row],[Cavern]]</f>
        <v>6</v>
      </c>
      <c r="J51" s="198" t="n">
        <f aca="false">TblConstr[[#This Row],[Water]]</f>
        <v>7</v>
      </c>
      <c r="K51" s="4"/>
      <c r="L51" s="4"/>
      <c r="M51" s="4"/>
      <c r="N51" s="247" t="n">
        <f aca="false">TblMili[[#This Row],[Smithies]]</f>
        <v>0</v>
      </c>
      <c r="O51" s="247" t="n">
        <f aca="false">TblPop[[#This Row],[Employment]]</f>
        <v>1</v>
      </c>
      <c r="P51" s="247" t="n">
        <f aca="false">TblImps[[#This Row],[Population]]</f>
        <v>1</v>
      </c>
      <c r="Q51" s="181" t="n">
        <f aca="false">TblExplore[[#This Row],[Land]]</f>
        <v>542</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530</v>
      </c>
      <c r="AC51" s="69" t="n">
        <f aca="false">TblProd[[#This Row],[Platinum]]</f>
        <v>509289</v>
      </c>
      <c r="AD51" s="245"/>
      <c r="AE51" s="151" t="n">
        <f aca="false">TblExplore[[#This Row],[Land]]-TblExplore[[#This Row],[Land Bonus]]*20</f>
        <v>522</v>
      </c>
      <c r="AF51" s="69" t="n">
        <f aca="false">ROUND(MAX(0.6*TblExplore[[#This Row],[Land-DB]]^1.299,850)*(1+ tech_2_6*Techs!AC51 + tech_2_9*Techs!AF51 + tech_3_7*Techs!AN51 + Overview!$I$32),0)</f>
        <v>2034</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88</v>
      </c>
    </row>
    <row r="52" customFormat="false" ht="12.75" hidden="false" customHeight="false" outlineLevel="0" collapsed="false">
      <c r="A52" s="170" t="n">
        <f aca="false">TblRezone[[#This Row],[Hour]]</f>
        <v>49</v>
      </c>
      <c r="B52" s="181" t="n">
        <f aca="false">TblConstr[[#This Row],[Land]]</f>
        <v>575</v>
      </c>
      <c r="C52" s="245"/>
      <c r="D52" s="246" t="n">
        <f aca="false">TblConstr[[#This Row],[Plain]]</f>
        <v>-81</v>
      </c>
      <c r="E52" s="193" t="n">
        <f aca="false">TblConstr[[#This Row],[Forest]]</f>
        <v>2</v>
      </c>
      <c r="F52" s="200" t="n">
        <f aca="false">TblConstr[[#This Row],[Mountain]]</f>
        <v>3</v>
      </c>
      <c r="G52" s="201" t="n">
        <f aca="false">TblConstr[[#This Row],[Hill]]</f>
        <v>4</v>
      </c>
      <c r="H52" s="202" t="n">
        <f aca="false">TblConstr[[#This Row],[Swamp]]</f>
        <v>5</v>
      </c>
      <c r="I52" s="197" t="n">
        <f aca="false">TblConstr[[#This Row],[Cavern]]</f>
        <v>6</v>
      </c>
      <c r="J52" s="198" t="n">
        <f aca="false">TblConstr[[#This Row],[Water]]</f>
        <v>7</v>
      </c>
      <c r="K52" s="4"/>
      <c r="L52" s="257"/>
      <c r="M52" s="258"/>
      <c r="N52" s="247" t="n">
        <f aca="false">TblMili[[#This Row],[Smithies]]</f>
        <v>0</v>
      </c>
      <c r="O52" s="247" t="n">
        <f aca="false">TblPop[[#This Row],[Employment]]</f>
        <v>0.99577239488117</v>
      </c>
      <c r="P52" s="247" t="n">
        <f aca="false">TblImps[[#This Row],[Population]]</f>
        <v>0.996170620146793</v>
      </c>
      <c r="Q52" s="181" t="n">
        <f aca="false">TblExplore[[#This Row],[Land]]</f>
        <v>575</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613</v>
      </c>
      <c r="AC52" s="69" t="n">
        <f aca="false">TblProd[[#This Row],[Platinum]]</f>
        <v>558603</v>
      </c>
      <c r="AD52" s="245"/>
      <c r="AE52" s="151" t="n">
        <f aca="false">TblExplore[[#This Row],[Land]]-TblExplore[[#This Row],[Land Bonus]]*20</f>
        <v>555</v>
      </c>
      <c r="AF52" s="69" t="n">
        <f aca="false">ROUND(MAX(0.6*TblExplore[[#This Row],[Land-DB]]^1.299,850)*(1+ tech_2_6*Techs!AC52 + tech_2_9*Techs!AF52 + tech_3_7*Techs!AN52 + Overview!$I$32),0)</f>
        <v>2203</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102</v>
      </c>
    </row>
    <row r="53" customFormat="false" ht="12.75" hidden="false" customHeight="false" outlineLevel="0" collapsed="false">
      <c r="A53" s="170" t="n">
        <f aca="false">TblRezone[[#This Row],[Hour]]</f>
        <v>50</v>
      </c>
      <c r="B53" s="181" t="n">
        <f aca="false">TblConstr[[#This Row],[Land]]</f>
        <v>588</v>
      </c>
      <c r="C53" s="245"/>
      <c r="D53" s="246" t="n">
        <f aca="false">TblConstr[[#This Row],[Plain]]</f>
        <v>-81</v>
      </c>
      <c r="E53" s="193" t="n">
        <f aca="false">TblConstr[[#This Row],[Forest]]</f>
        <v>2</v>
      </c>
      <c r="F53" s="200" t="n">
        <f aca="false">TblConstr[[#This Row],[Mountain]]</f>
        <v>3</v>
      </c>
      <c r="G53" s="201" t="n">
        <f aca="false">TblConstr[[#This Row],[Hill]]</f>
        <v>4</v>
      </c>
      <c r="H53" s="202" t="n">
        <f aca="false">TblConstr[[#This Row],[Swamp]]</f>
        <v>5</v>
      </c>
      <c r="I53" s="197" t="n">
        <f aca="false">TblConstr[[#This Row],[Cavern]]</f>
        <v>6</v>
      </c>
      <c r="J53" s="198" t="n">
        <f aca="false">TblConstr[[#This Row],[Water]]</f>
        <v>7</v>
      </c>
      <c r="K53" s="4"/>
      <c r="L53" s="259"/>
      <c r="M53" s="258"/>
      <c r="N53" s="247" t="n">
        <f aca="false">TblMili[[#This Row],[Smithies]]</f>
        <v>0</v>
      </c>
      <c r="O53" s="247" t="n">
        <f aca="false">TblPop[[#This Row],[Employment]]</f>
        <v>0.949449831136289</v>
      </c>
      <c r="P53" s="247" t="n">
        <f aca="false">TblImps[[#This Row],[Population]]</f>
        <v>0.994564123213207</v>
      </c>
      <c r="Q53" s="181" t="n">
        <f aca="false">TblExplore[[#This Row],[Land]]</f>
        <v>588</v>
      </c>
      <c r="R53" s="170" t="n">
        <f aca="false">TblExplore[[#This Row],[Hour]]</f>
        <v>50</v>
      </c>
      <c r="S53" s="248"/>
      <c r="T53" s="182"/>
      <c r="U53" s="182"/>
      <c r="V53" s="182"/>
      <c r="W53" s="182"/>
      <c r="X53" s="182"/>
      <c r="Y53" s="182"/>
      <c r="Z53" s="182"/>
      <c r="AA53" s="153" t="n">
        <f aca="false">TblImps[[#This Row],[Real time]]</f>
        <v>45431.7916666667</v>
      </c>
      <c r="AB53" s="69" t="n">
        <f aca="false">TblMili[[#This Row],[Draftees]]</f>
        <v>701</v>
      </c>
      <c r="AC53" s="69" t="n">
        <f aca="false">TblProd[[#This Row],[Platinum]]</f>
        <v>619774</v>
      </c>
      <c r="AD53" s="245"/>
      <c r="AE53" s="151" t="n">
        <f aca="false">TblExplore[[#This Row],[Land]]-TblExplore[[#This Row],[Land Bonus]]*20</f>
        <v>588</v>
      </c>
      <c r="AF53" s="69" t="n">
        <f aca="false">ROUND(MAX(0.6*TblExplore[[#This Row],[Land-DB]]^1.299,850)*(1+ tech_2_6*Techs!AC53 + tech_2_9*Techs!AF53 + tech_3_7*Techs!AN53 + Overview!$I$32),0)</f>
        <v>2375</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116</v>
      </c>
    </row>
    <row r="54" customFormat="false" ht="12.75" hidden="false" customHeight="false" outlineLevel="0" collapsed="false">
      <c r="A54" s="170" t="n">
        <f aca="false">TblRezone[[#This Row],[Hour]]</f>
        <v>51</v>
      </c>
      <c r="B54" s="181" t="n">
        <f aca="false">TblConstr[[#This Row],[Land]]</f>
        <v>602</v>
      </c>
      <c r="C54" s="245"/>
      <c r="D54" s="246" t="n">
        <f aca="false">TblConstr[[#This Row],[Plain]]</f>
        <v>-81</v>
      </c>
      <c r="E54" s="193" t="n">
        <f aca="false">TblConstr[[#This Row],[Forest]]</f>
        <v>2</v>
      </c>
      <c r="F54" s="200" t="n">
        <f aca="false">TblConstr[[#This Row],[Mountain]]</f>
        <v>3</v>
      </c>
      <c r="G54" s="201" t="n">
        <f aca="false">TblConstr[[#This Row],[Hill]]</f>
        <v>4</v>
      </c>
      <c r="H54" s="202" t="n">
        <f aca="false">TblConstr[[#This Row],[Swamp]]</f>
        <v>5</v>
      </c>
      <c r="I54" s="197" t="n">
        <f aca="false">TblConstr[[#This Row],[Cavern]]</f>
        <v>6</v>
      </c>
      <c r="J54" s="198" t="n">
        <f aca="false">TblConstr[[#This Row],[Water]]</f>
        <v>7</v>
      </c>
      <c r="K54" s="4"/>
      <c r="L54" s="260" t="s">
        <v>368</v>
      </c>
      <c r="M54" s="261" t="s">
        <v>369</v>
      </c>
      <c r="N54" s="247" t="n">
        <f aca="false">TblMili[[#This Row],[Smithies]]</f>
        <v>0</v>
      </c>
      <c r="O54" s="247" t="n">
        <f aca="false">TblPop[[#This Row],[Employment]]</f>
        <v>0.931487815305686</v>
      </c>
      <c r="P54" s="247" t="n">
        <f aca="false">TblImps[[#This Row],[Population]]</f>
        <v>1</v>
      </c>
      <c r="Q54" s="181" t="n">
        <f aca="false">TblExplore[[#This Row],[Land]]</f>
        <v>602</v>
      </c>
      <c r="R54" s="170" t="n">
        <f aca="false">TblExplore[[#This Row],[Hour]]</f>
        <v>51</v>
      </c>
      <c r="S54" s="248"/>
      <c r="T54" s="182"/>
      <c r="U54" s="182"/>
      <c r="V54" s="182"/>
      <c r="W54" s="182"/>
      <c r="X54" s="182"/>
      <c r="Y54" s="182"/>
      <c r="Z54" s="182"/>
      <c r="AA54" s="153" t="n">
        <f aca="false">TblImps[[#This Row],[Real time]]</f>
        <v>45431.8333333333</v>
      </c>
      <c r="AB54" s="69" t="n">
        <f aca="false">TblMili[[#This Row],[Draftees]]</f>
        <v>793</v>
      </c>
      <c r="AC54" s="69" t="n">
        <f aca="false">TblProd[[#This Row],[Platinum]]</f>
        <v>680716</v>
      </c>
      <c r="AD54" s="245"/>
      <c r="AE54" s="151" t="n">
        <f aca="false">TblExplore[[#This Row],[Land]]-TblExplore[[#This Row],[Land Bonus]]*20</f>
        <v>602</v>
      </c>
      <c r="AF54" s="69" t="n">
        <f aca="false">ROUND(MAX(0.6*TblExplore[[#This Row],[Land-DB]]^1.299,850)*(1+ tech_2_6*Techs!AC54 + tech_2_9*Techs!AF54 + tech_3_7*Techs!AN54 + Overview!$I$32),0)</f>
        <v>2448</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132</v>
      </c>
    </row>
    <row r="55" customFormat="false" ht="12.75" hidden="false" customHeight="false" outlineLevel="0" collapsed="false">
      <c r="A55" s="170" t="n">
        <f aca="false">TblRezone[[#This Row],[Hour]]</f>
        <v>52</v>
      </c>
      <c r="B55" s="181" t="n">
        <f aca="false">TblConstr[[#This Row],[Land]]</f>
        <v>615</v>
      </c>
      <c r="C55" s="245"/>
      <c r="D55" s="246" t="n">
        <f aca="false">TblConstr[[#This Row],[Plain]]</f>
        <v>-81</v>
      </c>
      <c r="E55" s="193" t="n">
        <f aca="false">TblConstr[[#This Row],[Forest]]</f>
        <v>2</v>
      </c>
      <c r="F55" s="200" t="n">
        <f aca="false">TblConstr[[#This Row],[Mountain]]</f>
        <v>3</v>
      </c>
      <c r="G55" s="201" t="n">
        <f aca="false">TblConstr[[#This Row],[Hill]]</f>
        <v>4</v>
      </c>
      <c r="H55" s="202" t="n">
        <f aca="false">TblConstr[[#This Row],[Swamp]]</f>
        <v>5</v>
      </c>
      <c r="I55" s="197" t="n">
        <f aca="false">TblConstr[[#This Row],[Cavern]]</f>
        <v>6</v>
      </c>
      <c r="J55" s="198" t="n">
        <f aca="false">TblConstr[[#This Row],[Water]]</f>
        <v>7</v>
      </c>
      <c r="K55" s="4"/>
      <c r="L55" s="15" t="n">
        <v>4</v>
      </c>
      <c r="M55" s="17" t="n">
        <v>299</v>
      </c>
      <c r="N55" s="247" t="n">
        <f aca="false">TblMili[[#This Row],[Smithies]]</f>
        <v>0</v>
      </c>
      <c r="O55" s="247" t="n">
        <f aca="false">TblPop[[#This Row],[Employment]]</f>
        <v>1</v>
      </c>
      <c r="P55" s="247" t="n">
        <f aca="false">TblImps[[#This Row],[Population]]</f>
        <v>1</v>
      </c>
      <c r="Q55" s="181" t="n">
        <f aca="false">TblExplore[[#This Row],[Land]]</f>
        <v>615</v>
      </c>
      <c r="R55" s="170" t="n">
        <f aca="false">TblExplore[[#This Row],[Hour]]</f>
        <v>52</v>
      </c>
      <c r="S55" s="248"/>
      <c r="T55" s="182"/>
      <c r="U55" s="182"/>
      <c r="V55" s="182"/>
      <c r="W55" s="182"/>
      <c r="X55" s="182"/>
      <c r="Y55" s="182"/>
      <c r="Z55" s="182"/>
      <c r="AA55" s="153" t="n">
        <f aca="false">TblImps[[#This Row],[Real time]]</f>
        <v>45431.875</v>
      </c>
      <c r="AB55" s="69" t="n">
        <f aca="false">TblMili[[#This Row],[Draftees]]</f>
        <v>887</v>
      </c>
      <c r="AC55" s="69" t="n">
        <f aca="false">TblProd[[#This Row],[Platinum]]</f>
        <v>742420</v>
      </c>
      <c r="AD55" s="245"/>
      <c r="AE55" s="151" t="n">
        <f aca="false">TblExplore[[#This Row],[Land]]-TblExplore[[#This Row],[Land Bonus]]*20</f>
        <v>615</v>
      </c>
      <c r="AF55" s="69" t="n">
        <f aca="false">ROUND(MAX(0.6*TblExplore[[#This Row],[Land-DB]]^1.299,850)*(1+ tech_2_6*Techs!AC55 + tech_2_9*Techs!AF55 + tech_3_7*Techs!AN55 + Overview!$I$32),0)</f>
        <v>2517</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147</v>
      </c>
    </row>
    <row r="56" customFormat="false" ht="12.75" hidden="false" customHeight="false" outlineLevel="0" collapsed="false">
      <c r="A56" s="170" t="n">
        <f aca="false">TblRezone[[#This Row],[Hour]]</f>
        <v>53</v>
      </c>
      <c r="B56" s="181" t="n">
        <f aca="false">TblConstr[[#This Row],[Land]]</f>
        <v>626</v>
      </c>
      <c r="C56" s="245"/>
      <c r="D56" s="246" t="n">
        <f aca="false">TblConstr[[#This Row],[Plain]]</f>
        <v>-81</v>
      </c>
      <c r="E56" s="193" t="n">
        <f aca="false">TblConstr[[#This Row],[Forest]]</f>
        <v>2</v>
      </c>
      <c r="F56" s="200" t="n">
        <f aca="false">TblConstr[[#This Row],[Mountain]]</f>
        <v>3</v>
      </c>
      <c r="G56" s="201" t="n">
        <f aca="false">TblConstr[[#This Row],[Hill]]</f>
        <v>4</v>
      </c>
      <c r="H56" s="202" t="n">
        <f aca="false">TblConstr[[#This Row],[Swamp]]</f>
        <v>5</v>
      </c>
      <c r="I56" s="197" t="n">
        <f aca="false">TblConstr[[#This Row],[Cavern]]</f>
        <v>6</v>
      </c>
      <c r="J56" s="198" t="n">
        <f aca="false">TblConstr[[#This Row],[Water]]</f>
        <v>7</v>
      </c>
      <c r="K56" s="4"/>
      <c r="L56" s="15" t="n">
        <v>5</v>
      </c>
      <c r="M56" s="17" t="n">
        <f aca="false">ROUNDDOWN(227.945*(L56+0.5 - 5)^0.934579 + 300,0)</f>
        <v>419</v>
      </c>
      <c r="N56" s="247" t="n">
        <f aca="false">TblMili[[#This Row],[Smithies]]</f>
        <v>0.0750798722044729</v>
      </c>
      <c r="O56" s="247" t="n">
        <f aca="false">TblPop[[#This Row],[Employment]]</f>
        <v>1</v>
      </c>
      <c r="P56" s="247" t="n">
        <f aca="false">TblImps[[#This Row],[Population]]</f>
        <v>1</v>
      </c>
      <c r="Q56" s="181" t="n">
        <f aca="false">TblExplore[[#This Row],[Land]]</f>
        <v>626</v>
      </c>
      <c r="R56" s="170" t="n">
        <f aca="false">TblExplore[[#This Row],[Hour]]</f>
        <v>53</v>
      </c>
      <c r="S56" s="248"/>
      <c r="T56" s="182"/>
      <c r="U56" s="182"/>
      <c r="V56" s="182"/>
      <c r="W56" s="182"/>
      <c r="X56" s="182"/>
      <c r="Y56" s="182"/>
      <c r="Z56" s="182"/>
      <c r="AA56" s="153" t="n">
        <f aca="false">TblImps[[#This Row],[Real time]]</f>
        <v>45431.9166666667</v>
      </c>
      <c r="AB56" s="69" t="n">
        <f aca="false">TblMili[[#This Row],[Draftees]]</f>
        <v>982</v>
      </c>
      <c r="AC56" s="69" t="n">
        <f aca="false">TblProd[[#This Row],[Platinum]]</f>
        <v>809940</v>
      </c>
      <c r="AD56" s="245"/>
      <c r="AE56" s="151" t="n">
        <f aca="false">TblExplore[[#This Row],[Land]]-TblExplore[[#This Row],[Land Bonus]]*20</f>
        <v>626</v>
      </c>
      <c r="AF56" s="69" t="n">
        <f aca="false">ROUND(MAX(0.6*TblExplore[[#This Row],[Land-DB]]^1.299,850)*(1+ tech_2_6*Techs!AC56 + tech_2_9*Techs!AF56 + tech_3_7*Techs!AN56 + Overview!$I$32),0)</f>
        <v>2576</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163</v>
      </c>
    </row>
    <row r="57" customFormat="false" ht="12.75" hidden="false" customHeight="false" outlineLevel="0" collapsed="false">
      <c r="A57" s="170" t="n">
        <f aca="false">TblRezone[[#This Row],[Hour]]</f>
        <v>54</v>
      </c>
      <c r="B57" s="181" t="n">
        <f aca="false">TblConstr[[#This Row],[Land]]</f>
        <v>638</v>
      </c>
      <c r="C57" s="245"/>
      <c r="D57" s="246" t="n">
        <f aca="false">TblConstr[[#This Row],[Plain]]</f>
        <v>-81</v>
      </c>
      <c r="E57" s="193" t="n">
        <f aca="false">TblConstr[[#This Row],[Forest]]</f>
        <v>2</v>
      </c>
      <c r="F57" s="200" t="n">
        <f aca="false">TblConstr[[#This Row],[Mountain]]</f>
        <v>3</v>
      </c>
      <c r="G57" s="201" t="n">
        <f aca="false">TblConstr[[#This Row],[Hill]]</f>
        <v>4</v>
      </c>
      <c r="H57" s="202" t="n">
        <f aca="false">TblConstr[[#This Row],[Swamp]]</f>
        <v>5</v>
      </c>
      <c r="I57" s="197" t="n">
        <f aca="false">TblConstr[[#This Row],[Cavern]]</f>
        <v>6</v>
      </c>
      <c r="J57" s="198" t="n">
        <f aca="false">TblConstr[[#This Row],[Water]]</f>
        <v>7</v>
      </c>
      <c r="K57" s="4"/>
      <c r="L57" s="15" t="n">
        <v>6</v>
      </c>
      <c r="M57" s="17" t="n">
        <f aca="false">ROUNDDOWN(227.945*(L57+0.5 - 5)^0.934579 + 300,0)</f>
        <v>632</v>
      </c>
      <c r="N57" s="247" t="n">
        <f aca="false">TblMili[[#This Row],[Smithies]]</f>
        <v>0.0862068965517241</v>
      </c>
      <c r="O57" s="247" t="n">
        <f aca="false">TblPop[[#This Row],[Employment]]</f>
        <v>1</v>
      </c>
      <c r="P57" s="247" t="n">
        <f aca="false">TblImps[[#This Row],[Population]]</f>
        <v>1</v>
      </c>
      <c r="Q57" s="181" t="n">
        <f aca="false">TblExplore[[#This Row],[Land]]</f>
        <v>638</v>
      </c>
      <c r="R57" s="170" t="n">
        <f aca="false">TblExplore[[#This Row],[Hour]]</f>
        <v>54</v>
      </c>
      <c r="S57" s="248"/>
      <c r="T57" s="182"/>
      <c r="U57" s="182"/>
      <c r="V57" s="182"/>
      <c r="W57" s="182"/>
      <c r="X57" s="182"/>
      <c r="Y57" s="182"/>
      <c r="Z57" s="182"/>
      <c r="AA57" s="153" t="n">
        <f aca="false">TblImps[[#This Row],[Real time]]</f>
        <v>45431.9583333333</v>
      </c>
      <c r="AB57" s="69" t="n">
        <f aca="false">TblMili[[#This Row],[Draftees]]</f>
        <v>1078</v>
      </c>
      <c r="AC57" s="69" t="n">
        <f aca="false">TblProd[[#This Row],[Platinum]]</f>
        <v>877556</v>
      </c>
      <c r="AD57" s="245"/>
      <c r="AE57" s="151" t="n">
        <f aca="false">TblExplore[[#This Row],[Land]]-TblExplore[[#This Row],[Land Bonus]]*20</f>
        <v>638</v>
      </c>
      <c r="AF57" s="69" t="n">
        <f aca="false">ROUND(MAX(0.6*TblExplore[[#This Row],[Land-DB]]^1.299,850)*(1+ tech_2_6*Techs!AC57 + tech_2_9*Techs!AF57 + tech_3_7*Techs!AN57 + Overview!$I$32),0)</f>
        <v>2640</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154</v>
      </c>
    </row>
    <row r="58" customFormat="false" ht="12.75" hidden="false" customHeight="false" outlineLevel="0" collapsed="false">
      <c r="A58" s="170" t="n">
        <f aca="false">TblRezone[[#This Row],[Hour]]</f>
        <v>55</v>
      </c>
      <c r="B58" s="181" t="n">
        <f aca="false">TblConstr[[#This Row],[Land]]</f>
        <v>646</v>
      </c>
      <c r="C58" s="245"/>
      <c r="D58" s="246" t="n">
        <f aca="false">TblConstr[[#This Row],[Plain]]</f>
        <v>-81</v>
      </c>
      <c r="E58" s="193" t="n">
        <f aca="false">TblConstr[[#This Row],[Forest]]</f>
        <v>2</v>
      </c>
      <c r="F58" s="200" t="n">
        <f aca="false">TblConstr[[#This Row],[Mountain]]</f>
        <v>3</v>
      </c>
      <c r="G58" s="201" t="n">
        <f aca="false">TblConstr[[#This Row],[Hill]]</f>
        <v>4</v>
      </c>
      <c r="H58" s="202" t="n">
        <f aca="false">TblConstr[[#This Row],[Swamp]]</f>
        <v>5</v>
      </c>
      <c r="I58" s="197" t="n">
        <f aca="false">TblConstr[[#This Row],[Cavern]]</f>
        <v>6</v>
      </c>
      <c r="J58" s="198" t="n">
        <f aca="false">TblConstr[[#This Row],[Water]]</f>
        <v>7</v>
      </c>
      <c r="K58" s="4"/>
      <c r="L58" s="15" t="n">
        <v>7</v>
      </c>
      <c r="M58" s="17" t="n">
        <f aca="false">ROUNDDOWN(227.945*(L58+0.5 - 5)^0.934579 + 300,0)</f>
        <v>836</v>
      </c>
      <c r="N58" s="247" t="n">
        <f aca="false">TblMili[[#This Row],[Smithies]]</f>
        <v>0.0990712074303406</v>
      </c>
      <c r="O58" s="247" t="n">
        <f aca="false">TblPop[[#This Row],[Employment]]</f>
        <v>1</v>
      </c>
      <c r="P58" s="247" t="n">
        <f aca="false">TblImps[[#This Row],[Population]]</f>
        <v>1</v>
      </c>
      <c r="Q58" s="181" t="n">
        <f aca="false">TblExplore[[#This Row],[Land]]</f>
        <v>646</v>
      </c>
      <c r="R58" s="170" t="n">
        <f aca="false">TblExplore[[#This Row],[Hour]]</f>
        <v>55</v>
      </c>
      <c r="S58" s="248"/>
      <c r="T58" s="182"/>
      <c r="U58" s="182"/>
      <c r="V58" s="182"/>
      <c r="W58" s="182"/>
      <c r="X58" s="182"/>
      <c r="Y58" s="182"/>
      <c r="Z58" s="182"/>
      <c r="AA58" s="153" t="n">
        <f aca="false">TblImps[[#This Row],[Real time]]</f>
        <v>45432</v>
      </c>
      <c r="AB58" s="69" t="n">
        <f aca="false">TblMili[[#This Row],[Draftees]]</f>
        <v>1175</v>
      </c>
      <c r="AC58" s="69" t="n">
        <f aca="false">TblProd[[#This Row],[Platinum]]</f>
        <v>947815</v>
      </c>
      <c r="AD58" s="245"/>
      <c r="AE58" s="151" t="n">
        <f aca="false">TblExplore[[#This Row],[Land]]-TblExplore[[#This Row],[Land Bonus]]*20</f>
        <v>646</v>
      </c>
      <c r="AF58" s="69" t="n">
        <f aca="false">ROUND(MAX(0.6*TblExplore[[#This Row],[Land-DB]]^1.299,850)*(1+ tech_2_6*Techs!AC58 + tech_2_9*Techs!AF58 + tech_3_7*Techs!AN58 + Overview!$I$32),0)</f>
        <v>2683</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167</v>
      </c>
    </row>
    <row r="59" customFormat="false" ht="12.75" hidden="false" customHeight="false" outlineLevel="0" collapsed="false">
      <c r="A59" s="170" t="n">
        <f aca="false">TblRezone[[#This Row],[Hour]]</f>
        <v>56</v>
      </c>
      <c r="B59" s="181" t="n">
        <f aca="false">TblConstr[[#This Row],[Land]]</f>
        <v>646</v>
      </c>
      <c r="C59" s="245"/>
      <c r="D59" s="246" t="n">
        <f aca="false">TblConstr[[#This Row],[Plain]]</f>
        <v>-81</v>
      </c>
      <c r="E59" s="193" t="n">
        <f aca="false">TblConstr[[#This Row],[Forest]]</f>
        <v>2</v>
      </c>
      <c r="F59" s="200" t="n">
        <f aca="false">TblConstr[[#This Row],[Mountain]]</f>
        <v>3</v>
      </c>
      <c r="G59" s="201" t="n">
        <f aca="false">TblConstr[[#This Row],[Hill]]</f>
        <v>4</v>
      </c>
      <c r="H59" s="202" t="n">
        <f aca="false">TblConstr[[#This Row],[Swamp]]</f>
        <v>5</v>
      </c>
      <c r="I59" s="197" t="n">
        <f aca="false">TblConstr[[#This Row],[Cavern]]</f>
        <v>6</v>
      </c>
      <c r="J59" s="198" t="n">
        <f aca="false">TblConstr[[#This Row],[Water]]</f>
        <v>7</v>
      </c>
      <c r="K59" s="4"/>
      <c r="L59" s="15" t="n">
        <v>8</v>
      </c>
      <c r="M59" s="17" t="n">
        <f aca="false">ROUNDDOWN(227.945*(L59+0.5 - 5)^0.934579 + 300,0)</f>
        <v>1035</v>
      </c>
      <c r="N59" s="247" t="n">
        <f aca="false">TblMili[[#This Row],[Smithies]]</f>
        <v>0.113003095975232</v>
      </c>
      <c r="O59" s="247" t="n">
        <f aca="false">TblPop[[#This Row],[Employment]]</f>
        <v>1</v>
      </c>
      <c r="P59" s="247" t="n">
        <f aca="false">TblImps[[#This Row],[Population]]</f>
        <v>1</v>
      </c>
      <c r="Q59" s="181" t="n">
        <f aca="false">TblExplore[[#This Row],[Land]]</f>
        <v>646</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1272</v>
      </c>
      <c r="AC59" s="69" t="n">
        <f aca="false">TblProd[[#This Row],[Platinum]]</f>
        <v>1022126</v>
      </c>
      <c r="AD59" s="245"/>
      <c r="AE59" s="151" t="n">
        <f aca="false">TblExplore[[#This Row],[Land]]-TblExplore[[#This Row],[Land Bonus]]*20</f>
        <v>646</v>
      </c>
      <c r="AF59" s="69" t="n">
        <f aca="false">ROUND(MAX(0.6*TblExplore[[#This Row],[Land-DB]]^1.299,850)*(1+ tech_2_6*Techs!AC59 + tech_2_9*Techs!AF59 + tech_3_7*Techs!AN59 + Overview!$I$32),0)</f>
        <v>2683</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181</v>
      </c>
    </row>
    <row r="60" customFormat="false" ht="12.75" hidden="false" customHeight="false" outlineLevel="0" collapsed="false">
      <c r="A60" s="170" t="n">
        <f aca="false">TblRezone[[#This Row],[Hour]]</f>
        <v>57</v>
      </c>
      <c r="B60" s="181" t="n">
        <f aca="false">TblConstr[[#This Row],[Land]]</f>
        <v>646</v>
      </c>
      <c r="C60" s="245"/>
      <c r="D60" s="246" t="n">
        <f aca="false">TblConstr[[#This Row],[Plain]]</f>
        <v>-81</v>
      </c>
      <c r="E60" s="193" t="n">
        <f aca="false">TblConstr[[#This Row],[Forest]]</f>
        <v>2</v>
      </c>
      <c r="F60" s="200" t="n">
        <f aca="false">TblConstr[[#This Row],[Mountain]]</f>
        <v>3</v>
      </c>
      <c r="G60" s="201" t="n">
        <f aca="false">TblConstr[[#This Row],[Hill]]</f>
        <v>4</v>
      </c>
      <c r="H60" s="202" t="n">
        <f aca="false">TblConstr[[#This Row],[Swamp]]</f>
        <v>5</v>
      </c>
      <c r="I60" s="197" t="n">
        <f aca="false">TblConstr[[#This Row],[Cavern]]</f>
        <v>6</v>
      </c>
      <c r="J60" s="198" t="n">
        <f aca="false">TblConstr[[#This Row],[Water]]</f>
        <v>7</v>
      </c>
      <c r="K60" s="4"/>
      <c r="L60" s="15" t="n">
        <v>9</v>
      </c>
      <c r="M60" s="17" t="n">
        <f aca="false">ROUNDDOWN(227.945*(L60+0.5 - 5)^0.934579 + 300,0)</f>
        <v>1229</v>
      </c>
      <c r="N60" s="247" t="n">
        <f aca="false">TblMili[[#This Row],[Smithies]]</f>
        <v>0.126934984520124</v>
      </c>
      <c r="O60" s="247" t="n">
        <f aca="false">TblPop[[#This Row],[Employment]]</f>
        <v>1</v>
      </c>
      <c r="P60" s="247" t="n">
        <f aca="false">TblImps[[#This Row],[Population]]</f>
        <v>1</v>
      </c>
      <c r="Q60" s="181" t="n">
        <f aca="false">TblExplore[[#This Row],[Land]]</f>
        <v>646</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1369</v>
      </c>
      <c r="AC60" s="69" t="n">
        <f aca="false">TblProd[[#This Row],[Platinum]]</f>
        <v>1096468</v>
      </c>
      <c r="AD60" s="245"/>
      <c r="AE60" s="151" t="n">
        <f aca="false">TblExplore[[#This Row],[Land]]-TblExplore[[#This Row],[Land Bonus]]*20</f>
        <v>646</v>
      </c>
      <c r="AF60" s="69" t="n">
        <f aca="false">ROUND(MAX(0.6*TblExplore[[#This Row],[Land-DB]]^1.299,850)*(1+ tech_2_6*Techs!AC60 + tech_2_9*Techs!AF60 + tech_3_7*Techs!AN60 + Overview!$I$32),0)</f>
        <v>2683</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195</v>
      </c>
    </row>
    <row r="61" customFormat="false" ht="12.75" hidden="false" customHeight="false" outlineLevel="0" collapsed="false">
      <c r="A61" s="170" t="n">
        <f aca="false">TblRezone[[#This Row],[Hour]]</f>
        <v>58</v>
      </c>
      <c r="B61" s="181" t="n">
        <f aca="false">TblConstr[[#This Row],[Land]]</f>
        <v>646</v>
      </c>
      <c r="C61" s="245"/>
      <c r="D61" s="246" t="n">
        <f aca="false">TblConstr[[#This Row],[Plain]]</f>
        <v>-81</v>
      </c>
      <c r="E61" s="193" t="n">
        <f aca="false">TblConstr[[#This Row],[Forest]]</f>
        <v>2</v>
      </c>
      <c r="F61" s="200" t="n">
        <f aca="false">TblConstr[[#This Row],[Mountain]]</f>
        <v>3</v>
      </c>
      <c r="G61" s="201" t="n">
        <f aca="false">TblConstr[[#This Row],[Hill]]</f>
        <v>4</v>
      </c>
      <c r="H61" s="202" t="n">
        <f aca="false">TblConstr[[#This Row],[Swamp]]</f>
        <v>5</v>
      </c>
      <c r="I61" s="197" t="n">
        <f aca="false">TblConstr[[#This Row],[Cavern]]</f>
        <v>6</v>
      </c>
      <c r="J61" s="198" t="n">
        <f aca="false">TblConstr[[#This Row],[Water]]</f>
        <v>7</v>
      </c>
      <c r="K61" s="4"/>
      <c r="L61" s="15" t="n">
        <v>10</v>
      </c>
      <c r="M61" s="17" t="n">
        <f aca="false">ROUNDDOWN(227.945*(L61+0.5 - 5)^0.934579 + 300,0)</f>
        <v>1421</v>
      </c>
      <c r="N61" s="247" t="n">
        <f aca="false">TblMili[[#This Row],[Smithies]]</f>
        <v>0.142414860681115</v>
      </c>
      <c r="O61" s="247" t="n">
        <f aca="false">TblPop[[#This Row],[Employment]]</f>
        <v>1</v>
      </c>
      <c r="P61" s="247" t="n">
        <f aca="false">TblImps[[#This Row],[Population]]</f>
        <v>1</v>
      </c>
      <c r="Q61" s="181" t="n">
        <f aca="false">TblExplore[[#This Row],[Land]]</f>
        <v>646</v>
      </c>
      <c r="R61" s="170" t="n">
        <f aca="false">TblExplore[[#This Row],[Hour]]</f>
        <v>58</v>
      </c>
      <c r="S61" s="248"/>
      <c r="T61" s="182"/>
      <c r="U61" s="182"/>
      <c r="V61" s="182"/>
      <c r="W61" s="182"/>
      <c r="X61" s="182"/>
      <c r="Y61" s="182"/>
      <c r="Z61" s="182"/>
      <c r="AA61" s="153" t="n">
        <f aca="false">TblImps[[#This Row],[Real time]]</f>
        <v>45432.125</v>
      </c>
      <c r="AB61" s="69" t="n">
        <f aca="false">TblMili[[#This Row],[Draftees]]</f>
        <v>1465</v>
      </c>
      <c r="AC61" s="69" t="n">
        <f aca="false">TblProd[[#This Row],[Platinum]]</f>
        <v>1170586</v>
      </c>
      <c r="AD61" s="245"/>
      <c r="AE61" s="151" t="n">
        <f aca="false">TblExplore[[#This Row],[Land]]-TblExplore[[#This Row],[Land Bonus]]*20</f>
        <v>646</v>
      </c>
      <c r="AF61" s="69" t="n">
        <f aca="false">ROUND(MAX(0.6*TblExplore[[#This Row],[Land-DB]]^1.299,850)*(1+ tech_2_6*Techs!AC61 + tech_2_9*Techs!AF61 + tech_3_7*Techs!AN61 + Overview!$I$32),0)</f>
        <v>2683</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209</v>
      </c>
    </row>
    <row r="62" customFormat="false" ht="12.75" hidden="false" customHeight="false" outlineLevel="0" collapsed="false">
      <c r="A62" s="170" t="n">
        <f aca="false">TblRezone[[#This Row],[Hour]]</f>
        <v>59</v>
      </c>
      <c r="B62" s="181" t="n">
        <f aca="false">TblConstr[[#This Row],[Land]]</f>
        <v>646</v>
      </c>
      <c r="C62" s="245"/>
      <c r="D62" s="246" t="n">
        <f aca="false">TblConstr[[#This Row],[Plain]]</f>
        <v>-81</v>
      </c>
      <c r="E62" s="193" t="n">
        <f aca="false">TblConstr[[#This Row],[Forest]]</f>
        <v>2</v>
      </c>
      <c r="F62" s="200" t="n">
        <f aca="false">TblConstr[[#This Row],[Mountain]]</f>
        <v>3</v>
      </c>
      <c r="G62" s="201" t="n">
        <f aca="false">TblConstr[[#This Row],[Hill]]</f>
        <v>4</v>
      </c>
      <c r="H62" s="202" t="n">
        <f aca="false">TblConstr[[#This Row],[Swamp]]</f>
        <v>5</v>
      </c>
      <c r="I62" s="197" t="n">
        <f aca="false">TblConstr[[#This Row],[Cavern]]</f>
        <v>6</v>
      </c>
      <c r="J62" s="198" t="n">
        <f aca="false">TblConstr[[#This Row],[Water]]</f>
        <v>7</v>
      </c>
      <c r="K62" s="4"/>
      <c r="L62" s="15" t="n">
        <v>11</v>
      </c>
      <c r="M62" s="17" t="n">
        <f aca="false">ROUNDDOWN(227.945*(L62+0.5 - 5)^0.934579 + 300,0)</f>
        <v>1610</v>
      </c>
      <c r="N62" s="247" t="n">
        <f aca="false">TblMili[[#This Row],[Smithies]]</f>
        <v>0.157894736842105</v>
      </c>
      <c r="O62" s="247" t="n">
        <f aca="false">TblPop[[#This Row],[Employment]]</f>
        <v>1</v>
      </c>
      <c r="P62" s="247" t="n">
        <f aca="false">TblImps[[#This Row],[Population]]</f>
        <v>1</v>
      </c>
      <c r="Q62" s="181" t="n">
        <f aca="false">TblExplore[[#This Row],[Land]]</f>
        <v>646</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1560</v>
      </c>
      <c r="AC62" s="69" t="n">
        <f aca="false">TblProd[[#This Row],[Platinum]]</f>
        <v>1244865</v>
      </c>
      <c r="AD62" s="245"/>
      <c r="AE62" s="151" t="n">
        <f aca="false">TblExplore[[#This Row],[Land]]-TblExplore[[#This Row],[Land Bonus]]*20</f>
        <v>646</v>
      </c>
      <c r="AF62" s="69" t="n">
        <f aca="false">ROUND(MAX(0.6*TblExplore[[#This Row],[Land-DB]]^1.299,850)*(1+ tech_2_6*Techs!AC62 + tech_2_9*Techs!AF62 + tech_3_7*Techs!AN62 + Overview!$I$32),0)</f>
        <v>2683</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222</v>
      </c>
    </row>
    <row r="63" customFormat="false" ht="12.75" hidden="false" customHeight="false" outlineLevel="0" collapsed="false">
      <c r="A63" s="170" t="n">
        <f aca="false">TblRezone[[#This Row],[Hour]]</f>
        <v>60</v>
      </c>
      <c r="B63" s="181" t="n">
        <f aca="false">TblConstr[[#This Row],[Land]]</f>
        <v>646</v>
      </c>
      <c r="C63" s="245"/>
      <c r="D63" s="246" t="n">
        <f aca="false">TblConstr[[#This Row],[Plain]]</f>
        <v>-81</v>
      </c>
      <c r="E63" s="193" t="n">
        <f aca="false">TblConstr[[#This Row],[Forest]]</f>
        <v>2</v>
      </c>
      <c r="F63" s="200" t="n">
        <f aca="false">TblConstr[[#This Row],[Mountain]]</f>
        <v>3</v>
      </c>
      <c r="G63" s="201" t="n">
        <f aca="false">TblConstr[[#This Row],[Hill]]</f>
        <v>4</v>
      </c>
      <c r="H63" s="202" t="n">
        <f aca="false">TblConstr[[#This Row],[Swamp]]</f>
        <v>5</v>
      </c>
      <c r="I63" s="197" t="n">
        <f aca="false">TblConstr[[#This Row],[Cavern]]</f>
        <v>6</v>
      </c>
      <c r="J63" s="198" t="n">
        <f aca="false">TblConstr[[#This Row],[Water]]</f>
        <v>7</v>
      </c>
      <c r="K63" s="4"/>
      <c r="L63" s="15" t="n">
        <v>12</v>
      </c>
      <c r="M63" s="17" t="n">
        <f aca="false">ROUNDDOWN(227.945*(L63+0.5 - 5)^0.934579 + 300,0)</f>
        <v>1798</v>
      </c>
      <c r="N63" s="247" t="n">
        <f aca="false">TblMili[[#This Row],[Smithies]]</f>
        <v>0.176470588235294</v>
      </c>
      <c r="O63" s="247" t="n">
        <f aca="false">TblPop[[#This Row],[Employment]]</f>
        <v>1</v>
      </c>
      <c r="P63" s="247" t="n">
        <f aca="false">TblImps[[#This Row],[Population]]</f>
        <v>1</v>
      </c>
      <c r="Q63" s="181" t="n">
        <f aca="false">TblExplore[[#This Row],[Land]]</f>
        <v>646</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1655</v>
      </c>
      <c r="AC63" s="69" t="n">
        <f aca="false">TblProd[[#This Row],[Platinum]]</f>
        <v>1319455</v>
      </c>
      <c r="AD63" s="245"/>
      <c r="AE63" s="151" t="n">
        <f aca="false">TblExplore[[#This Row],[Land]]-TblExplore[[#This Row],[Land Bonus]]*20</f>
        <v>646</v>
      </c>
      <c r="AF63" s="69" t="n">
        <f aca="false">ROUND(MAX(0.6*TblExplore[[#This Row],[Land-DB]]^1.299,850)*(1+ tech_2_6*Techs!AC63 + tech_2_9*Techs!AF63 + tech_3_7*Techs!AN63 + Overview!$I$32),0)</f>
        <v>2683</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236</v>
      </c>
    </row>
    <row r="64" customFormat="false" ht="12.75" hidden="false" customHeight="false" outlineLevel="0" collapsed="false">
      <c r="A64" s="170" t="n">
        <f aca="false">TblRezone[[#This Row],[Hour]]</f>
        <v>61</v>
      </c>
      <c r="B64" s="181" t="n">
        <f aca="false">TblConstr[[#This Row],[Land]]</f>
        <v>646</v>
      </c>
      <c r="C64" s="245"/>
      <c r="D64" s="246" t="n">
        <f aca="false">TblConstr[[#This Row],[Plain]]</f>
        <v>-81</v>
      </c>
      <c r="E64" s="193" t="n">
        <f aca="false">TblConstr[[#This Row],[Forest]]</f>
        <v>2</v>
      </c>
      <c r="F64" s="200" t="n">
        <f aca="false">TblConstr[[#This Row],[Mountain]]</f>
        <v>3</v>
      </c>
      <c r="G64" s="201" t="n">
        <f aca="false">TblConstr[[#This Row],[Hill]]</f>
        <v>4</v>
      </c>
      <c r="H64" s="202" t="n">
        <f aca="false">TblConstr[[#This Row],[Swamp]]</f>
        <v>5</v>
      </c>
      <c r="I64" s="197" t="n">
        <f aca="false">TblConstr[[#This Row],[Cavern]]</f>
        <v>6</v>
      </c>
      <c r="J64" s="198" t="n">
        <f aca="false">TblConstr[[#This Row],[Water]]</f>
        <v>7</v>
      </c>
      <c r="K64" s="4"/>
      <c r="L64" s="15" t="n">
        <v>13</v>
      </c>
      <c r="M64" s="17" t="n">
        <f aca="false">ROUNDDOWN(227.945*(L64+0.5 - 5)^0.934579 + 300,0)</f>
        <v>1984</v>
      </c>
      <c r="N64" s="247" t="n">
        <f aca="false">TblMili[[#This Row],[Smithies]]</f>
        <v>0.195046439628483</v>
      </c>
      <c r="O64" s="247" t="n">
        <f aca="false">TblPop[[#This Row],[Employment]]</f>
        <v>1</v>
      </c>
      <c r="P64" s="247" t="n">
        <f aca="false">TblImps[[#This Row],[Population]]</f>
        <v>1</v>
      </c>
      <c r="Q64" s="181" t="n">
        <f aca="false">TblExplore[[#This Row],[Land]]</f>
        <v>646</v>
      </c>
      <c r="R64" s="170" t="n">
        <f aca="false">TblExplore[[#This Row],[Hour]]</f>
        <v>61</v>
      </c>
      <c r="S64" s="248"/>
      <c r="T64" s="182"/>
      <c r="U64" s="182"/>
      <c r="V64" s="182"/>
      <c r="W64" s="182"/>
      <c r="X64" s="182"/>
      <c r="Y64" s="182"/>
      <c r="Z64" s="182"/>
      <c r="AA64" s="153" t="n">
        <f aca="false">TblImps[[#This Row],[Real time]]</f>
        <v>45432.25</v>
      </c>
      <c r="AB64" s="69" t="n">
        <f aca="false">TblMili[[#This Row],[Draftees]]</f>
        <v>409</v>
      </c>
      <c r="AC64" s="69" t="n">
        <f aca="false">TblProd[[#This Row],[Platinum]]</f>
        <v>618020</v>
      </c>
      <c r="AD64" s="245"/>
      <c r="AE64" s="151" t="n">
        <f aca="false">TblExplore[[#This Row],[Land]]-TblExplore[[#This Row],[Land Bonus]]*20</f>
        <v>646</v>
      </c>
      <c r="AF64" s="69" t="n">
        <f aca="false">ROUND(MAX(0.6*TblExplore[[#This Row],[Land-DB]]^1.299,850)*(1+ tech_2_6*Techs!AC64 + tech_2_9*Techs!AF64 + tech_3_7*Techs!AN64 + Overview!$I$32),0)</f>
        <v>2683</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58</v>
      </c>
    </row>
    <row r="65" customFormat="false" ht="12.75" hidden="false" customHeight="false" outlineLevel="0" collapsed="false">
      <c r="A65" s="170" t="n">
        <f aca="false">TblRezone[[#This Row],[Hour]]</f>
        <v>62</v>
      </c>
      <c r="B65" s="181" t="n">
        <f aca="false">TblConstr[[#This Row],[Land]]</f>
        <v>646</v>
      </c>
      <c r="C65" s="245"/>
      <c r="D65" s="246" t="n">
        <f aca="false">TblConstr[[#This Row],[Plain]]</f>
        <v>-81</v>
      </c>
      <c r="E65" s="193" t="n">
        <f aca="false">TblConstr[[#This Row],[Forest]]</f>
        <v>2</v>
      </c>
      <c r="F65" s="200" t="n">
        <f aca="false">TblConstr[[#This Row],[Mountain]]</f>
        <v>3</v>
      </c>
      <c r="G65" s="201" t="n">
        <f aca="false">TblConstr[[#This Row],[Hill]]</f>
        <v>4</v>
      </c>
      <c r="H65" s="202" t="n">
        <f aca="false">TblConstr[[#This Row],[Swamp]]</f>
        <v>5</v>
      </c>
      <c r="I65" s="197" t="n">
        <f aca="false">TblConstr[[#This Row],[Cavern]]</f>
        <v>6</v>
      </c>
      <c r="J65" s="198" t="n">
        <f aca="false">TblConstr[[#This Row],[Water]]</f>
        <v>7</v>
      </c>
      <c r="K65" s="4"/>
      <c r="L65" s="15" t="n">
        <v>14</v>
      </c>
      <c r="M65" s="17" t="n">
        <f aca="false">ROUNDDOWN(227.945*(L65+0.5 - 5)^0.934579 + 300,0)</f>
        <v>2168</v>
      </c>
      <c r="N65" s="247" t="n">
        <f aca="false">TblMili[[#This Row],[Smithies]]</f>
        <v>0.195046439628483</v>
      </c>
      <c r="O65" s="247" t="n">
        <f aca="false">TblPop[[#This Row],[Employment]]</f>
        <v>1</v>
      </c>
      <c r="P65" s="247" t="n">
        <f aca="false">TblImps[[#This Row],[Population]]</f>
        <v>1</v>
      </c>
      <c r="Q65" s="181" t="n">
        <f aca="false">TblExplore[[#This Row],[Land]]</f>
        <v>646</v>
      </c>
      <c r="R65" s="170" t="n">
        <f aca="false">TblExplore[[#This Row],[Hour]]</f>
        <v>62</v>
      </c>
      <c r="S65" s="248"/>
      <c r="T65" s="182"/>
      <c r="U65" s="182"/>
      <c r="V65" s="182"/>
      <c r="W65" s="182"/>
      <c r="X65" s="182"/>
      <c r="Y65" s="182"/>
      <c r="Z65" s="182"/>
      <c r="AA65" s="153" t="n">
        <f aca="false">TblImps[[#This Row],[Real time]]</f>
        <v>45432.2916666667</v>
      </c>
      <c r="AB65" s="69" t="n">
        <f aca="false">TblMili[[#This Row],[Draftees]]</f>
        <v>508</v>
      </c>
      <c r="AC65" s="69" t="n">
        <f aca="false">TblProd[[#This Row],[Platinum]]</f>
        <v>718144</v>
      </c>
      <c r="AD65" s="245"/>
      <c r="AE65" s="151" t="n">
        <f aca="false">TblExplore[[#This Row],[Land]]-TblExplore[[#This Row],[Land Bonus]]*20</f>
        <v>646</v>
      </c>
      <c r="AF65" s="69" t="n">
        <f aca="false">ROUND(MAX(0.6*TblExplore[[#This Row],[Land-DB]]^1.299,850)*(1+ tech_2_6*Techs!AC65 + tech_2_9*Techs!AF65 + tech_3_7*Techs!AN65 + Overview!$I$32),0)</f>
        <v>2683</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72</v>
      </c>
    </row>
    <row r="66" customFormat="false" ht="12.75" hidden="false" customHeight="false" outlineLevel="0" collapsed="false">
      <c r="A66" s="170" t="n">
        <f aca="false">TblRezone[[#This Row],[Hour]]</f>
        <v>63</v>
      </c>
      <c r="B66" s="181" t="n">
        <f aca="false">TblConstr[[#This Row],[Land]]</f>
        <v>646</v>
      </c>
      <c r="C66" s="245"/>
      <c r="D66" s="246" t="n">
        <f aca="false">TblConstr[[#This Row],[Plain]]</f>
        <v>-81</v>
      </c>
      <c r="E66" s="193" t="n">
        <f aca="false">TblConstr[[#This Row],[Forest]]</f>
        <v>2</v>
      </c>
      <c r="F66" s="200" t="n">
        <f aca="false">TblConstr[[#This Row],[Mountain]]</f>
        <v>3</v>
      </c>
      <c r="G66" s="201" t="n">
        <f aca="false">TblConstr[[#This Row],[Hill]]</f>
        <v>4</v>
      </c>
      <c r="H66" s="202" t="n">
        <f aca="false">TblConstr[[#This Row],[Swamp]]</f>
        <v>5</v>
      </c>
      <c r="I66" s="197" t="n">
        <f aca="false">TblConstr[[#This Row],[Cavern]]</f>
        <v>6</v>
      </c>
      <c r="J66" s="198" t="n">
        <f aca="false">TblConstr[[#This Row],[Water]]</f>
        <v>7</v>
      </c>
      <c r="K66" s="4"/>
      <c r="L66" s="15" t="n">
        <v>15</v>
      </c>
      <c r="M66" s="17" t="n">
        <f aca="false">ROUNDDOWN(227.945*(L66+0.5 - 5)^0.934579 + 300,0)</f>
        <v>2352</v>
      </c>
      <c r="N66" s="247" t="n">
        <f aca="false">TblMili[[#This Row],[Smithies]]</f>
        <v>0.195046439628483</v>
      </c>
      <c r="O66" s="247" t="n">
        <f aca="false">TblPop[[#This Row],[Employment]]</f>
        <v>1</v>
      </c>
      <c r="P66" s="247" t="n">
        <f aca="false">TblImps[[#This Row],[Population]]</f>
        <v>1</v>
      </c>
      <c r="Q66" s="181" t="n">
        <f aca="false">TblExplore[[#This Row],[Land]]</f>
        <v>646</v>
      </c>
      <c r="R66" s="170" t="n">
        <f aca="false">TblExplore[[#This Row],[Hour]]</f>
        <v>63</v>
      </c>
      <c r="S66" s="248"/>
      <c r="T66" s="182"/>
      <c r="U66" s="182"/>
      <c r="V66" s="182"/>
      <c r="W66" s="182"/>
      <c r="X66" s="182"/>
      <c r="Y66" s="182"/>
      <c r="Z66" s="182"/>
      <c r="AA66" s="153" t="n">
        <f aca="false">TblImps[[#This Row],[Real time]]</f>
        <v>45432.3333333333</v>
      </c>
      <c r="AB66" s="69" t="n">
        <f aca="false">TblMili[[#This Row],[Draftees]]</f>
        <v>606</v>
      </c>
      <c r="AC66" s="69" t="n">
        <f aca="false">TblProd[[#This Row],[Platinum]]</f>
        <v>820522</v>
      </c>
      <c r="AD66" s="245"/>
      <c r="AE66" s="151" t="n">
        <f aca="false">TblExplore[[#This Row],[Land]]-TblExplore[[#This Row],[Land Bonus]]*20</f>
        <v>646</v>
      </c>
      <c r="AF66" s="69" t="n">
        <f aca="false">ROUND(MAX(0.6*TblExplore[[#This Row],[Land-DB]]^1.299,850)*(1+ tech_2_6*Techs!AC66 + tech_2_9*Techs!AF66 + tech_3_7*Techs!AN66 + Overview!$I$32),0)</f>
        <v>2683</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86</v>
      </c>
    </row>
    <row r="67" customFormat="false" ht="12.75" hidden="false" customHeight="false" outlineLevel="0" collapsed="false">
      <c r="A67" s="170" t="n">
        <f aca="false">TblRezone[[#This Row],[Hour]]</f>
        <v>64</v>
      </c>
      <c r="B67" s="181" t="n">
        <f aca="false">TblConstr[[#This Row],[Land]]</f>
        <v>646</v>
      </c>
      <c r="C67" s="245"/>
      <c r="D67" s="246" t="n">
        <f aca="false">TblConstr[[#This Row],[Plain]]</f>
        <v>-81</v>
      </c>
      <c r="E67" s="193" t="n">
        <f aca="false">TblConstr[[#This Row],[Forest]]</f>
        <v>2</v>
      </c>
      <c r="F67" s="200" t="n">
        <f aca="false">TblConstr[[#This Row],[Mountain]]</f>
        <v>3</v>
      </c>
      <c r="G67" s="201" t="n">
        <f aca="false">TblConstr[[#This Row],[Hill]]</f>
        <v>4</v>
      </c>
      <c r="H67" s="202" t="n">
        <f aca="false">TblConstr[[#This Row],[Swamp]]</f>
        <v>5</v>
      </c>
      <c r="I67" s="197" t="n">
        <f aca="false">TblConstr[[#This Row],[Cavern]]</f>
        <v>6</v>
      </c>
      <c r="J67" s="198" t="n">
        <f aca="false">TblConstr[[#This Row],[Water]]</f>
        <v>7</v>
      </c>
      <c r="K67" s="4"/>
      <c r="L67" s="15" t="n">
        <v>16</v>
      </c>
      <c r="M67" s="17" t="n">
        <f aca="false">ROUNDDOWN(227.945*(L67+0.5 - 5)^0.934579 + 300,0)</f>
        <v>2534</v>
      </c>
      <c r="N67" s="247" t="n">
        <f aca="false">TblMili[[#This Row],[Smithies]]</f>
        <v>0.195046439628483</v>
      </c>
      <c r="O67" s="247" t="n">
        <f aca="false">TblPop[[#This Row],[Employment]]</f>
        <v>1</v>
      </c>
      <c r="P67" s="247" t="n">
        <f aca="false">TblImps[[#This Row],[Population]]</f>
        <v>1</v>
      </c>
      <c r="Q67" s="181" t="n">
        <f aca="false">TblExplore[[#This Row],[Land]]</f>
        <v>646</v>
      </c>
      <c r="R67" s="170" t="n">
        <f aca="false">TblExplore[[#This Row],[Hour]]</f>
        <v>64</v>
      </c>
      <c r="S67" s="248"/>
      <c r="T67" s="182"/>
      <c r="U67" s="182"/>
      <c r="V67" s="182"/>
      <c r="W67" s="182"/>
      <c r="X67" s="182"/>
      <c r="Y67" s="182"/>
      <c r="Z67" s="182"/>
      <c r="AA67" s="153" t="n">
        <f aca="false">TblImps[[#This Row],[Real time]]</f>
        <v>45432.375</v>
      </c>
      <c r="AB67" s="69" t="n">
        <f aca="false">TblMili[[#This Row],[Draftees]]</f>
        <v>4</v>
      </c>
      <c r="AC67" s="69" t="n">
        <f aca="false">TblProd[[#This Row],[Platinum]]</f>
        <v>794516</v>
      </c>
      <c r="AD67" s="245"/>
      <c r="AE67" s="151" t="n">
        <f aca="false">TblExplore[[#This Row],[Land]]-TblExplore[[#This Row],[Land Bonus]]*20</f>
        <v>646</v>
      </c>
      <c r="AF67" s="69" t="n">
        <f aca="false">ROUND(MAX(0.6*TblExplore[[#This Row],[Land-DB]]^1.299,850)*(1+ tech_2_6*Techs!AC67 + tech_2_9*Techs!AF67 + tech_3_7*Techs!AN67 + Overview!$I$32),0)</f>
        <v>2683</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0</v>
      </c>
    </row>
    <row r="68" customFormat="false" ht="12.75" hidden="false" customHeight="false" outlineLevel="0" collapsed="false">
      <c r="A68" s="170" t="n">
        <f aca="false">TblRezone[[#This Row],[Hour]]</f>
        <v>65</v>
      </c>
      <c r="B68" s="181" t="n">
        <f aca="false">TblConstr[[#This Row],[Land]]</f>
        <v>646</v>
      </c>
      <c r="C68" s="245"/>
      <c r="D68" s="246" t="n">
        <f aca="false">TblConstr[[#This Row],[Plain]]</f>
        <v>-81</v>
      </c>
      <c r="E68" s="193" t="n">
        <f aca="false">TblConstr[[#This Row],[Forest]]</f>
        <v>2</v>
      </c>
      <c r="F68" s="200" t="n">
        <f aca="false">TblConstr[[#This Row],[Mountain]]</f>
        <v>3</v>
      </c>
      <c r="G68" s="201" t="n">
        <f aca="false">TblConstr[[#This Row],[Hill]]</f>
        <v>4</v>
      </c>
      <c r="H68" s="202" t="n">
        <f aca="false">TblConstr[[#This Row],[Swamp]]</f>
        <v>5</v>
      </c>
      <c r="I68" s="197" t="n">
        <f aca="false">TblConstr[[#This Row],[Cavern]]</f>
        <v>6</v>
      </c>
      <c r="J68" s="198" t="n">
        <f aca="false">TblConstr[[#This Row],[Water]]</f>
        <v>7</v>
      </c>
      <c r="K68" s="4"/>
      <c r="L68" s="15" t="n">
        <v>17</v>
      </c>
      <c r="M68" s="17" t="n">
        <f aca="false">ROUNDDOWN(227.945*(L68+0.5 - 5)^0.934579 + 300,0)</f>
        <v>2715</v>
      </c>
      <c r="N68" s="247" t="n">
        <f aca="false">TblMili[[#This Row],[Smithies]]</f>
        <v>0.195046439628483</v>
      </c>
      <c r="O68" s="247" t="n">
        <f aca="false">TblPop[[#This Row],[Employment]]</f>
        <v>1</v>
      </c>
      <c r="P68" s="247" t="n">
        <f aca="false">TblImps[[#This Row],[Population]]</f>
        <v>1</v>
      </c>
      <c r="Q68" s="181" t="n">
        <f aca="false">TblExplore[[#This Row],[Land]]</f>
        <v>646</v>
      </c>
      <c r="R68" s="170" t="n">
        <f aca="false">TblExplore[[#This Row],[Hour]]</f>
        <v>65</v>
      </c>
      <c r="S68" s="248"/>
      <c r="T68" s="182"/>
      <c r="U68" s="182"/>
      <c r="V68" s="182"/>
      <c r="W68" s="182"/>
      <c r="X68" s="182"/>
      <c r="Y68" s="182"/>
      <c r="Z68" s="182"/>
      <c r="AA68" s="153" t="n">
        <f aca="false">TblImps[[#This Row],[Real time]]</f>
        <v>45432.4166666667</v>
      </c>
      <c r="AB68" s="69" t="n">
        <f aca="false">TblMili[[#This Row],[Draftees]]</f>
        <v>3</v>
      </c>
      <c r="AC68" s="69" t="n">
        <f aca="false">TblProd[[#This Row],[Platinum]]</f>
        <v>887582</v>
      </c>
      <c r="AD68" s="245"/>
      <c r="AE68" s="151" t="n">
        <f aca="false">TblExplore[[#This Row],[Land]]-TblExplore[[#This Row],[Land Bonus]]*20</f>
        <v>646</v>
      </c>
      <c r="AF68" s="69" t="n">
        <f aca="false">ROUND(MAX(0.6*TblExplore[[#This Row],[Land-DB]]^1.299,850)*(1+ tech_2_6*Techs!AC68 + tech_2_9*Techs!AF68 + tech_3_7*Techs!AN68 + Overview!$I$32),0)</f>
        <v>2683</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0</v>
      </c>
    </row>
    <row r="69" customFormat="false" ht="12.75" hidden="false" customHeight="false" outlineLevel="0" collapsed="false">
      <c r="A69" s="170" t="n">
        <f aca="false">TblRezone[[#This Row],[Hour]]</f>
        <v>66</v>
      </c>
      <c r="B69" s="181" t="n">
        <f aca="false">TblConstr[[#This Row],[Land]]</f>
        <v>646</v>
      </c>
      <c r="C69" s="245"/>
      <c r="D69" s="246" t="n">
        <f aca="false">TblConstr[[#This Row],[Plain]]</f>
        <v>-81</v>
      </c>
      <c r="E69" s="193" t="n">
        <f aca="false">TblConstr[[#This Row],[Forest]]</f>
        <v>2</v>
      </c>
      <c r="F69" s="200" t="n">
        <f aca="false">TblConstr[[#This Row],[Mountain]]</f>
        <v>3</v>
      </c>
      <c r="G69" s="201" t="n">
        <f aca="false">TblConstr[[#This Row],[Hill]]</f>
        <v>4</v>
      </c>
      <c r="H69" s="202" t="n">
        <f aca="false">TblConstr[[#This Row],[Swamp]]</f>
        <v>5</v>
      </c>
      <c r="I69" s="197" t="n">
        <f aca="false">TblConstr[[#This Row],[Cavern]]</f>
        <v>6</v>
      </c>
      <c r="J69" s="198" t="n">
        <f aca="false">TblConstr[[#This Row],[Water]]</f>
        <v>7</v>
      </c>
      <c r="K69" s="4"/>
      <c r="L69" s="262" t="n">
        <v>18</v>
      </c>
      <c r="M69" s="263" t="n">
        <f aca="false">ROUNDDOWN(227.945*(L69+0.5 - 5)^0.934579 + 300,0)</f>
        <v>2895</v>
      </c>
      <c r="N69" s="247" t="n">
        <f aca="false">TblMili[[#This Row],[Smithies]]</f>
        <v>0.195046439628483</v>
      </c>
      <c r="O69" s="247" t="n">
        <f aca="false">TblPop[[#This Row],[Employment]]</f>
        <v>1</v>
      </c>
      <c r="P69" s="247" t="n">
        <f aca="false">TblImps[[#This Row],[Population]]</f>
        <v>1</v>
      </c>
      <c r="Q69" s="181" t="n">
        <f aca="false">TblExplore[[#This Row],[Land]]</f>
        <v>646</v>
      </c>
      <c r="R69" s="170" t="n">
        <f aca="false">TblExplore[[#This Row],[Hour]]</f>
        <v>66</v>
      </c>
      <c r="S69" s="248"/>
      <c r="T69" s="182"/>
      <c r="U69" s="182"/>
      <c r="V69" s="182"/>
      <c r="W69" s="182"/>
      <c r="X69" s="182"/>
      <c r="Y69" s="182"/>
      <c r="Z69" s="182"/>
      <c r="AA69" s="153" t="n">
        <f aca="false">TblImps[[#This Row],[Real time]]</f>
        <v>45432.4583333333</v>
      </c>
      <c r="AB69" s="69" t="n">
        <f aca="false">TblMili[[#This Row],[Draftees]]</f>
        <v>2</v>
      </c>
      <c r="AC69" s="69" t="n">
        <f aca="false">TblProd[[#This Row],[Platinum]]</f>
        <v>980815</v>
      </c>
      <c r="AD69" s="245"/>
      <c r="AE69" s="151" t="n">
        <f aca="false">TblExplore[[#This Row],[Land]]-TblExplore[[#This Row],[Land Bonus]]*20</f>
        <v>646</v>
      </c>
      <c r="AF69" s="69" t="n">
        <f aca="false">ROUND(MAX(0.6*TblExplore[[#This Row],[Land-DB]]^1.299,850)*(1+ tech_2_6*Techs!AC69 + tech_2_9*Techs!AF69 + tech_3_7*Techs!AN69 + Overview!$I$32),0)</f>
        <v>2683</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0</v>
      </c>
    </row>
    <row r="70" customFormat="false" ht="12.75" hidden="false" customHeight="false" outlineLevel="0" collapsed="false">
      <c r="A70" s="170" t="n">
        <f aca="false">TblRezone[[#This Row],[Hour]]</f>
        <v>67</v>
      </c>
      <c r="B70" s="181" t="n">
        <f aca="false">TblConstr[[#This Row],[Land]]</f>
        <v>646</v>
      </c>
      <c r="C70" s="245"/>
      <c r="D70" s="246" t="n">
        <f aca="false">TblConstr[[#This Row],[Plain]]</f>
        <v>-81</v>
      </c>
      <c r="E70" s="193" t="n">
        <f aca="false">TblConstr[[#This Row],[Forest]]</f>
        <v>2</v>
      </c>
      <c r="F70" s="200" t="n">
        <f aca="false">TblConstr[[#This Row],[Mountain]]</f>
        <v>3</v>
      </c>
      <c r="G70" s="201" t="n">
        <f aca="false">TblConstr[[#This Row],[Hill]]</f>
        <v>4</v>
      </c>
      <c r="H70" s="202" t="n">
        <f aca="false">TblConstr[[#This Row],[Swamp]]</f>
        <v>5</v>
      </c>
      <c r="I70" s="197" t="n">
        <f aca="false">TblConstr[[#This Row],[Cavern]]</f>
        <v>6</v>
      </c>
      <c r="J70" s="198" t="n">
        <f aca="false">TblConstr[[#This Row],[Water]]</f>
        <v>7</v>
      </c>
      <c r="K70" s="4"/>
      <c r="L70" s="4"/>
      <c r="M70" s="4"/>
      <c r="N70" s="247" t="n">
        <f aca="false">TblMili[[#This Row],[Smithies]]</f>
        <v>0.195046439628483</v>
      </c>
      <c r="O70" s="247" t="n">
        <f aca="false">TblPop[[#This Row],[Employment]]</f>
        <v>1</v>
      </c>
      <c r="P70" s="247" t="n">
        <f aca="false">TblImps[[#This Row],[Population]]</f>
        <v>1</v>
      </c>
      <c r="Q70" s="181" t="n">
        <f aca="false">TblExplore[[#This Row],[Land]]</f>
        <v>646</v>
      </c>
      <c r="R70" s="170" t="n">
        <f aca="false">TblExplore[[#This Row],[Hour]]</f>
        <v>67</v>
      </c>
      <c r="S70" s="248"/>
      <c r="T70" s="182"/>
      <c r="U70" s="182"/>
      <c r="V70" s="182"/>
      <c r="W70" s="182"/>
      <c r="X70" s="182"/>
      <c r="Y70" s="182"/>
      <c r="Z70" s="182"/>
      <c r="AA70" s="153" t="n">
        <f aca="false">TblImps[[#This Row],[Real time]]</f>
        <v>45432.5</v>
      </c>
      <c r="AB70" s="69" t="n">
        <f aca="false">TblMili[[#This Row],[Draftees]]</f>
        <v>-7</v>
      </c>
      <c r="AC70" s="69" t="n">
        <f aca="false">TblProd[[#This Row],[Platinum]]</f>
        <v>1048413</v>
      </c>
      <c r="AD70" s="245"/>
      <c r="AE70" s="151" t="n">
        <f aca="false">TblExplore[[#This Row],[Land]]-TblExplore[[#This Row],[Land Bonus]]*20</f>
        <v>646</v>
      </c>
      <c r="AF70" s="69" t="n">
        <f aca="false">ROUND(MAX(0.6*TblExplore[[#This Row],[Land-DB]]^1.299,850)*(1+ tech_2_6*Techs!AC70 + tech_2_9*Techs!AF70 + tech_3_7*Techs!AN70 + Overview!$I$32),0)</f>
        <v>2683</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-1</v>
      </c>
    </row>
    <row r="71" customFormat="false" ht="12.75" hidden="false" customHeight="false" outlineLevel="0" collapsed="false">
      <c r="A71" s="170" t="n">
        <f aca="false">TblRezone[[#This Row],[Hour]]</f>
        <v>68</v>
      </c>
      <c r="B71" s="181" t="n">
        <f aca="false">TblConstr[[#This Row],[Land]]</f>
        <v>646</v>
      </c>
      <c r="C71" s="245"/>
      <c r="D71" s="246" t="n">
        <f aca="false">TblConstr[[#This Row],[Plain]]</f>
        <v>-81</v>
      </c>
      <c r="E71" s="193" t="n">
        <f aca="false">TblConstr[[#This Row],[Forest]]</f>
        <v>2</v>
      </c>
      <c r="F71" s="200" t="n">
        <f aca="false">TblConstr[[#This Row],[Mountain]]</f>
        <v>3</v>
      </c>
      <c r="G71" s="201" t="n">
        <f aca="false">TblConstr[[#This Row],[Hill]]</f>
        <v>4</v>
      </c>
      <c r="H71" s="202" t="n">
        <f aca="false">TblConstr[[#This Row],[Swamp]]</f>
        <v>5</v>
      </c>
      <c r="I71" s="197" t="n">
        <f aca="false">TblConstr[[#This Row],[Cavern]]</f>
        <v>6</v>
      </c>
      <c r="J71" s="198" t="n">
        <f aca="false">TblConstr[[#This Row],[Water]]</f>
        <v>7</v>
      </c>
      <c r="K71" s="4"/>
      <c r="L71" s="4"/>
      <c r="M71" s="4"/>
      <c r="N71" s="247" t="n">
        <f aca="false">TblMili[[#This Row],[Smithies]]</f>
        <v>0.195046439628483</v>
      </c>
      <c r="O71" s="247" t="n">
        <f aca="false">TblPop[[#This Row],[Employment]]</f>
        <v>1</v>
      </c>
      <c r="P71" s="247" t="n">
        <f aca="false">TblImps[[#This Row],[Population]]</f>
        <v>1</v>
      </c>
      <c r="Q71" s="181" t="n">
        <f aca="false">TblExplore[[#This Row],[Land]]</f>
        <v>646</v>
      </c>
      <c r="R71" s="170" t="n">
        <f aca="false">TblExplore[[#This Row],[Hour]]</f>
        <v>68</v>
      </c>
      <c r="S71" s="248"/>
      <c r="T71" s="182"/>
      <c r="U71" s="182"/>
      <c r="V71" s="182"/>
      <c r="W71" s="182"/>
      <c r="X71" s="182"/>
      <c r="Y71" s="182"/>
      <c r="Z71" s="182"/>
      <c r="AA71" s="153" t="n">
        <f aca="false">TblImps[[#This Row],[Real time]]</f>
        <v>45432.5416666667</v>
      </c>
      <c r="AB71" s="69" t="n">
        <f aca="false">TblMili[[#This Row],[Draftees]]</f>
        <v>-10</v>
      </c>
      <c r="AC71" s="69" t="n">
        <f aca="false">TblProd[[#This Row],[Platinum]]</f>
        <v>1119594</v>
      </c>
      <c r="AD71" s="245"/>
      <c r="AE71" s="151" t="n">
        <f aca="false">TblExplore[[#This Row],[Land]]-TblExplore[[#This Row],[Land Bonus]]*20</f>
        <v>646</v>
      </c>
      <c r="AF71" s="69" t="n">
        <f aca="false">ROUND(MAX(0.6*TblExplore[[#This Row],[Land-DB]]^1.299,850)*(1+ tech_2_6*Techs!AC71 + tech_2_9*Techs!AF71 + tech_3_7*Techs!AN71 + Overview!$I$32),0)</f>
        <v>2683</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-2</v>
      </c>
    </row>
    <row r="72" customFormat="false" ht="12.75" hidden="false" customHeight="false" outlineLevel="0" collapsed="false">
      <c r="A72" s="170" t="n">
        <f aca="false">TblRezone[[#This Row],[Hour]]</f>
        <v>69</v>
      </c>
      <c r="B72" s="181" t="n">
        <f aca="false">TblConstr[[#This Row],[Land]]</f>
        <v>646</v>
      </c>
      <c r="C72" s="245"/>
      <c r="D72" s="246" t="n">
        <f aca="false">TblConstr[[#This Row],[Plain]]</f>
        <v>-81</v>
      </c>
      <c r="E72" s="193" t="n">
        <f aca="false">TblConstr[[#This Row],[Forest]]</f>
        <v>2</v>
      </c>
      <c r="F72" s="200" t="n">
        <f aca="false">TblConstr[[#This Row],[Mountain]]</f>
        <v>3</v>
      </c>
      <c r="G72" s="201" t="n">
        <f aca="false">TblConstr[[#This Row],[Hill]]</f>
        <v>4</v>
      </c>
      <c r="H72" s="202" t="n">
        <f aca="false">TblConstr[[#This Row],[Swamp]]</f>
        <v>5</v>
      </c>
      <c r="I72" s="197" t="n">
        <f aca="false">TblConstr[[#This Row],[Cavern]]</f>
        <v>6</v>
      </c>
      <c r="J72" s="198" t="n">
        <f aca="false">TblConstr[[#This Row],[Water]]</f>
        <v>7</v>
      </c>
      <c r="K72" s="4"/>
      <c r="L72" s="4"/>
      <c r="M72" s="4"/>
      <c r="N72" s="247" t="n">
        <f aca="false">TblMili[[#This Row],[Smithies]]</f>
        <v>0.195046439628483</v>
      </c>
      <c r="O72" s="247" t="n">
        <f aca="false">TblPop[[#This Row],[Employment]]</f>
        <v>1</v>
      </c>
      <c r="P72" s="247" t="n">
        <f aca="false">TblImps[[#This Row],[Population]]</f>
        <v>1</v>
      </c>
      <c r="Q72" s="181" t="n">
        <f aca="false">TblExplore[[#This Row],[Land]]</f>
        <v>646</v>
      </c>
      <c r="R72" s="170" t="n">
        <f aca="false">TblExplore[[#This Row],[Hour]]</f>
        <v>69</v>
      </c>
      <c r="S72" s="248"/>
      <c r="T72" s="182"/>
      <c r="U72" s="182"/>
      <c r="V72" s="182"/>
      <c r="W72" s="182"/>
      <c r="X72" s="182"/>
      <c r="Y72" s="182"/>
      <c r="Z72" s="182"/>
      <c r="AA72" s="153" t="n">
        <f aca="false">TblImps[[#This Row],[Real time]]</f>
        <v>45432.5833333333</v>
      </c>
      <c r="AB72" s="69" t="n">
        <f aca="false">TblMili[[#This Row],[Draftees]]</f>
        <v>-13</v>
      </c>
      <c r="AC72" s="69" t="n">
        <f aca="false">TblProd[[#This Row],[Platinum]]</f>
        <v>1169451</v>
      </c>
      <c r="AD72" s="245"/>
      <c r="AE72" s="151" t="n">
        <f aca="false">TblExplore[[#This Row],[Land]]-TblExplore[[#This Row],[Land Bonus]]*20</f>
        <v>646</v>
      </c>
      <c r="AF72" s="69" t="n">
        <f aca="false">ROUND(MAX(0.6*TblExplore[[#This Row],[Land-DB]]^1.299,850)*(1+ tech_2_6*Techs!AC72 + tech_2_9*Techs!AF72 + tech_3_7*Techs!AN72 + Overview!$I$32),0)</f>
        <v>2683</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-2</v>
      </c>
    </row>
    <row r="73" customFormat="false" ht="12.75" hidden="false" customHeight="false" outlineLevel="0" collapsed="false">
      <c r="A73" s="170" t="n">
        <f aca="false">TblRezone[[#This Row],[Hour]]</f>
        <v>70</v>
      </c>
      <c r="B73" s="181" t="n">
        <f aca="false">TblConstr[[#This Row],[Land]]</f>
        <v>646</v>
      </c>
      <c r="C73" s="245"/>
      <c r="D73" s="246" t="n">
        <f aca="false">TblConstr[[#This Row],[Plain]]</f>
        <v>-81</v>
      </c>
      <c r="E73" s="193" t="n">
        <f aca="false">TblConstr[[#This Row],[Forest]]</f>
        <v>2</v>
      </c>
      <c r="F73" s="200" t="n">
        <f aca="false">TblConstr[[#This Row],[Mountain]]</f>
        <v>3</v>
      </c>
      <c r="G73" s="201" t="n">
        <f aca="false">TblConstr[[#This Row],[Hill]]</f>
        <v>4</v>
      </c>
      <c r="H73" s="202" t="n">
        <f aca="false">TblConstr[[#This Row],[Swamp]]</f>
        <v>5</v>
      </c>
      <c r="I73" s="197" t="n">
        <f aca="false">TblConstr[[#This Row],[Cavern]]</f>
        <v>6</v>
      </c>
      <c r="J73" s="198" t="n">
        <f aca="false">TblConstr[[#This Row],[Water]]</f>
        <v>7</v>
      </c>
      <c r="K73" s="4"/>
      <c r="L73" s="4"/>
      <c r="M73" s="4"/>
      <c r="N73" s="247" t="n">
        <f aca="false">TblMili[[#This Row],[Smithies]]</f>
        <v>0.195046439628483</v>
      </c>
      <c r="O73" s="247" t="n">
        <f aca="false">TblPop[[#This Row],[Employment]]</f>
        <v>1</v>
      </c>
      <c r="P73" s="247" t="n">
        <f aca="false">TblImps[[#This Row],[Population]]</f>
        <v>1</v>
      </c>
      <c r="Q73" s="181" t="n">
        <f aca="false">TblExplore[[#This Row],[Land]]</f>
        <v>646</v>
      </c>
      <c r="R73" s="170" t="n">
        <f aca="false">TblExplore[[#This Row],[Hour]]</f>
        <v>70</v>
      </c>
      <c r="S73" s="248"/>
      <c r="T73" s="182"/>
      <c r="U73" s="182"/>
      <c r="V73" s="182"/>
      <c r="W73" s="182"/>
      <c r="X73" s="182"/>
      <c r="Y73" s="182"/>
      <c r="Z73" s="182"/>
      <c r="AA73" s="153" t="n">
        <f aca="false">TblImps[[#This Row],[Real time]]</f>
        <v>45432.625</v>
      </c>
      <c r="AB73" s="69" t="n">
        <f aca="false">TblMili[[#This Row],[Draftees]]</f>
        <v>-16</v>
      </c>
      <c r="AC73" s="69" t="n">
        <f aca="false">TblProd[[#This Row],[Platinum]]</f>
        <v>1219619</v>
      </c>
      <c r="AD73" s="245"/>
      <c r="AE73" s="151" t="n">
        <f aca="false">TblExplore[[#This Row],[Land]]-TblExplore[[#This Row],[Land Bonus]]*20</f>
        <v>646</v>
      </c>
      <c r="AF73" s="69" t="n">
        <f aca="false">ROUND(MAX(0.6*TblExplore[[#This Row],[Land-DB]]^1.299,850)*(1+ tech_2_6*Techs!AC73 + tech_2_9*Techs!AF73 + tech_3_7*Techs!AN73 + Overview!$I$32),0)</f>
        <v>2683</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-3</v>
      </c>
    </row>
    <row r="74" customFormat="false" ht="12.75" hidden="false" customHeight="false" outlineLevel="0" collapsed="false">
      <c r="A74" s="170" t="n">
        <f aca="false">TblRezone[[#This Row],[Hour]]</f>
        <v>71</v>
      </c>
      <c r="B74" s="181" t="n">
        <f aca="false">TblConstr[[#This Row],[Land]]</f>
        <v>646</v>
      </c>
      <c r="C74" s="245"/>
      <c r="D74" s="246" t="n">
        <f aca="false">TblConstr[[#This Row],[Plain]]</f>
        <v>-81</v>
      </c>
      <c r="E74" s="193" t="n">
        <f aca="false">TblConstr[[#This Row],[Forest]]</f>
        <v>2</v>
      </c>
      <c r="F74" s="200" t="n">
        <f aca="false">TblConstr[[#This Row],[Mountain]]</f>
        <v>3</v>
      </c>
      <c r="G74" s="201" t="n">
        <f aca="false">TblConstr[[#This Row],[Hill]]</f>
        <v>4</v>
      </c>
      <c r="H74" s="202" t="n">
        <f aca="false">TblConstr[[#This Row],[Swamp]]</f>
        <v>5</v>
      </c>
      <c r="I74" s="197" t="n">
        <f aca="false">TblConstr[[#This Row],[Cavern]]</f>
        <v>6</v>
      </c>
      <c r="J74" s="198" t="n">
        <f aca="false">TblConstr[[#This Row],[Water]]</f>
        <v>7</v>
      </c>
      <c r="K74" s="4"/>
      <c r="L74" s="4"/>
      <c r="M74" s="4"/>
      <c r="N74" s="247" t="n">
        <f aca="false">TblMili[[#This Row],[Smithies]]</f>
        <v>0.195046439628483</v>
      </c>
      <c r="O74" s="247" t="n">
        <f aca="false">TblPop[[#This Row],[Employment]]</f>
        <v>1</v>
      </c>
      <c r="P74" s="247" t="n">
        <f aca="false">TblImps[[#This Row],[Population]]</f>
        <v>1</v>
      </c>
      <c r="Q74" s="181" t="n">
        <f aca="false">TblExplore[[#This Row],[Land]]</f>
        <v>646</v>
      </c>
      <c r="R74" s="170" t="n">
        <f aca="false">TblExplore[[#This Row],[Hour]]</f>
        <v>71</v>
      </c>
      <c r="S74" s="248"/>
      <c r="T74" s="182"/>
      <c r="U74" s="182"/>
      <c r="V74" s="182"/>
      <c r="W74" s="182"/>
      <c r="X74" s="182"/>
      <c r="Y74" s="182"/>
      <c r="Z74" s="182"/>
      <c r="AA74" s="153" t="n">
        <f aca="false">TblImps[[#This Row],[Real time]]</f>
        <v>45432.6666666667</v>
      </c>
      <c r="AB74" s="69" t="n">
        <f aca="false">TblMili[[#This Row],[Draftees]]</f>
        <v>-19</v>
      </c>
      <c r="AC74" s="69" t="n">
        <f aca="false">TblProd[[#This Row],[Platinum]]</f>
        <v>1270101</v>
      </c>
      <c r="AD74" s="245"/>
      <c r="AE74" s="151" t="n">
        <f aca="false">TblExplore[[#This Row],[Land]]-TblExplore[[#This Row],[Land Bonus]]*20</f>
        <v>646</v>
      </c>
      <c r="AF74" s="69" t="n">
        <f aca="false">ROUND(MAX(0.6*TblExplore[[#This Row],[Land-DB]]^1.299,850)*(1+ tech_2_6*Techs!AC74 + tech_2_9*Techs!AF74 + tech_3_7*Techs!AN74 + Overview!$I$32),0)</f>
        <v>2683</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-3</v>
      </c>
    </row>
    <row r="75" customFormat="false" ht="12.75" hidden="false" customHeight="false" outlineLevel="0" collapsed="false">
      <c r="A75" s="170" t="n">
        <f aca="false">TblRezone[[#This Row],[Hour]]</f>
        <v>72</v>
      </c>
      <c r="B75" s="181" t="n">
        <f aca="false">TblConstr[[#This Row],[Land]]</f>
        <v>646</v>
      </c>
      <c r="C75" s="245"/>
      <c r="D75" s="246" t="n">
        <f aca="false">TblConstr[[#This Row],[Plain]]</f>
        <v>-81</v>
      </c>
      <c r="E75" s="193" t="n">
        <f aca="false">TblConstr[[#This Row],[Forest]]</f>
        <v>2</v>
      </c>
      <c r="F75" s="200" t="n">
        <f aca="false">TblConstr[[#This Row],[Mountain]]</f>
        <v>3</v>
      </c>
      <c r="G75" s="201" t="n">
        <f aca="false">TblConstr[[#This Row],[Hill]]</f>
        <v>4</v>
      </c>
      <c r="H75" s="202" t="n">
        <f aca="false">TblConstr[[#This Row],[Swamp]]</f>
        <v>5</v>
      </c>
      <c r="I75" s="197" t="n">
        <f aca="false">TblConstr[[#This Row],[Cavern]]</f>
        <v>6</v>
      </c>
      <c r="J75" s="198" t="n">
        <f aca="false">TblConstr[[#This Row],[Water]]</f>
        <v>7</v>
      </c>
      <c r="K75" s="4"/>
      <c r="L75" s="4"/>
      <c r="M75" s="4"/>
      <c r="N75" s="247" t="n">
        <f aca="false">TblMili[[#This Row],[Smithies]]</f>
        <v>0.195046439628483</v>
      </c>
      <c r="O75" s="247" t="n">
        <f aca="false">TblPop[[#This Row],[Employment]]</f>
        <v>1</v>
      </c>
      <c r="P75" s="247" t="n">
        <f aca="false">TblImps[[#This Row],[Population]]</f>
        <v>1</v>
      </c>
      <c r="Q75" s="181" t="n">
        <f aca="false">TblExplore[[#This Row],[Land]]</f>
        <v>646</v>
      </c>
      <c r="R75" s="170" t="n">
        <f aca="false">TblExplore[[#This Row],[Hour]]</f>
        <v>72</v>
      </c>
      <c r="S75" s="248"/>
      <c r="T75" s="182"/>
      <c r="U75" s="182"/>
      <c r="V75" s="182"/>
      <c r="W75" s="182"/>
      <c r="X75" s="182"/>
      <c r="Y75" s="182"/>
      <c r="Z75" s="182"/>
      <c r="AA75" s="153" t="n">
        <f aca="false">TblImps[[#This Row],[Real time]]</f>
        <v>45432.7083333333</v>
      </c>
      <c r="AB75" s="69" t="n">
        <f aca="false">TblMili[[#This Row],[Draftees]]</f>
        <v>-22</v>
      </c>
      <c r="AC75" s="69" t="n">
        <f aca="false">TblProd[[#This Row],[Platinum]]</f>
        <v>1320899</v>
      </c>
      <c r="AD75" s="245"/>
      <c r="AE75" s="151" t="n">
        <f aca="false">TblExplore[[#This Row],[Land]]-TblExplore[[#This Row],[Land Bonus]]*20</f>
        <v>646</v>
      </c>
      <c r="AF75" s="69" t="n">
        <f aca="false">ROUND(MAX(0.6*TblExplore[[#This Row],[Land-DB]]^1.299,850)*(1+ tech_2_6*Techs!AC75 + tech_2_9*Techs!AF75 + tech_3_7*Techs!AN75 + Overview!$I$32),0)</f>
        <v>2683</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-4</v>
      </c>
    </row>
    <row r="76" s="268" customFormat="true" ht="12.75" hidden="false" customHeight="false" outlineLevel="0" collapsed="false">
      <c r="A76" s="210" t="n">
        <f aca="false">TblRezone[[#This Row],[Hour]]</f>
        <v>73</v>
      </c>
      <c r="B76" s="222" t="n">
        <f aca="false">TblConstr[[#This Row],[Land]]</f>
        <v>646</v>
      </c>
      <c r="C76" s="264"/>
      <c r="D76" s="265" t="n">
        <f aca="false">TblConstr[[#This Row],[Plain]]</f>
        <v>-81</v>
      </c>
      <c r="E76" s="216" t="n">
        <f aca="false">TblConstr[[#This Row],[Forest]]</f>
        <v>2</v>
      </c>
      <c r="F76" s="217" t="n">
        <f aca="false">TblConstr[[#This Row],[Mountain]]</f>
        <v>3</v>
      </c>
      <c r="G76" s="218" t="n">
        <f aca="false">TblConstr[[#This Row],[Hill]]</f>
        <v>4</v>
      </c>
      <c r="H76" s="219" t="n">
        <f aca="false">TblConstr[[#This Row],[Swamp]]</f>
        <v>5</v>
      </c>
      <c r="I76" s="220" t="n">
        <f aca="false">TblConstr[[#This Row],[Cavern]]</f>
        <v>6</v>
      </c>
      <c r="J76" s="221" t="n">
        <f aca="false">TblConstr[[#This Row],[Water]]</f>
        <v>7</v>
      </c>
      <c r="K76" s="16"/>
      <c r="L76" s="16"/>
      <c r="M76" s="16"/>
      <c r="N76" s="266" t="n">
        <f aca="false">TblMili[[#This Row],[Smithies]]</f>
        <v>0.195046439628483</v>
      </c>
      <c r="O76" s="266" t="n">
        <f aca="false">TblPop[[#This Row],[Employment]]</f>
        <v>1</v>
      </c>
      <c r="P76" s="266" t="n">
        <f aca="false">TblImps[[#This Row],[Population]]</f>
        <v>1</v>
      </c>
      <c r="Q76" s="222" t="n">
        <f aca="false">TblExplore[[#This Row],[Land]]</f>
        <v>646</v>
      </c>
      <c r="R76" s="170" t="n">
        <f aca="false">TblExplore[[#This Row],[Hour]]</f>
        <v>73</v>
      </c>
      <c r="S76" s="267"/>
      <c r="T76" s="223"/>
      <c r="U76" s="223"/>
      <c r="V76" s="223"/>
      <c r="W76" s="223"/>
      <c r="X76" s="223"/>
      <c r="Y76" s="223"/>
      <c r="Z76" s="223"/>
      <c r="AA76" s="235" t="n">
        <f aca="false">TblImps[[#This Row],[Real time]]</f>
        <v>45432.75</v>
      </c>
      <c r="AB76" s="226" t="n">
        <f aca="false">TblMili[[#This Row],[Draftees]]</f>
        <v>-25</v>
      </c>
      <c r="AC76" s="226" t="n">
        <f aca="false">TblProd[[#This Row],[Platinum]]</f>
        <v>1372417</v>
      </c>
      <c r="AD76" s="264"/>
      <c r="AE76" s="239" t="n">
        <f aca="false">TblExplore[[#This Row],[Land]]-TblExplore[[#This Row],[Land Bonus]]*20</f>
        <v>646</v>
      </c>
      <c r="AF76" s="226" t="n">
        <f aca="false">ROUND(MAX(0.6*TblExplore[[#This Row],[Land-DB]]^1.299,850)*(1+ tech_2_6*Techs!AC76 + tech_2_9*Techs!AF76 + tech_3_7*Techs!AN76 + Overview!$I$32),0)</f>
        <v>2683</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-4</v>
      </c>
    </row>
    <row r="77" customFormat="false" ht="12.75" hidden="false" customHeight="false" outlineLevel="0" collapsed="false">
      <c r="A77" s="170" t="n">
        <f aca="false">TblRezone[[#This Row],[Hour]]</f>
        <v>74</v>
      </c>
      <c r="B77" s="181" t="n">
        <f aca="false">TblConstr[[#This Row],[Land]]</f>
        <v>646</v>
      </c>
      <c r="C77" s="245"/>
      <c r="D77" s="246" t="n">
        <f aca="false">TblConstr[[#This Row],[Plain]]</f>
        <v>-81</v>
      </c>
      <c r="E77" s="193" t="n">
        <f aca="false">TblConstr[[#This Row],[Forest]]</f>
        <v>2</v>
      </c>
      <c r="F77" s="200" t="n">
        <f aca="false">TblConstr[[#This Row],[Mountain]]</f>
        <v>3</v>
      </c>
      <c r="G77" s="201" t="n">
        <f aca="false">TblConstr[[#This Row],[Hill]]</f>
        <v>4</v>
      </c>
      <c r="H77" s="202" t="n">
        <f aca="false">TblConstr[[#This Row],[Swamp]]</f>
        <v>5</v>
      </c>
      <c r="I77" s="197" t="n">
        <f aca="false">TblConstr[[#This Row],[Cavern]]</f>
        <v>6</v>
      </c>
      <c r="J77" s="198" t="n">
        <f aca="false">TblConstr[[#This Row],[Water]]</f>
        <v>7</v>
      </c>
      <c r="K77" s="4"/>
      <c r="L77" s="4"/>
      <c r="M77" s="4"/>
      <c r="N77" s="247" t="n">
        <f aca="false">TblMili[[#This Row],[Smithies]]</f>
        <v>0.195046439628483</v>
      </c>
      <c r="O77" s="247" t="n">
        <f aca="false">TblPop[[#This Row],[Employment]]</f>
        <v>1</v>
      </c>
      <c r="P77" s="247" t="n">
        <f aca="false">TblImps[[#This Row],[Population]]</f>
        <v>1</v>
      </c>
      <c r="Q77" s="181" t="n">
        <f aca="false">TblExplore[[#This Row],[Land]]</f>
        <v>646</v>
      </c>
      <c r="R77" s="170" t="n">
        <f aca="false">TblExplore[[#This Row],[Hour]]</f>
        <v>74</v>
      </c>
      <c r="S77" s="248"/>
      <c r="T77" s="182"/>
      <c r="U77" s="182"/>
      <c r="V77" s="182"/>
      <c r="W77" s="182"/>
      <c r="X77" s="182"/>
      <c r="Y77" s="182"/>
      <c r="Z77" s="182"/>
      <c r="AA77" s="153" t="n">
        <f aca="false">TblImps[[#This Row],[Real time]]</f>
        <v>45432.7916666667</v>
      </c>
      <c r="AB77" s="69" t="n">
        <f aca="false">TblMili[[#This Row],[Draftees]]</f>
        <v>-28</v>
      </c>
      <c r="AC77" s="69" t="n">
        <f aca="false">TblProd[[#This Row],[Platinum]]</f>
        <v>1444626</v>
      </c>
      <c r="AD77" s="245"/>
      <c r="AE77" s="151" t="n">
        <f aca="false">TblExplore[[#This Row],[Land]]-TblExplore[[#This Row],[Land Bonus]]*20</f>
        <v>646</v>
      </c>
      <c r="AF77" s="69" t="n">
        <f aca="false">ROUND(MAX(0.6*TblExplore[[#This Row],[Land-DB]]^1.299,850)*(1+ tech_2_6*Techs!AC77 + tech_2_9*Techs!AF77 + tech_3_7*Techs!AN77 + Overview!$I$32),0)</f>
        <v>2683</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-4</v>
      </c>
    </row>
    <row r="78" customFormat="false" ht="12.75" hidden="false" customHeight="false" outlineLevel="0" collapsed="false">
      <c r="A78" s="170" t="n">
        <f aca="false">TblRezone[[#This Row],[Hour]]</f>
        <v>75</v>
      </c>
      <c r="B78" s="181" t="n">
        <f aca="false">TblConstr[[#This Row],[Land]]</f>
        <v>646</v>
      </c>
      <c r="C78" s="245"/>
      <c r="D78" s="246" t="n">
        <f aca="false">TblConstr[[#This Row],[Plain]]</f>
        <v>-81</v>
      </c>
      <c r="E78" s="193" t="n">
        <f aca="false">TblConstr[[#This Row],[Forest]]</f>
        <v>2</v>
      </c>
      <c r="F78" s="200" t="n">
        <f aca="false">TblConstr[[#This Row],[Mountain]]</f>
        <v>3</v>
      </c>
      <c r="G78" s="201" t="n">
        <f aca="false">TblConstr[[#This Row],[Hill]]</f>
        <v>4</v>
      </c>
      <c r="H78" s="202" t="n">
        <f aca="false">TblConstr[[#This Row],[Swamp]]</f>
        <v>5</v>
      </c>
      <c r="I78" s="197" t="n">
        <f aca="false">TblConstr[[#This Row],[Cavern]]</f>
        <v>6</v>
      </c>
      <c r="J78" s="198" t="n">
        <f aca="false">TblConstr[[#This Row],[Water]]</f>
        <v>7</v>
      </c>
      <c r="K78" s="4"/>
      <c r="L78" s="4"/>
      <c r="M78" s="4"/>
      <c r="N78" s="247" t="n">
        <f aca="false">TblMili[[#This Row],[Smithies]]</f>
        <v>0.195046439628483</v>
      </c>
      <c r="O78" s="247" t="n">
        <f aca="false">TblPop[[#This Row],[Employment]]</f>
        <v>1</v>
      </c>
      <c r="P78" s="247" t="n">
        <f aca="false">TblImps[[#This Row],[Population]]</f>
        <v>1</v>
      </c>
      <c r="Q78" s="181" t="n">
        <f aca="false">TblExplore[[#This Row],[Land]]</f>
        <v>646</v>
      </c>
      <c r="R78" s="170" t="n">
        <f aca="false">TblExplore[[#This Row],[Hour]]</f>
        <v>75</v>
      </c>
      <c r="S78" s="248"/>
      <c r="T78" s="182"/>
      <c r="U78" s="182"/>
      <c r="V78" s="182"/>
      <c r="W78" s="182"/>
      <c r="X78" s="182"/>
      <c r="Y78" s="182"/>
      <c r="Z78" s="182"/>
      <c r="AA78" s="153" t="n">
        <f aca="false">TblImps[[#This Row],[Real time]]</f>
        <v>45432.8333333333</v>
      </c>
      <c r="AB78" s="69" t="n">
        <f aca="false">TblMili[[#This Row],[Draftees]]</f>
        <v>-31</v>
      </c>
      <c r="AC78" s="69" t="n">
        <f aca="false">TblProd[[#This Row],[Platinum]]</f>
        <v>1536850</v>
      </c>
      <c r="AD78" s="245"/>
      <c r="AE78" s="151" t="n">
        <f aca="false">TblExplore[[#This Row],[Land]]-TblExplore[[#This Row],[Land Bonus]]*20</f>
        <v>646</v>
      </c>
      <c r="AF78" s="69" t="n">
        <f aca="false">ROUND(MAX(0.6*TblExplore[[#This Row],[Land-DB]]^1.299,850)*(1+ tech_2_6*Techs!AC78 + tech_2_9*Techs!AF78 + tech_3_7*Techs!AN78 + Overview!$I$32),0)</f>
        <v>2683</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-5</v>
      </c>
    </row>
    <row r="79" customFormat="false" ht="12.75" hidden="false" customHeight="false" outlineLevel="0" collapsed="false">
      <c r="A79" s="170" t="n">
        <f aca="false">TblRezone[[#This Row],[Hour]]</f>
        <v>76</v>
      </c>
      <c r="B79" s="181" t="n">
        <f aca="false">TblConstr[[#This Row],[Land]]</f>
        <v>646</v>
      </c>
      <c r="C79" s="245"/>
      <c r="D79" s="246" t="n">
        <f aca="false">TblConstr[[#This Row],[Plain]]</f>
        <v>-81</v>
      </c>
      <c r="E79" s="193" t="n">
        <f aca="false">TblConstr[[#This Row],[Forest]]</f>
        <v>2</v>
      </c>
      <c r="F79" s="200" t="n">
        <f aca="false">TblConstr[[#This Row],[Mountain]]</f>
        <v>3</v>
      </c>
      <c r="G79" s="201" t="n">
        <f aca="false">TblConstr[[#This Row],[Hill]]</f>
        <v>4</v>
      </c>
      <c r="H79" s="202" t="n">
        <f aca="false">TblConstr[[#This Row],[Swamp]]</f>
        <v>5</v>
      </c>
      <c r="I79" s="197" t="n">
        <f aca="false">TblConstr[[#This Row],[Cavern]]</f>
        <v>6</v>
      </c>
      <c r="J79" s="198" t="n">
        <f aca="false">TblConstr[[#This Row],[Water]]</f>
        <v>7</v>
      </c>
      <c r="K79" s="4"/>
      <c r="L79" s="4"/>
      <c r="M79" s="4"/>
      <c r="N79" s="247" t="n">
        <f aca="false">TblMili[[#This Row],[Smithies]]</f>
        <v>0.195046439628483</v>
      </c>
      <c r="O79" s="247" t="n">
        <f aca="false">TblPop[[#This Row],[Employment]]</f>
        <v>1</v>
      </c>
      <c r="P79" s="247" t="n">
        <f aca="false">TblImps[[#This Row],[Population]]</f>
        <v>1</v>
      </c>
      <c r="Q79" s="181" t="n">
        <f aca="false">TblExplore[[#This Row],[Land]]</f>
        <v>646</v>
      </c>
      <c r="R79" s="170" t="n">
        <f aca="false">TblExplore[[#This Row],[Hour]]</f>
        <v>76</v>
      </c>
      <c r="S79" s="248"/>
      <c r="T79" s="152"/>
      <c r="U79" s="182"/>
      <c r="V79" s="182"/>
      <c r="W79" s="182"/>
      <c r="X79" s="182"/>
      <c r="Y79" s="182"/>
      <c r="Z79" s="182"/>
      <c r="AA79" s="153" t="n">
        <f aca="false">TblImps[[#This Row],[Real time]]</f>
        <v>45432.875</v>
      </c>
      <c r="AB79" s="69" t="n">
        <f aca="false">TblMili[[#This Row],[Draftees]]</f>
        <v>-34</v>
      </c>
      <c r="AC79" s="69" t="n">
        <f aca="false">TblProd[[#This Row],[Platinum]]</f>
        <v>1629086</v>
      </c>
      <c r="AD79" s="245"/>
      <c r="AE79" s="151" t="n">
        <f aca="false">TblExplore[[#This Row],[Land]]-TblExplore[[#This Row],[Land Bonus]]*20</f>
        <v>646</v>
      </c>
      <c r="AF79" s="69" t="n">
        <f aca="false">ROUND(MAX(0.6*TblExplore[[#This Row],[Land-DB]]^1.299,850)*(1+ tech_2_6*Techs!AC79 + tech_2_9*Techs!AF79 + tech_3_7*Techs!AN79 + Overview!$I$32),0)</f>
        <v>2683</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-5</v>
      </c>
    </row>
    <row r="80" customFormat="false" ht="12.75" hidden="false" customHeight="false" outlineLevel="0" collapsed="false">
      <c r="A80" s="170" t="n">
        <f aca="false">TblRezone[[#This Row],[Hour]]</f>
        <v>77</v>
      </c>
      <c r="B80" s="181" t="n">
        <f aca="false">TblConstr[[#This Row],[Land]]</f>
        <v>646</v>
      </c>
      <c r="C80" s="245"/>
      <c r="D80" s="246" t="n">
        <f aca="false">TblConstr[[#This Row],[Plain]]</f>
        <v>-81</v>
      </c>
      <c r="E80" s="193" t="n">
        <f aca="false">TblConstr[[#This Row],[Forest]]</f>
        <v>2</v>
      </c>
      <c r="F80" s="200" t="n">
        <f aca="false">TblConstr[[#This Row],[Mountain]]</f>
        <v>3</v>
      </c>
      <c r="G80" s="201" t="n">
        <f aca="false">TblConstr[[#This Row],[Hill]]</f>
        <v>4</v>
      </c>
      <c r="H80" s="202" t="n">
        <f aca="false">TblConstr[[#This Row],[Swamp]]</f>
        <v>5</v>
      </c>
      <c r="I80" s="197" t="n">
        <f aca="false">TblConstr[[#This Row],[Cavern]]</f>
        <v>6</v>
      </c>
      <c r="J80" s="198" t="n">
        <f aca="false">TblConstr[[#This Row],[Water]]</f>
        <v>7</v>
      </c>
      <c r="K80" s="4"/>
      <c r="L80" s="4"/>
      <c r="M80" s="4"/>
      <c r="N80" s="247" t="n">
        <f aca="false">TblMili[[#This Row],[Smithies]]</f>
        <v>0.195046439628483</v>
      </c>
      <c r="O80" s="247" t="n">
        <f aca="false">TblPop[[#This Row],[Employment]]</f>
        <v>1</v>
      </c>
      <c r="P80" s="247" t="n">
        <f aca="false">TblImps[[#This Row],[Population]]</f>
        <v>1</v>
      </c>
      <c r="Q80" s="181" t="n">
        <f aca="false">TblExplore[[#This Row],[Land]]</f>
        <v>646</v>
      </c>
      <c r="R80" s="170" t="n">
        <f aca="false">TblExplore[[#This Row],[Hour]]</f>
        <v>77</v>
      </c>
      <c r="S80" s="248"/>
      <c r="T80" s="152"/>
      <c r="U80" s="182"/>
      <c r="V80" s="182"/>
      <c r="W80" s="182"/>
      <c r="X80" s="182"/>
      <c r="Y80" s="182"/>
      <c r="Z80" s="182"/>
      <c r="AA80" s="153" t="n">
        <f aca="false">TblImps[[#This Row],[Real time]]</f>
        <v>45432.9166666667</v>
      </c>
      <c r="AB80" s="69" t="n">
        <f aca="false">TblMili[[#This Row],[Draftees]]</f>
        <v>60</v>
      </c>
      <c r="AC80" s="69" t="n">
        <f aca="false">TblProd[[#This Row],[Platinum]]</f>
        <v>1777315</v>
      </c>
      <c r="AD80" s="245"/>
      <c r="AE80" s="151" t="n">
        <f aca="false">TblExplore[[#This Row],[Land]]-TblExplore[[#This Row],[Land Bonus]]*20</f>
        <v>646</v>
      </c>
      <c r="AF80" s="69" t="n">
        <f aca="false">ROUND(MAX(0.6*TblExplore[[#This Row],[Land-DB]]^1.299,850)*(1+ tech_2_6*Techs!AC80 + tech_2_9*Techs!AF80 + tech_3_7*Techs!AN80 + Overview!$I$32),0)</f>
        <v>2683</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8</v>
      </c>
    </row>
    <row r="81" customFormat="false" ht="12.75" hidden="false" customHeight="false" outlineLevel="0" collapsed="false">
      <c r="A81" s="170" t="n">
        <f aca="false">TblRezone[[#This Row],[Hour]]</f>
        <v>78</v>
      </c>
      <c r="B81" s="181" t="n">
        <f aca="false">TblConstr[[#This Row],[Land]]</f>
        <v>646</v>
      </c>
      <c r="C81" s="245"/>
      <c r="D81" s="246" t="n">
        <f aca="false">TblConstr[[#This Row],[Plain]]</f>
        <v>-81</v>
      </c>
      <c r="E81" s="193" t="n">
        <f aca="false">TblConstr[[#This Row],[Forest]]</f>
        <v>2</v>
      </c>
      <c r="F81" s="200" t="n">
        <f aca="false">TblConstr[[#This Row],[Mountain]]</f>
        <v>3</v>
      </c>
      <c r="G81" s="201" t="n">
        <f aca="false">TblConstr[[#This Row],[Hill]]</f>
        <v>4</v>
      </c>
      <c r="H81" s="202" t="n">
        <f aca="false">TblConstr[[#This Row],[Swamp]]</f>
        <v>5</v>
      </c>
      <c r="I81" s="197" t="n">
        <f aca="false">TblConstr[[#This Row],[Cavern]]</f>
        <v>6</v>
      </c>
      <c r="J81" s="198" t="n">
        <f aca="false">TblConstr[[#This Row],[Water]]</f>
        <v>7</v>
      </c>
      <c r="K81" s="4"/>
      <c r="L81" s="4"/>
      <c r="M81" s="4"/>
      <c r="N81" s="247" t="n">
        <f aca="false">TblMili[[#This Row],[Smithies]]</f>
        <v>0.195046439628483</v>
      </c>
      <c r="O81" s="247" t="n">
        <f aca="false">TblPop[[#This Row],[Employment]]</f>
        <v>1</v>
      </c>
      <c r="P81" s="247" t="n">
        <f aca="false">TblImps[[#This Row],[Population]]</f>
        <v>1</v>
      </c>
      <c r="Q81" s="181" t="n">
        <f aca="false">TblExplore[[#This Row],[Land]]</f>
        <v>646</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153</v>
      </c>
      <c r="AC81" s="69" t="n">
        <f aca="false">TblProd[[#This Row],[Platinum]]</f>
        <v>1887924</v>
      </c>
      <c r="AD81" s="245"/>
      <c r="AE81" s="151" t="n">
        <f aca="false">TblExplore[[#This Row],[Land]]-TblExplore[[#This Row],[Land Bonus]]*20</f>
        <v>646</v>
      </c>
      <c r="AF81" s="69" t="n">
        <f aca="false">ROUND(MAX(0.6*TblExplore[[#This Row],[Land-DB]]^1.299,850)*(1+ tech_2_6*Techs!AC81 + tech_2_9*Techs!AF81 + tech_3_7*Techs!AN81 + Overview!$I$32),0)</f>
        <v>2683</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21</v>
      </c>
    </row>
    <row r="82" customFormat="false" ht="12.75" hidden="false" customHeight="false" outlineLevel="0" collapsed="false">
      <c r="A82" s="170" t="n">
        <f aca="false">TblRezone[[#This Row],[Hour]]</f>
        <v>79</v>
      </c>
      <c r="B82" s="181" t="n">
        <f aca="false">TblConstr[[#This Row],[Land]]</f>
        <v>646</v>
      </c>
      <c r="C82" s="245"/>
      <c r="D82" s="246" t="n">
        <f aca="false">TblConstr[[#This Row],[Plain]]</f>
        <v>-81</v>
      </c>
      <c r="E82" s="193" t="n">
        <f aca="false">TblConstr[[#This Row],[Forest]]</f>
        <v>2</v>
      </c>
      <c r="F82" s="200" t="n">
        <f aca="false">TblConstr[[#This Row],[Mountain]]</f>
        <v>3</v>
      </c>
      <c r="G82" s="201" t="n">
        <f aca="false">TblConstr[[#This Row],[Hill]]</f>
        <v>4</v>
      </c>
      <c r="H82" s="202" t="n">
        <f aca="false">TblConstr[[#This Row],[Swamp]]</f>
        <v>5</v>
      </c>
      <c r="I82" s="197" t="n">
        <f aca="false">TblConstr[[#This Row],[Cavern]]</f>
        <v>6</v>
      </c>
      <c r="J82" s="198" t="n">
        <f aca="false">TblConstr[[#This Row],[Water]]</f>
        <v>7</v>
      </c>
      <c r="K82" s="4"/>
      <c r="L82" s="4"/>
      <c r="M82" s="4"/>
      <c r="N82" s="247" t="n">
        <f aca="false">TblMili[[#This Row],[Smithies]]</f>
        <v>0.195046439628483</v>
      </c>
      <c r="O82" s="247" t="n">
        <f aca="false">TblPop[[#This Row],[Employment]]</f>
        <v>1</v>
      </c>
      <c r="P82" s="247" t="n">
        <f aca="false">TblImps[[#This Row],[Population]]</f>
        <v>1</v>
      </c>
      <c r="Q82" s="181" t="n">
        <f aca="false">TblExplore[[#This Row],[Land]]</f>
        <v>646</v>
      </c>
      <c r="R82" s="170" t="n">
        <f aca="false">TblExplore[[#This Row],[Hour]]</f>
        <v>79</v>
      </c>
      <c r="S82" s="248"/>
      <c r="T82" s="182"/>
      <c r="U82" s="182"/>
      <c r="V82" s="182"/>
      <c r="W82" s="182"/>
      <c r="X82" s="182"/>
      <c r="Y82" s="182"/>
      <c r="Z82" s="182"/>
      <c r="AA82" s="153" t="n">
        <f aca="false">TblImps[[#This Row],[Real time]]</f>
        <v>45433</v>
      </c>
      <c r="AB82" s="69" t="n">
        <f aca="false">TblMili[[#This Row],[Draftees]]</f>
        <v>245</v>
      </c>
      <c r="AC82" s="69" t="n">
        <f aca="false">TblProd[[#This Row],[Platinum]]</f>
        <v>1998257</v>
      </c>
      <c r="AD82" s="245"/>
      <c r="AE82" s="151" t="n">
        <f aca="false">TblExplore[[#This Row],[Land]]-TblExplore[[#This Row],[Land Bonus]]*20</f>
        <v>646</v>
      </c>
      <c r="AF82" s="69" t="n">
        <f aca="false">ROUND(MAX(0.6*TblExplore[[#This Row],[Land-DB]]^1.299,850)*(1+ tech_2_6*Techs!AC82 + tech_2_9*Techs!AF82 + tech_3_7*Techs!AN82 + Overview!$I$32),0)</f>
        <v>2683</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35</v>
      </c>
    </row>
    <row r="83" customFormat="false" ht="12.75" hidden="false" customHeight="false" outlineLevel="0" collapsed="false">
      <c r="A83" s="170" t="n">
        <f aca="false">TblRezone[[#This Row],[Hour]]</f>
        <v>80</v>
      </c>
      <c r="B83" s="181" t="n">
        <f aca="false">TblConstr[[#This Row],[Land]]</f>
        <v>646</v>
      </c>
      <c r="C83" s="245"/>
      <c r="D83" s="246" t="n">
        <f aca="false">TblConstr[[#This Row],[Plain]]</f>
        <v>-81</v>
      </c>
      <c r="E83" s="193" t="n">
        <f aca="false">TblConstr[[#This Row],[Forest]]</f>
        <v>2</v>
      </c>
      <c r="F83" s="200" t="n">
        <f aca="false">TblConstr[[#This Row],[Mountain]]</f>
        <v>3</v>
      </c>
      <c r="G83" s="201" t="n">
        <f aca="false">TblConstr[[#This Row],[Hill]]</f>
        <v>4</v>
      </c>
      <c r="H83" s="202" t="n">
        <f aca="false">TblConstr[[#This Row],[Swamp]]</f>
        <v>5</v>
      </c>
      <c r="I83" s="197" t="n">
        <f aca="false">TblConstr[[#This Row],[Cavern]]</f>
        <v>6</v>
      </c>
      <c r="J83" s="198" t="n">
        <f aca="false">TblConstr[[#This Row],[Water]]</f>
        <v>7</v>
      </c>
      <c r="K83" s="4"/>
      <c r="L83" s="4"/>
      <c r="M83" s="4"/>
      <c r="N83" s="247" t="n">
        <f aca="false">TblMili[[#This Row],[Smithies]]</f>
        <v>0.195046439628483</v>
      </c>
      <c r="O83" s="247" t="n">
        <f aca="false">TblPop[[#This Row],[Employment]]</f>
        <v>1</v>
      </c>
      <c r="P83" s="247" t="n">
        <f aca="false">TblImps[[#This Row],[Population]]</f>
        <v>1</v>
      </c>
      <c r="Q83" s="181" t="n">
        <f aca="false">TblExplore[[#This Row],[Land]]</f>
        <v>646</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337</v>
      </c>
      <c r="AC83" s="69" t="n">
        <f aca="false">TblProd[[#This Row],[Platinum]]</f>
        <v>2108317</v>
      </c>
      <c r="AD83" s="245"/>
      <c r="AE83" s="151" t="n">
        <f aca="false">TblExplore[[#This Row],[Land]]-TblExplore[[#This Row],[Land Bonus]]*20</f>
        <v>646</v>
      </c>
      <c r="AF83" s="69" t="n">
        <f aca="false">ROUND(MAX(0.6*TblExplore[[#This Row],[Land-DB]]^1.299,850)*(1+ tech_2_6*Techs!AC83 + tech_2_9*Techs!AF83 + tech_3_7*Techs!AN83 + Overview!$I$32),0)</f>
        <v>2683</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48</v>
      </c>
    </row>
    <row r="84" customFormat="false" ht="12.75" hidden="false" customHeight="false" outlineLevel="0" collapsed="false">
      <c r="A84" s="170" t="n">
        <f aca="false">TblRezone[[#This Row],[Hour]]</f>
        <v>81</v>
      </c>
      <c r="B84" s="181" t="n">
        <f aca="false">TblConstr[[#This Row],[Land]]</f>
        <v>646</v>
      </c>
      <c r="C84" s="245"/>
      <c r="D84" s="246" t="n">
        <f aca="false">TblConstr[[#This Row],[Plain]]</f>
        <v>-81</v>
      </c>
      <c r="E84" s="193" t="n">
        <f aca="false">TblConstr[[#This Row],[Forest]]</f>
        <v>2</v>
      </c>
      <c r="F84" s="200" t="n">
        <f aca="false">TblConstr[[#This Row],[Mountain]]</f>
        <v>3</v>
      </c>
      <c r="G84" s="201" t="n">
        <f aca="false">TblConstr[[#This Row],[Hill]]</f>
        <v>4</v>
      </c>
      <c r="H84" s="202" t="n">
        <f aca="false">TblConstr[[#This Row],[Swamp]]</f>
        <v>5</v>
      </c>
      <c r="I84" s="197" t="n">
        <f aca="false">TblConstr[[#This Row],[Cavern]]</f>
        <v>6</v>
      </c>
      <c r="J84" s="198" t="n">
        <f aca="false">TblConstr[[#This Row],[Water]]</f>
        <v>7</v>
      </c>
      <c r="K84" s="4"/>
      <c r="L84" s="4"/>
      <c r="M84" s="4"/>
      <c r="N84" s="247" t="n">
        <f aca="false">TblMili[[#This Row],[Smithies]]</f>
        <v>0.195046439628483</v>
      </c>
      <c r="O84" s="247" t="n">
        <f aca="false">TblPop[[#This Row],[Employment]]</f>
        <v>1</v>
      </c>
      <c r="P84" s="247" t="n">
        <f aca="false">TblImps[[#This Row],[Population]]</f>
        <v>1</v>
      </c>
      <c r="Q84" s="181" t="n">
        <f aca="false">TblExplore[[#This Row],[Land]]</f>
        <v>646</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428</v>
      </c>
      <c r="AC84" s="69" t="n">
        <f aca="false">TblProd[[#This Row],[Platinum]]</f>
        <v>2218104</v>
      </c>
      <c r="AD84" s="245"/>
      <c r="AE84" s="151" t="n">
        <f aca="false">TblExplore[[#This Row],[Land]]-TblExplore[[#This Row],[Land Bonus]]*20</f>
        <v>646</v>
      </c>
      <c r="AF84" s="69" t="n">
        <f aca="false">ROUND(MAX(0.6*TblExplore[[#This Row],[Land-DB]]^1.299,850)*(1+ tech_2_6*Techs!AC84 + tech_2_9*Techs!AF84 + tech_3_7*Techs!AN84 + Overview!$I$32),0)</f>
        <v>2683</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61</v>
      </c>
    </row>
    <row r="85" customFormat="false" ht="12.75" hidden="false" customHeight="false" outlineLevel="0" collapsed="false">
      <c r="A85" s="170" t="n">
        <f aca="false">TblRezone[[#This Row],[Hour]]</f>
        <v>82</v>
      </c>
      <c r="B85" s="181" t="n">
        <f aca="false">TblConstr[[#This Row],[Land]]</f>
        <v>646</v>
      </c>
      <c r="C85" s="245"/>
      <c r="D85" s="246" t="n">
        <f aca="false">TblConstr[[#This Row],[Plain]]</f>
        <v>-81</v>
      </c>
      <c r="E85" s="193" t="n">
        <f aca="false">TblConstr[[#This Row],[Forest]]</f>
        <v>2</v>
      </c>
      <c r="F85" s="200" t="n">
        <f aca="false">TblConstr[[#This Row],[Mountain]]</f>
        <v>3</v>
      </c>
      <c r="G85" s="201" t="n">
        <f aca="false">TblConstr[[#This Row],[Hill]]</f>
        <v>4</v>
      </c>
      <c r="H85" s="202" t="n">
        <f aca="false">TblConstr[[#This Row],[Swamp]]</f>
        <v>5</v>
      </c>
      <c r="I85" s="197" t="n">
        <f aca="false">TblConstr[[#This Row],[Cavern]]</f>
        <v>6</v>
      </c>
      <c r="J85" s="198" t="n">
        <f aca="false">TblConstr[[#This Row],[Water]]</f>
        <v>7</v>
      </c>
      <c r="K85" s="4"/>
      <c r="L85" s="4"/>
      <c r="M85" s="4"/>
      <c r="N85" s="247" t="n">
        <f aca="false">TblMili[[#This Row],[Smithies]]</f>
        <v>0.195046439628483</v>
      </c>
      <c r="O85" s="247" t="n">
        <f aca="false">TblPop[[#This Row],[Employment]]</f>
        <v>1</v>
      </c>
      <c r="P85" s="247" t="n">
        <f aca="false">TblImps[[#This Row],[Population]]</f>
        <v>1</v>
      </c>
      <c r="Q85" s="181" t="n">
        <f aca="false">TblExplore[[#This Row],[Land]]</f>
        <v>646</v>
      </c>
      <c r="R85" s="170" t="n">
        <f aca="false">TblExplore[[#This Row],[Hour]]</f>
        <v>82</v>
      </c>
      <c r="S85" s="248"/>
      <c r="T85" s="182"/>
      <c r="U85" s="182"/>
      <c r="V85" s="182"/>
      <c r="W85" s="182"/>
      <c r="X85" s="182"/>
      <c r="Y85" s="182"/>
      <c r="Z85" s="182"/>
      <c r="AA85" s="153" t="n">
        <f aca="false">TblImps[[#This Row],[Real time]]</f>
        <v>45433.125</v>
      </c>
      <c r="AB85" s="69" t="n">
        <f aca="false">TblMili[[#This Row],[Draftees]]</f>
        <v>518</v>
      </c>
      <c r="AC85" s="69" t="n">
        <f aca="false">TblProd[[#This Row],[Platinum]]</f>
        <v>2327620</v>
      </c>
      <c r="AD85" s="245"/>
      <c r="AE85" s="151" t="n">
        <f aca="false">TblExplore[[#This Row],[Land]]-TblExplore[[#This Row],[Land Bonus]]*20</f>
        <v>646</v>
      </c>
      <c r="AF85" s="69" t="n">
        <f aca="false">ROUND(MAX(0.6*TblExplore[[#This Row],[Land-DB]]^1.299,850)*(1+ tech_2_6*Techs!AC85 + tech_2_9*Techs!AF85 + tech_3_7*Techs!AN85 + Overview!$I$32),0)</f>
        <v>2683</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74</v>
      </c>
    </row>
    <row r="86" customFormat="false" ht="12.75" hidden="false" customHeight="false" outlineLevel="0" collapsed="false">
      <c r="A86" s="170" t="n">
        <f aca="false">TblRezone[[#This Row],[Hour]]</f>
        <v>83</v>
      </c>
      <c r="B86" s="181" t="n">
        <f aca="false">TblConstr[[#This Row],[Land]]</f>
        <v>646</v>
      </c>
      <c r="C86" s="245"/>
      <c r="D86" s="246" t="n">
        <f aca="false">TblConstr[[#This Row],[Plain]]</f>
        <v>-81</v>
      </c>
      <c r="E86" s="193" t="n">
        <f aca="false">TblConstr[[#This Row],[Forest]]</f>
        <v>2</v>
      </c>
      <c r="F86" s="200" t="n">
        <f aca="false">TblConstr[[#This Row],[Mountain]]</f>
        <v>3</v>
      </c>
      <c r="G86" s="201" t="n">
        <f aca="false">TblConstr[[#This Row],[Hill]]</f>
        <v>4</v>
      </c>
      <c r="H86" s="202" t="n">
        <f aca="false">TblConstr[[#This Row],[Swamp]]</f>
        <v>5</v>
      </c>
      <c r="I86" s="197" t="n">
        <f aca="false">TblConstr[[#This Row],[Cavern]]</f>
        <v>6</v>
      </c>
      <c r="J86" s="198" t="n">
        <f aca="false">TblConstr[[#This Row],[Water]]</f>
        <v>7</v>
      </c>
      <c r="K86" s="4"/>
      <c r="L86" s="4"/>
      <c r="M86" s="4"/>
      <c r="N86" s="247" t="n">
        <f aca="false">TblMili[[#This Row],[Smithies]]</f>
        <v>0.195046439628483</v>
      </c>
      <c r="O86" s="247" t="n">
        <f aca="false">TblPop[[#This Row],[Employment]]</f>
        <v>1</v>
      </c>
      <c r="P86" s="247" t="n">
        <f aca="false">TblImps[[#This Row],[Population]]</f>
        <v>1</v>
      </c>
      <c r="Q86" s="181" t="n">
        <f aca="false">TblExplore[[#This Row],[Land]]</f>
        <v>646</v>
      </c>
      <c r="R86" s="170" t="n">
        <f aca="false">TblExplore[[#This Row],[Hour]]</f>
        <v>83</v>
      </c>
      <c r="S86" s="248"/>
      <c r="T86" s="182"/>
      <c r="U86" s="182"/>
      <c r="V86" s="182"/>
      <c r="W86" s="182"/>
      <c r="X86" s="182"/>
      <c r="Y86" s="182"/>
      <c r="Z86" s="182"/>
      <c r="AA86" s="153" t="n">
        <f aca="false">TblImps[[#This Row],[Real time]]</f>
        <v>45433.1666666667</v>
      </c>
      <c r="AB86" s="69" t="n">
        <f aca="false">TblMili[[#This Row],[Draftees]]</f>
        <v>607</v>
      </c>
      <c r="AC86" s="69" t="n">
        <f aca="false">TblProd[[#This Row],[Platinum]]</f>
        <v>2436869</v>
      </c>
      <c r="AD86" s="245"/>
      <c r="AE86" s="151" t="n">
        <f aca="false">TblExplore[[#This Row],[Land]]-TblExplore[[#This Row],[Land Bonus]]*20</f>
        <v>646</v>
      </c>
      <c r="AF86" s="69" t="n">
        <f aca="false">ROUND(MAX(0.6*TblExplore[[#This Row],[Land-DB]]^1.299,850)*(1+ tech_2_6*Techs!AC86 + tech_2_9*Techs!AF86 + tech_3_7*Techs!AN86 + Overview!$I$32),0)</f>
        <v>2683</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86</v>
      </c>
    </row>
    <row r="87" customFormat="false" ht="12.75" hidden="false" customHeight="false" outlineLevel="0" collapsed="false">
      <c r="A87" s="170" t="n">
        <f aca="false">TblRezone[[#This Row],[Hour]]</f>
        <v>84</v>
      </c>
      <c r="B87" s="181" t="n">
        <f aca="false">TblConstr[[#This Row],[Land]]</f>
        <v>646</v>
      </c>
      <c r="C87" s="245"/>
      <c r="D87" s="246" t="n">
        <f aca="false">TblConstr[[#This Row],[Plain]]</f>
        <v>-81</v>
      </c>
      <c r="E87" s="193" t="n">
        <f aca="false">TblConstr[[#This Row],[Forest]]</f>
        <v>2</v>
      </c>
      <c r="F87" s="200" t="n">
        <f aca="false">TblConstr[[#This Row],[Mountain]]</f>
        <v>3</v>
      </c>
      <c r="G87" s="201" t="n">
        <f aca="false">TblConstr[[#This Row],[Hill]]</f>
        <v>4</v>
      </c>
      <c r="H87" s="202" t="n">
        <f aca="false">TblConstr[[#This Row],[Swamp]]</f>
        <v>5</v>
      </c>
      <c r="I87" s="197" t="n">
        <f aca="false">TblConstr[[#This Row],[Cavern]]</f>
        <v>6</v>
      </c>
      <c r="J87" s="198" t="n">
        <f aca="false">TblConstr[[#This Row],[Water]]</f>
        <v>7</v>
      </c>
      <c r="K87" s="4"/>
      <c r="L87" s="4"/>
      <c r="M87" s="249"/>
      <c r="N87" s="247" t="n">
        <f aca="false">TblMili[[#This Row],[Smithies]]</f>
        <v>0.195046439628483</v>
      </c>
      <c r="O87" s="247" t="n">
        <f aca="false">TblPop[[#This Row],[Employment]]</f>
        <v>1</v>
      </c>
      <c r="P87" s="247" t="n">
        <f aca="false">TblImps[[#This Row],[Population]]</f>
        <v>1</v>
      </c>
      <c r="Q87" s="181" t="n">
        <f aca="false">TblExplore[[#This Row],[Land]]</f>
        <v>646</v>
      </c>
      <c r="R87" s="170" t="n">
        <f aca="false">TblExplore[[#This Row],[Hour]]</f>
        <v>84</v>
      </c>
      <c r="S87" s="248"/>
      <c r="T87" s="152"/>
      <c r="U87" s="182"/>
      <c r="V87" s="182"/>
      <c r="W87" s="182"/>
      <c r="X87" s="182"/>
      <c r="Y87" s="182"/>
      <c r="Z87" s="182"/>
      <c r="AA87" s="153" t="n">
        <f aca="false">TblImps[[#This Row],[Real time]]</f>
        <v>45433.2083333333</v>
      </c>
      <c r="AB87" s="69" t="n">
        <f aca="false">TblMili[[#This Row],[Draftees]]</f>
        <v>695</v>
      </c>
      <c r="AC87" s="69" t="n">
        <f aca="false">TblProd[[#This Row],[Platinum]]</f>
        <v>2545854</v>
      </c>
      <c r="AD87" s="245"/>
      <c r="AE87" s="151" t="n">
        <f aca="false">TblExplore[[#This Row],[Land]]-TblExplore[[#This Row],[Land Bonus]]*20</f>
        <v>646</v>
      </c>
      <c r="AF87" s="69" t="n">
        <f aca="false">ROUND(MAX(0.6*TblExplore[[#This Row],[Land-DB]]^1.299,850)*(1+ tech_2_6*Techs!AC87 + tech_2_9*Techs!AF87 + tech_3_7*Techs!AN87 + Overview!$I$32),0)</f>
        <v>2683</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99</v>
      </c>
    </row>
    <row r="88" customFormat="false" ht="12.75" hidden="false" customHeight="false" outlineLevel="0" collapsed="false">
      <c r="A88" s="170" t="n">
        <f aca="false">TblRezone[[#This Row],[Hour]]</f>
        <v>85</v>
      </c>
      <c r="B88" s="181" t="n">
        <f aca="false">TblConstr[[#This Row],[Land]]</f>
        <v>646</v>
      </c>
      <c r="C88" s="245"/>
      <c r="D88" s="246" t="n">
        <f aca="false">TblConstr[[#This Row],[Plain]]</f>
        <v>-81</v>
      </c>
      <c r="E88" s="193" t="n">
        <f aca="false">TblConstr[[#This Row],[Forest]]</f>
        <v>2</v>
      </c>
      <c r="F88" s="200" t="n">
        <f aca="false">TblConstr[[#This Row],[Mountain]]</f>
        <v>3</v>
      </c>
      <c r="G88" s="201" t="n">
        <f aca="false">TblConstr[[#This Row],[Hill]]</f>
        <v>4</v>
      </c>
      <c r="H88" s="202" t="n">
        <f aca="false">TblConstr[[#This Row],[Swamp]]</f>
        <v>5</v>
      </c>
      <c r="I88" s="197" t="n">
        <f aca="false">TblConstr[[#This Row],[Cavern]]</f>
        <v>6</v>
      </c>
      <c r="J88" s="198" t="n">
        <f aca="false">TblConstr[[#This Row],[Water]]</f>
        <v>7</v>
      </c>
      <c r="K88" s="4"/>
      <c r="L88" s="4"/>
      <c r="M88" s="4"/>
      <c r="N88" s="247" t="n">
        <f aca="false">TblMili[[#This Row],[Smithies]]</f>
        <v>0.195046439628483</v>
      </c>
      <c r="O88" s="247" t="n">
        <f aca="false">TblPop[[#This Row],[Employment]]</f>
        <v>1</v>
      </c>
      <c r="P88" s="247" t="n">
        <f aca="false">TblImps[[#This Row],[Population]]</f>
        <v>1</v>
      </c>
      <c r="Q88" s="181" t="n">
        <f aca="false">TblExplore[[#This Row],[Land]]</f>
        <v>646</v>
      </c>
      <c r="R88" s="170" t="n">
        <f aca="false">TblExplore[[#This Row],[Hour]]</f>
        <v>85</v>
      </c>
      <c r="S88" s="248"/>
      <c r="T88" s="182"/>
      <c r="U88" s="182"/>
      <c r="V88" s="182"/>
      <c r="W88" s="182"/>
      <c r="X88" s="182"/>
      <c r="Y88" s="182"/>
      <c r="Z88" s="182"/>
      <c r="AA88" s="153" t="n">
        <f aca="false">TblImps[[#This Row],[Real time]]</f>
        <v>45433.25</v>
      </c>
      <c r="AB88" s="69" t="n">
        <f aca="false">TblMili[[#This Row],[Draftees]]</f>
        <v>782</v>
      </c>
      <c r="AC88" s="69" t="n">
        <f aca="false">TblProd[[#This Row],[Platinum]]</f>
        <v>2654578</v>
      </c>
      <c r="AD88" s="245"/>
      <c r="AE88" s="151" t="n">
        <f aca="false">TblExplore[[#This Row],[Land]]-TblExplore[[#This Row],[Land Bonus]]*20</f>
        <v>646</v>
      </c>
      <c r="AF88" s="69" t="n">
        <f aca="false">ROUND(MAX(0.6*TblExplore[[#This Row],[Land-DB]]^1.299,850)*(1+ tech_2_6*Techs!AC88 + tech_2_9*Techs!AF88 + tech_3_7*Techs!AN88 + Overview!$I$32),0)</f>
        <v>2683</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111</v>
      </c>
    </row>
    <row r="89" customFormat="false" ht="12.75" hidden="false" customHeight="false" outlineLevel="0" collapsed="false">
      <c r="A89" s="170" t="n">
        <f aca="false">TblRezone[[#This Row],[Hour]]</f>
        <v>86</v>
      </c>
      <c r="B89" s="181" t="n">
        <f aca="false">TblConstr[[#This Row],[Land]]</f>
        <v>646</v>
      </c>
      <c r="C89" s="245"/>
      <c r="D89" s="246" t="n">
        <f aca="false">TblConstr[[#This Row],[Plain]]</f>
        <v>-81</v>
      </c>
      <c r="E89" s="193" t="n">
        <f aca="false">TblConstr[[#This Row],[Forest]]</f>
        <v>2</v>
      </c>
      <c r="F89" s="200" t="n">
        <f aca="false">TblConstr[[#This Row],[Mountain]]</f>
        <v>3</v>
      </c>
      <c r="G89" s="201" t="n">
        <f aca="false">TblConstr[[#This Row],[Hill]]</f>
        <v>4</v>
      </c>
      <c r="H89" s="202" t="n">
        <f aca="false">TblConstr[[#This Row],[Swamp]]</f>
        <v>5</v>
      </c>
      <c r="I89" s="197" t="n">
        <f aca="false">TblConstr[[#This Row],[Cavern]]</f>
        <v>6</v>
      </c>
      <c r="J89" s="198" t="n">
        <f aca="false">TblConstr[[#This Row],[Water]]</f>
        <v>7</v>
      </c>
      <c r="K89" s="4"/>
      <c r="L89" s="4"/>
      <c r="M89" s="12"/>
      <c r="N89" s="247" t="n">
        <f aca="false">TblMili[[#This Row],[Smithies]]</f>
        <v>0.195046439628483</v>
      </c>
      <c r="O89" s="247" t="n">
        <f aca="false">TblPop[[#This Row],[Employment]]</f>
        <v>1</v>
      </c>
      <c r="P89" s="247" t="n">
        <f aca="false">TblImps[[#This Row],[Population]]</f>
        <v>1</v>
      </c>
      <c r="Q89" s="181" t="n">
        <f aca="false">TblExplore[[#This Row],[Land]]</f>
        <v>646</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868</v>
      </c>
      <c r="AC89" s="69" t="n">
        <f aca="false">TblProd[[#This Row],[Platinum]]</f>
        <v>2763043</v>
      </c>
      <c r="AD89" s="245"/>
      <c r="AE89" s="151" t="n">
        <f aca="false">TblExplore[[#This Row],[Land]]-TblExplore[[#This Row],[Land Bonus]]*20</f>
        <v>646</v>
      </c>
      <c r="AF89" s="69" t="n">
        <f aca="false">ROUND(MAX(0.6*TblExplore[[#This Row],[Land-DB]]^1.299,850)*(1+ tech_2_6*Techs!AC89 + tech_2_9*Techs!AF89 + tech_3_7*Techs!AN89 + Overview!$I$32),0)</f>
        <v>2683</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124</v>
      </c>
    </row>
    <row r="90" customFormat="false" ht="12.75" hidden="false" customHeight="false" outlineLevel="0" collapsed="false">
      <c r="A90" s="170" t="n">
        <f aca="false">TblRezone[[#This Row],[Hour]]</f>
        <v>87</v>
      </c>
      <c r="B90" s="181" t="n">
        <f aca="false">TblConstr[[#This Row],[Land]]</f>
        <v>646</v>
      </c>
      <c r="C90" s="245"/>
      <c r="D90" s="246" t="n">
        <f aca="false">TblConstr[[#This Row],[Plain]]</f>
        <v>-81</v>
      </c>
      <c r="E90" s="193" t="n">
        <f aca="false">TblConstr[[#This Row],[Forest]]</f>
        <v>2</v>
      </c>
      <c r="F90" s="200" t="n">
        <f aca="false">TblConstr[[#This Row],[Mountain]]</f>
        <v>3</v>
      </c>
      <c r="G90" s="201" t="n">
        <f aca="false">TblConstr[[#This Row],[Hill]]</f>
        <v>4</v>
      </c>
      <c r="H90" s="202" t="n">
        <f aca="false">TblConstr[[#This Row],[Swamp]]</f>
        <v>5</v>
      </c>
      <c r="I90" s="197" t="n">
        <f aca="false">TblConstr[[#This Row],[Cavern]]</f>
        <v>6</v>
      </c>
      <c r="J90" s="198" t="n">
        <f aca="false">TblConstr[[#This Row],[Water]]</f>
        <v>7</v>
      </c>
      <c r="K90" s="4"/>
      <c r="L90" s="4"/>
      <c r="M90" s="12"/>
      <c r="N90" s="247" t="n">
        <f aca="false">TblMili[[#This Row],[Smithies]]</f>
        <v>0.195046439628483</v>
      </c>
      <c r="O90" s="247" t="n">
        <f aca="false">TblPop[[#This Row],[Employment]]</f>
        <v>1</v>
      </c>
      <c r="P90" s="247" t="n">
        <f aca="false">TblImps[[#This Row],[Population]]</f>
        <v>1</v>
      </c>
      <c r="Q90" s="181" t="n">
        <f aca="false">TblExplore[[#This Row],[Land]]</f>
        <v>646</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953</v>
      </c>
      <c r="AC90" s="69" t="n">
        <f aca="false">TblProd[[#This Row],[Platinum]]</f>
        <v>2871253</v>
      </c>
      <c r="AD90" s="245"/>
      <c r="AE90" s="151" t="n">
        <f aca="false">TblExplore[[#This Row],[Land]]-TblExplore[[#This Row],[Land Bonus]]*20</f>
        <v>646</v>
      </c>
      <c r="AF90" s="69" t="n">
        <f aca="false">ROUND(MAX(0.6*TblExplore[[#This Row],[Land-DB]]^1.299,850)*(1+ tech_2_6*Techs!AC90 + tech_2_9*Techs!AF90 + tech_3_7*Techs!AN90 + Overview!$I$32),0)</f>
        <v>2683</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136</v>
      </c>
    </row>
    <row r="91" customFormat="false" ht="12.75" hidden="false" customHeight="false" outlineLevel="0" collapsed="false">
      <c r="A91" s="170" t="n">
        <f aca="false">TblRezone[[#This Row],[Hour]]</f>
        <v>88</v>
      </c>
      <c r="B91" s="181" t="n">
        <f aca="false">TblConstr[[#This Row],[Land]]</f>
        <v>646</v>
      </c>
      <c r="C91" s="245"/>
      <c r="D91" s="246" t="n">
        <f aca="false">TblConstr[[#This Row],[Plain]]</f>
        <v>-81</v>
      </c>
      <c r="E91" s="193" t="n">
        <f aca="false">TblConstr[[#This Row],[Forest]]</f>
        <v>2</v>
      </c>
      <c r="F91" s="200" t="n">
        <f aca="false">TblConstr[[#This Row],[Mountain]]</f>
        <v>3</v>
      </c>
      <c r="G91" s="201" t="n">
        <f aca="false">TblConstr[[#This Row],[Hill]]</f>
        <v>4</v>
      </c>
      <c r="H91" s="202" t="n">
        <f aca="false">TblConstr[[#This Row],[Swamp]]</f>
        <v>5</v>
      </c>
      <c r="I91" s="197" t="n">
        <f aca="false">TblConstr[[#This Row],[Cavern]]</f>
        <v>6</v>
      </c>
      <c r="J91" s="198" t="n">
        <f aca="false">TblConstr[[#This Row],[Water]]</f>
        <v>7</v>
      </c>
      <c r="K91" s="4"/>
      <c r="L91" s="4"/>
      <c r="M91" s="12"/>
      <c r="N91" s="247" t="n">
        <f aca="false">TblMili[[#This Row],[Smithies]]</f>
        <v>0.195046439628483</v>
      </c>
      <c r="O91" s="247" t="n">
        <f aca="false">TblPop[[#This Row],[Employment]]</f>
        <v>1</v>
      </c>
      <c r="P91" s="247" t="n">
        <f aca="false">TblImps[[#This Row],[Population]]</f>
        <v>1</v>
      </c>
      <c r="Q91" s="181" t="n">
        <f aca="false">TblExplore[[#This Row],[Land]]</f>
        <v>646</v>
      </c>
      <c r="R91" s="170" t="n">
        <f aca="false">TblExplore[[#This Row],[Hour]]</f>
        <v>88</v>
      </c>
      <c r="S91" s="248"/>
      <c r="T91" s="152"/>
      <c r="U91" s="182"/>
      <c r="V91" s="182"/>
      <c r="W91" s="182"/>
      <c r="X91" s="182"/>
      <c r="Y91" s="182"/>
      <c r="Z91" s="182"/>
      <c r="AA91" s="153" t="n">
        <f aca="false">TblImps[[#This Row],[Real time]]</f>
        <v>45433.375</v>
      </c>
      <c r="AB91" s="69" t="n">
        <f aca="false">TblMili[[#This Row],[Draftees]]</f>
        <v>1037</v>
      </c>
      <c r="AC91" s="69" t="n">
        <f aca="false">TblProd[[#This Row],[Platinum]]</f>
        <v>2979210</v>
      </c>
      <c r="AD91" s="245"/>
      <c r="AE91" s="151" t="n">
        <f aca="false">TblExplore[[#This Row],[Land]]-TblExplore[[#This Row],[Land Bonus]]*20</f>
        <v>646</v>
      </c>
      <c r="AF91" s="69" t="n">
        <f aca="false">ROUND(MAX(0.6*TblExplore[[#This Row],[Land-DB]]^1.299,850)*(1+ tech_2_6*Techs!AC91 + tech_2_9*Techs!AF91 + tech_3_7*Techs!AN91 + Overview!$I$32),0)</f>
        <v>2683</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148</v>
      </c>
    </row>
    <row r="92" customFormat="false" ht="12.75" hidden="false" customHeight="false" outlineLevel="0" collapsed="false">
      <c r="A92" s="170" t="n">
        <f aca="false">TblRezone[[#This Row],[Hour]]</f>
        <v>89</v>
      </c>
      <c r="B92" s="181" t="n">
        <f aca="false">TblConstr[[#This Row],[Land]]</f>
        <v>646</v>
      </c>
      <c r="C92" s="245"/>
      <c r="D92" s="246" t="n">
        <f aca="false">TblConstr[[#This Row],[Plain]]</f>
        <v>-81</v>
      </c>
      <c r="E92" s="193" t="n">
        <f aca="false">TblConstr[[#This Row],[Forest]]</f>
        <v>2</v>
      </c>
      <c r="F92" s="200" t="n">
        <f aca="false">TblConstr[[#This Row],[Mountain]]</f>
        <v>3</v>
      </c>
      <c r="G92" s="201" t="n">
        <f aca="false">TblConstr[[#This Row],[Hill]]</f>
        <v>4</v>
      </c>
      <c r="H92" s="202" t="n">
        <f aca="false">TblConstr[[#This Row],[Swamp]]</f>
        <v>5</v>
      </c>
      <c r="I92" s="197" t="n">
        <f aca="false">TblConstr[[#This Row],[Cavern]]</f>
        <v>6</v>
      </c>
      <c r="J92" s="198" t="n">
        <f aca="false">TblConstr[[#This Row],[Water]]</f>
        <v>7</v>
      </c>
      <c r="K92" s="4"/>
      <c r="L92" s="4"/>
      <c r="M92" s="12"/>
      <c r="N92" s="247" t="n">
        <f aca="false">TblMili[[#This Row],[Smithies]]</f>
        <v>0.195046439628483</v>
      </c>
      <c r="O92" s="247" t="n">
        <f aca="false">TblPop[[#This Row],[Employment]]</f>
        <v>1</v>
      </c>
      <c r="P92" s="247" t="n">
        <f aca="false">TblImps[[#This Row],[Population]]</f>
        <v>1</v>
      </c>
      <c r="Q92" s="181" t="n">
        <f aca="false">TblExplore[[#This Row],[Land]]</f>
        <v>646</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1121</v>
      </c>
      <c r="AC92" s="69" t="n">
        <f aca="false">TblProd[[#This Row],[Platinum]]</f>
        <v>3086918</v>
      </c>
      <c r="AD92" s="245"/>
      <c r="AE92" s="151" t="n">
        <f aca="false">TblExplore[[#This Row],[Land]]-TblExplore[[#This Row],[Land Bonus]]*20</f>
        <v>646</v>
      </c>
      <c r="AF92" s="69" t="n">
        <f aca="false">ROUND(MAX(0.6*TblExplore[[#This Row],[Land-DB]]^1.299,850)*(1+ tech_2_6*Techs!AC92 + tech_2_9*Techs!AF92 + tech_3_7*Techs!AN92 + Overview!$I$32),0)</f>
        <v>2683</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160</v>
      </c>
    </row>
    <row r="93" customFormat="false" ht="12.75" hidden="false" customHeight="false" outlineLevel="0" collapsed="false">
      <c r="A93" s="170" t="n">
        <f aca="false">TblRezone[[#This Row],[Hour]]</f>
        <v>90</v>
      </c>
      <c r="B93" s="181" t="n">
        <f aca="false">TblConstr[[#This Row],[Land]]</f>
        <v>646</v>
      </c>
      <c r="C93" s="245"/>
      <c r="D93" s="246" t="n">
        <f aca="false">TblConstr[[#This Row],[Plain]]</f>
        <v>-81</v>
      </c>
      <c r="E93" s="193" t="n">
        <f aca="false">TblConstr[[#This Row],[Forest]]</f>
        <v>2</v>
      </c>
      <c r="F93" s="200" t="n">
        <f aca="false">TblConstr[[#This Row],[Mountain]]</f>
        <v>3</v>
      </c>
      <c r="G93" s="201" t="n">
        <f aca="false">TblConstr[[#This Row],[Hill]]</f>
        <v>4</v>
      </c>
      <c r="H93" s="202" t="n">
        <f aca="false">TblConstr[[#This Row],[Swamp]]</f>
        <v>5</v>
      </c>
      <c r="I93" s="197" t="n">
        <f aca="false">TblConstr[[#This Row],[Cavern]]</f>
        <v>6</v>
      </c>
      <c r="J93" s="198" t="n">
        <f aca="false">TblConstr[[#This Row],[Water]]</f>
        <v>7</v>
      </c>
      <c r="K93" s="4"/>
      <c r="L93" s="4"/>
      <c r="M93" s="12"/>
      <c r="N93" s="247" t="n">
        <f aca="false">TblMili[[#This Row],[Smithies]]</f>
        <v>0.195046439628483</v>
      </c>
      <c r="O93" s="247" t="n">
        <f aca="false">TblPop[[#This Row],[Employment]]</f>
        <v>1</v>
      </c>
      <c r="P93" s="247" t="n">
        <f aca="false">TblImps[[#This Row],[Population]]</f>
        <v>1</v>
      </c>
      <c r="Q93" s="181" t="n">
        <f aca="false">TblExplore[[#This Row],[Land]]</f>
        <v>646</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1204</v>
      </c>
      <c r="AC93" s="69" t="n">
        <f aca="false">TblProd[[#This Row],[Platinum]]</f>
        <v>3194376</v>
      </c>
      <c r="AD93" s="245"/>
      <c r="AE93" s="151" t="n">
        <f aca="false">TblExplore[[#This Row],[Land]]-TblExplore[[#This Row],[Land Bonus]]*20</f>
        <v>646</v>
      </c>
      <c r="AF93" s="69" t="n">
        <f aca="false">ROUND(MAX(0.6*TblExplore[[#This Row],[Land-DB]]^1.299,850)*(1+ tech_2_6*Techs!AC93 + tech_2_9*Techs!AF93 + tech_3_7*Techs!AN93 + Overview!$I$32),0)</f>
        <v>2683</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172</v>
      </c>
    </row>
    <row r="94" customFormat="false" ht="12.75" hidden="false" customHeight="false" outlineLevel="0" collapsed="false">
      <c r="A94" s="170" t="n">
        <f aca="false">TblRezone[[#This Row],[Hour]]</f>
        <v>91</v>
      </c>
      <c r="B94" s="181" t="n">
        <f aca="false">TblConstr[[#This Row],[Land]]</f>
        <v>646</v>
      </c>
      <c r="C94" s="245"/>
      <c r="D94" s="246" t="n">
        <f aca="false">TblConstr[[#This Row],[Plain]]</f>
        <v>-81</v>
      </c>
      <c r="E94" s="193" t="n">
        <f aca="false">TblConstr[[#This Row],[Forest]]</f>
        <v>2</v>
      </c>
      <c r="F94" s="200" t="n">
        <f aca="false">TblConstr[[#This Row],[Mountain]]</f>
        <v>3</v>
      </c>
      <c r="G94" s="201" t="n">
        <f aca="false">TblConstr[[#This Row],[Hill]]</f>
        <v>4</v>
      </c>
      <c r="H94" s="202" t="n">
        <f aca="false">TblConstr[[#This Row],[Swamp]]</f>
        <v>5</v>
      </c>
      <c r="I94" s="197" t="n">
        <f aca="false">TblConstr[[#This Row],[Cavern]]</f>
        <v>6</v>
      </c>
      <c r="J94" s="198" t="n">
        <f aca="false">TblConstr[[#This Row],[Water]]</f>
        <v>7</v>
      </c>
      <c r="K94" s="4"/>
      <c r="L94" s="4"/>
      <c r="M94" s="12"/>
      <c r="N94" s="247" t="n">
        <f aca="false">TblMili[[#This Row],[Smithies]]</f>
        <v>0.195046439628483</v>
      </c>
      <c r="O94" s="247" t="n">
        <f aca="false">TblPop[[#This Row],[Employment]]</f>
        <v>1</v>
      </c>
      <c r="P94" s="247" t="n">
        <f aca="false">TblImps[[#This Row],[Population]]</f>
        <v>1</v>
      </c>
      <c r="Q94" s="181" t="n">
        <f aca="false">TblExplore[[#This Row],[Land]]</f>
        <v>646</v>
      </c>
      <c r="R94" s="170" t="n">
        <f aca="false">TblExplore[[#This Row],[Hour]]</f>
        <v>91</v>
      </c>
      <c r="S94" s="248"/>
      <c r="T94" s="182"/>
      <c r="U94" s="182"/>
      <c r="V94" s="182"/>
      <c r="W94" s="182"/>
      <c r="X94" s="182"/>
      <c r="Y94" s="182"/>
      <c r="Z94" s="182"/>
      <c r="AA94" s="153" t="n">
        <f aca="false">TblImps[[#This Row],[Real time]]</f>
        <v>45433.5</v>
      </c>
      <c r="AB94" s="69" t="n">
        <f aca="false">TblMili[[#This Row],[Draftees]]</f>
        <v>1286</v>
      </c>
      <c r="AC94" s="69" t="n">
        <f aca="false">TblProd[[#This Row],[Platinum]]</f>
        <v>3301588</v>
      </c>
      <c r="AD94" s="245"/>
      <c r="AE94" s="151" t="n">
        <f aca="false">TblExplore[[#This Row],[Land]]-TblExplore[[#This Row],[Land Bonus]]*20</f>
        <v>646</v>
      </c>
      <c r="AF94" s="69" t="n">
        <f aca="false">ROUND(MAX(0.6*TblExplore[[#This Row],[Land-DB]]^1.299,850)*(1+ tech_2_6*Techs!AC94 + tech_2_9*Techs!AF94 + tech_3_7*Techs!AN94 + Overview!$I$32),0)</f>
        <v>2683</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183</v>
      </c>
    </row>
    <row r="95" customFormat="false" ht="12.75" hidden="false" customHeight="false" outlineLevel="0" collapsed="false">
      <c r="A95" s="170" t="n">
        <f aca="false">TblRezone[[#This Row],[Hour]]</f>
        <v>92</v>
      </c>
      <c r="B95" s="181" t="n">
        <f aca="false">TblConstr[[#This Row],[Land]]</f>
        <v>646</v>
      </c>
      <c r="C95" s="245"/>
      <c r="D95" s="246" t="n">
        <f aca="false">TblConstr[[#This Row],[Plain]]</f>
        <v>-81</v>
      </c>
      <c r="E95" s="193" t="n">
        <f aca="false">TblConstr[[#This Row],[Forest]]</f>
        <v>2</v>
      </c>
      <c r="F95" s="200" t="n">
        <f aca="false">TblConstr[[#This Row],[Mountain]]</f>
        <v>3</v>
      </c>
      <c r="G95" s="201" t="n">
        <f aca="false">TblConstr[[#This Row],[Hill]]</f>
        <v>4</v>
      </c>
      <c r="H95" s="202" t="n">
        <f aca="false">TblConstr[[#This Row],[Swamp]]</f>
        <v>5</v>
      </c>
      <c r="I95" s="197" t="n">
        <f aca="false">TblConstr[[#This Row],[Cavern]]</f>
        <v>6</v>
      </c>
      <c r="J95" s="198" t="n">
        <f aca="false">TblConstr[[#This Row],[Water]]</f>
        <v>7</v>
      </c>
      <c r="K95" s="4"/>
      <c r="L95" s="4"/>
      <c r="M95" s="12"/>
      <c r="N95" s="247" t="n">
        <f aca="false">TblMili[[#This Row],[Smithies]]</f>
        <v>0.195046439628483</v>
      </c>
      <c r="O95" s="247" t="n">
        <f aca="false">TblPop[[#This Row],[Employment]]</f>
        <v>1</v>
      </c>
      <c r="P95" s="247" t="n">
        <f aca="false">TblImps[[#This Row],[Population]]</f>
        <v>1</v>
      </c>
      <c r="Q95" s="181" t="n">
        <f aca="false">TblExplore[[#This Row],[Land]]</f>
        <v>646</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1367</v>
      </c>
      <c r="AC95" s="69" t="n">
        <f aca="false">TblProd[[#This Row],[Platinum]]</f>
        <v>3408556</v>
      </c>
      <c r="AD95" s="245"/>
      <c r="AE95" s="151" t="n">
        <f aca="false">TblExplore[[#This Row],[Land]]-TblExplore[[#This Row],[Land Bonus]]*20</f>
        <v>646</v>
      </c>
      <c r="AF95" s="69" t="n">
        <f aca="false">ROUND(MAX(0.6*TblExplore[[#This Row],[Land-DB]]^1.299,850)*(1+ tech_2_6*Techs!AC95 + tech_2_9*Techs!AF95 + tech_3_7*Techs!AN95 + Overview!$I$32),0)</f>
        <v>2683</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195</v>
      </c>
    </row>
    <row r="96" customFormat="false" ht="12.75" hidden="false" customHeight="false" outlineLevel="0" collapsed="false">
      <c r="A96" s="170" t="n">
        <f aca="false">TblRezone[[#This Row],[Hour]]</f>
        <v>93</v>
      </c>
      <c r="B96" s="181" t="n">
        <f aca="false">TblConstr[[#This Row],[Land]]</f>
        <v>646</v>
      </c>
      <c r="C96" s="245"/>
      <c r="D96" s="246" t="n">
        <f aca="false">TblConstr[[#This Row],[Plain]]</f>
        <v>-81</v>
      </c>
      <c r="E96" s="193" t="n">
        <f aca="false">TblConstr[[#This Row],[Forest]]</f>
        <v>2</v>
      </c>
      <c r="F96" s="200" t="n">
        <f aca="false">TblConstr[[#This Row],[Mountain]]</f>
        <v>3</v>
      </c>
      <c r="G96" s="201" t="n">
        <f aca="false">TblConstr[[#This Row],[Hill]]</f>
        <v>4</v>
      </c>
      <c r="H96" s="202" t="n">
        <f aca="false">TblConstr[[#This Row],[Swamp]]</f>
        <v>5</v>
      </c>
      <c r="I96" s="197" t="n">
        <f aca="false">TblConstr[[#This Row],[Cavern]]</f>
        <v>6</v>
      </c>
      <c r="J96" s="198" t="n">
        <f aca="false">TblConstr[[#This Row],[Water]]</f>
        <v>7</v>
      </c>
      <c r="K96" s="4"/>
      <c r="L96" s="4"/>
      <c r="M96" s="4"/>
      <c r="N96" s="247" t="n">
        <f aca="false">TblMili[[#This Row],[Smithies]]</f>
        <v>0.195046439628483</v>
      </c>
      <c r="O96" s="247" t="n">
        <f aca="false">TblPop[[#This Row],[Employment]]</f>
        <v>1</v>
      </c>
      <c r="P96" s="247" t="n">
        <f aca="false">TblImps[[#This Row],[Population]]</f>
        <v>1</v>
      </c>
      <c r="Q96" s="181" t="n">
        <f aca="false">TblExplore[[#This Row],[Land]]</f>
        <v>646</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1447</v>
      </c>
      <c r="AC96" s="69" t="n">
        <f aca="false">TblProd[[#This Row],[Platinum]]</f>
        <v>3515284</v>
      </c>
      <c r="AD96" s="245"/>
      <c r="AE96" s="151" t="n">
        <f aca="false">TblExplore[[#This Row],[Land]]-TblExplore[[#This Row],[Land Bonus]]*20</f>
        <v>646</v>
      </c>
      <c r="AF96" s="69" t="n">
        <f aca="false">ROUND(MAX(0.6*TblExplore[[#This Row],[Land-DB]]^1.299,850)*(1+ tech_2_6*Techs!AC96 + tech_2_9*Techs!AF96 + tech_3_7*Techs!AN96 + Overview!$I$32),0)</f>
        <v>2683</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206</v>
      </c>
    </row>
    <row r="97" customFormat="false" ht="12.75" hidden="false" customHeight="false" outlineLevel="0" collapsed="false">
      <c r="A97" s="170" t="n">
        <f aca="false">TblRezone[[#This Row],[Hour]]</f>
        <v>94</v>
      </c>
      <c r="B97" s="181" t="n">
        <f aca="false">TblConstr[[#This Row],[Land]]</f>
        <v>646</v>
      </c>
      <c r="C97" s="245"/>
      <c r="D97" s="246" t="n">
        <f aca="false">TblConstr[[#This Row],[Plain]]</f>
        <v>-81</v>
      </c>
      <c r="E97" s="193" t="n">
        <f aca="false">TblConstr[[#This Row],[Forest]]</f>
        <v>2</v>
      </c>
      <c r="F97" s="200" t="n">
        <f aca="false">TblConstr[[#This Row],[Mountain]]</f>
        <v>3</v>
      </c>
      <c r="G97" s="201" t="n">
        <f aca="false">TblConstr[[#This Row],[Hill]]</f>
        <v>4</v>
      </c>
      <c r="H97" s="202" t="n">
        <f aca="false">TblConstr[[#This Row],[Swamp]]</f>
        <v>5</v>
      </c>
      <c r="I97" s="197" t="n">
        <f aca="false">TblConstr[[#This Row],[Cavern]]</f>
        <v>6</v>
      </c>
      <c r="J97" s="198" t="n">
        <f aca="false">TblConstr[[#This Row],[Water]]</f>
        <v>7</v>
      </c>
      <c r="K97" s="4"/>
      <c r="L97" s="4"/>
      <c r="M97" s="4"/>
      <c r="N97" s="247" t="n">
        <f aca="false">TblMili[[#This Row],[Smithies]]</f>
        <v>0.195046439628483</v>
      </c>
      <c r="O97" s="247" t="n">
        <f aca="false">TblPop[[#This Row],[Employment]]</f>
        <v>1</v>
      </c>
      <c r="P97" s="247" t="n">
        <f aca="false">TblImps[[#This Row],[Population]]</f>
        <v>1</v>
      </c>
      <c r="Q97" s="181" t="n">
        <f aca="false">TblExplore[[#This Row],[Land]]</f>
        <v>646</v>
      </c>
      <c r="R97" s="181" t="n">
        <f aca="false">TblExplore[[#This Row],[Hour]]</f>
        <v>94</v>
      </c>
      <c r="S97" s="248"/>
      <c r="T97" s="182"/>
      <c r="U97" s="182"/>
      <c r="V97" s="182"/>
      <c r="W97" s="182"/>
      <c r="X97" s="182"/>
      <c r="Y97" s="182"/>
      <c r="Z97" s="182"/>
      <c r="AA97" s="153" t="n">
        <f aca="false">TblImps[[#This Row],[Real time]]</f>
        <v>45433.625</v>
      </c>
      <c r="AB97" s="69" t="n">
        <f aca="false">TblMili[[#This Row],[Draftees]]</f>
        <v>1526</v>
      </c>
      <c r="AC97" s="69" t="n">
        <f aca="false">TblProd[[#This Row],[Platinum]]</f>
        <v>3621774</v>
      </c>
      <c r="AD97" s="245"/>
      <c r="AE97" s="151" t="n">
        <f aca="false">TblExplore[[#This Row],[Land]]-TblExplore[[#This Row],[Land Bonus]]*20</f>
        <v>646</v>
      </c>
      <c r="AF97" s="69" t="n">
        <f aca="false">ROUND(MAX(0.6*TblExplore[[#This Row],[Land-DB]]^1.299,850)*(1+ tech_2_6*Techs!AC97 + tech_2_9*Techs!AF97 + tech_3_7*Techs!AN97 + Overview!$I$32),0)</f>
        <v>2683</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218</v>
      </c>
    </row>
    <row r="98" customFormat="false" ht="12.75" hidden="false" customHeight="false" outlineLevel="0" collapsed="false">
      <c r="A98" s="170" t="n">
        <f aca="false">TblRezone[[#This Row],[Hour]]</f>
        <v>95</v>
      </c>
      <c r="B98" s="181" t="n">
        <f aca="false">TblConstr[[#This Row],[Land]]</f>
        <v>646</v>
      </c>
      <c r="C98" s="245"/>
      <c r="D98" s="246" t="n">
        <f aca="false">TblConstr[[#This Row],[Plain]]</f>
        <v>-81</v>
      </c>
      <c r="E98" s="193" t="n">
        <f aca="false">TblConstr[[#This Row],[Forest]]</f>
        <v>2</v>
      </c>
      <c r="F98" s="200" t="n">
        <f aca="false">TblConstr[[#This Row],[Mountain]]</f>
        <v>3</v>
      </c>
      <c r="G98" s="201" t="n">
        <f aca="false">TblConstr[[#This Row],[Hill]]</f>
        <v>4</v>
      </c>
      <c r="H98" s="202" t="n">
        <f aca="false">TblConstr[[#This Row],[Swamp]]</f>
        <v>5</v>
      </c>
      <c r="I98" s="197" t="n">
        <f aca="false">TblConstr[[#This Row],[Cavern]]</f>
        <v>6</v>
      </c>
      <c r="J98" s="198" t="n">
        <f aca="false">TblConstr[[#This Row],[Water]]</f>
        <v>7</v>
      </c>
      <c r="K98" s="4"/>
      <c r="L98" s="4"/>
      <c r="M98" s="12"/>
      <c r="N98" s="247" t="n">
        <f aca="false">TblMili[[#This Row],[Smithies]]</f>
        <v>0.195046439628483</v>
      </c>
      <c r="O98" s="247" t="n">
        <f aca="false">TblPop[[#This Row],[Employment]]</f>
        <v>1</v>
      </c>
      <c r="P98" s="247" t="n">
        <f aca="false">TblImps[[#This Row],[Population]]</f>
        <v>1</v>
      </c>
      <c r="Q98" s="181" t="n">
        <f aca="false">TblExplore[[#This Row],[Land]]</f>
        <v>646</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1605</v>
      </c>
      <c r="AC98" s="69" t="n">
        <f aca="false">TblProd[[#This Row],[Platinum]]</f>
        <v>3728029</v>
      </c>
      <c r="AD98" s="245"/>
      <c r="AE98" s="151" t="n">
        <f aca="false">TblExplore[[#This Row],[Land]]-TblExplore[[#This Row],[Land Bonus]]*20</f>
        <v>646</v>
      </c>
      <c r="AF98" s="69" t="n">
        <f aca="false">ROUND(MAX(0.6*TblExplore[[#This Row],[Land-DB]]^1.299,850)*(1+ tech_2_6*Techs!AC98 + tech_2_9*Techs!AF98 + tech_3_7*Techs!AN98 + Overview!$I$32),0)</f>
        <v>2683</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229</v>
      </c>
    </row>
    <row r="99" customFormat="false" ht="12.75" hidden="false" customHeight="false" outlineLevel="0" collapsed="false">
      <c r="A99" s="170" t="n">
        <f aca="false">TblRezone[[#This Row],[Hour]]</f>
        <v>96</v>
      </c>
      <c r="B99" s="181" t="n">
        <f aca="false">TblConstr[[#This Row],[Land]]</f>
        <v>646</v>
      </c>
      <c r="C99" s="245"/>
      <c r="D99" s="246" t="n">
        <f aca="false">TblConstr[[#This Row],[Plain]]</f>
        <v>-81</v>
      </c>
      <c r="E99" s="193" t="n">
        <f aca="false">TblConstr[[#This Row],[Forest]]</f>
        <v>2</v>
      </c>
      <c r="F99" s="200" t="n">
        <f aca="false">TblConstr[[#This Row],[Mountain]]</f>
        <v>3</v>
      </c>
      <c r="G99" s="201" t="n">
        <f aca="false">TblConstr[[#This Row],[Hill]]</f>
        <v>4</v>
      </c>
      <c r="H99" s="202" t="n">
        <f aca="false">TblConstr[[#This Row],[Swamp]]</f>
        <v>5</v>
      </c>
      <c r="I99" s="197" t="n">
        <f aca="false">TblConstr[[#This Row],[Cavern]]</f>
        <v>6</v>
      </c>
      <c r="J99" s="198" t="n">
        <f aca="false">TblConstr[[#This Row],[Water]]</f>
        <v>7</v>
      </c>
      <c r="K99" s="4"/>
      <c r="L99" s="4"/>
      <c r="M99" s="12"/>
      <c r="N99" s="247" t="n">
        <f aca="false">TblMili[[#This Row],[Smithies]]</f>
        <v>0.195046439628483</v>
      </c>
      <c r="O99" s="247" t="n">
        <f aca="false">TblPop[[#This Row],[Employment]]</f>
        <v>1</v>
      </c>
      <c r="P99" s="247" t="n">
        <f aca="false">TblImps[[#This Row],[Population]]</f>
        <v>1</v>
      </c>
      <c r="Q99" s="181" t="n">
        <f aca="false">TblExplore[[#This Row],[Land]]</f>
        <v>646</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1683</v>
      </c>
      <c r="AC99" s="69" t="n">
        <f aca="false">TblProd[[#This Row],[Platinum]]</f>
        <v>3834050</v>
      </c>
      <c r="AD99" s="245"/>
      <c r="AE99" s="151" t="n">
        <f aca="false">TblExplore[[#This Row],[Land]]-TblExplore[[#This Row],[Land Bonus]]*20</f>
        <v>646</v>
      </c>
      <c r="AF99" s="69" t="n">
        <f aca="false">ROUND(MAX(0.6*TblExplore[[#This Row],[Land-DB]]^1.299,850)*(1+ tech_2_6*Techs!AC99 + tech_2_9*Techs!AF99 + tech_3_7*Techs!AN99 + Overview!$I$32),0)</f>
        <v>2683</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240</v>
      </c>
    </row>
    <row r="100" customFormat="false" ht="12.75" hidden="false" customHeight="false" outlineLevel="0" collapsed="false">
      <c r="A100" s="170" t="n">
        <f aca="false">TblRezone[[#This Row],[Hour]]</f>
        <v>97</v>
      </c>
      <c r="B100" s="181" t="n">
        <f aca="false">TblConstr[[#This Row],[Land]]</f>
        <v>646</v>
      </c>
      <c r="C100" s="245"/>
      <c r="D100" s="246" t="n">
        <f aca="false">TblConstr[[#This Row],[Plain]]</f>
        <v>-81</v>
      </c>
      <c r="E100" s="193" t="n">
        <f aca="false">TblConstr[[#This Row],[Forest]]</f>
        <v>2</v>
      </c>
      <c r="F100" s="200" t="n">
        <f aca="false">TblConstr[[#This Row],[Mountain]]</f>
        <v>3</v>
      </c>
      <c r="G100" s="201" t="n">
        <f aca="false">TblConstr[[#This Row],[Hill]]</f>
        <v>4</v>
      </c>
      <c r="H100" s="202" t="n">
        <f aca="false">TblConstr[[#This Row],[Swamp]]</f>
        <v>5</v>
      </c>
      <c r="I100" s="197" t="n">
        <f aca="false">TblConstr[[#This Row],[Cavern]]</f>
        <v>6</v>
      </c>
      <c r="J100" s="198" t="n">
        <f aca="false">TblConstr[[#This Row],[Water]]</f>
        <v>7</v>
      </c>
      <c r="K100" s="4"/>
      <c r="L100" s="4"/>
      <c r="M100" s="12"/>
      <c r="N100" s="247" t="n">
        <f aca="false">TblMili[[#This Row],[Smithies]]</f>
        <v>0.195046439628483</v>
      </c>
      <c r="O100" s="247" t="n">
        <f aca="false">TblPop[[#This Row],[Employment]]</f>
        <v>1</v>
      </c>
      <c r="P100" s="247" t="n">
        <f aca="false">TblImps[[#This Row],[Population]]</f>
        <v>1</v>
      </c>
      <c r="Q100" s="181" t="n">
        <f aca="false">TblExplore[[#This Row],[Land]]</f>
        <v>646</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1760</v>
      </c>
      <c r="AC100" s="69" t="n">
        <f aca="false">TblProd[[#This Row],[Platinum]]</f>
        <v>3939839</v>
      </c>
      <c r="AD100" s="245"/>
      <c r="AE100" s="151" t="n">
        <f aca="false">TblExplore[[#This Row],[Land]]-TblExplore[[#This Row],[Land Bonus]]*20</f>
        <v>646</v>
      </c>
      <c r="AF100" s="69" t="n">
        <f aca="false">ROUND(MAX(0.6*TblExplore[[#This Row],[Land-DB]]^1.299,850)*(1+ tech_2_6*Techs!AC100 + tech_2_9*Techs!AF100 + tech_3_7*Techs!AN100 + Overview!$I$32),0)</f>
        <v>2683</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251</v>
      </c>
    </row>
    <row r="101" customFormat="false" ht="12.75" hidden="false" customHeight="false" outlineLevel="0" collapsed="false">
      <c r="A101" s="170" t="n">
        <f aca="false">TblRezone[[#This Row],[Hour]]</f>
        <v>98</v>
      </c>
      <c r="B101" s="181" t="n">
        <f aca="false">TblConstr[[#This Row],[Land]]</f>
        <v>646</v>
      </c>
      <c r="C101" s="245"/>
      <c r="D101" s="246" t="n">
        <f aca="false">TblConstr[[#This Row],[Plain]]</f>
        <v>-81</v>
      </c>
      <c r="E101" s="193" t="n">
        <f aca="false">TblConstr[[#This Row],[Forest]]</f>
        <v>2</v>
      </c>
      <c r="F101" s="200" t="n">
        <f aca="false">TblConstr[[#This Row],[Mountain]]</f>
        <v>3</v>
      </c>
      <c r="G101" s="201" t="n">
        <f aca="false">TblConstr[[#This Row],[Hill]]</f>
        <v>4</v>
      </c>
      <c r="H101" s="202" t="n">
        <f aca="false">TblConstr[[#This Row],[Swamp]]</f>
        <v>5</v>
      </c>
      <c r="I101" s="197" t="n">
        <f aca="false">TblConstr[[#This Row],[Cavern]]</f>
        <v>6</v>
      </c>
      <c r="J101" s="198" t="n">
        <f aca="false">TblConstr[[#This Row],[Water]]</f>
        <v>7</v>
      </c>
      <c r="K101" s="4"/>
      <c r="L101" s="4"/>
      <c r="M101" s="249"/>
      <c r="N101" s="247" t="n">
        <f aca="false">TblMili[[#This Row],[Smithies]]</f>
        <v>0.195046439628483</v>
      </c>
      <c r="O101" s="247" t="n">
        <f aca="false">TblPop[[#This Row],[Employment]]</f>
        <v>1</v>
      </c>
      <c r="P101" s="247" t="n">
        <f aca="false">TblImps[[#This Row],[Population]]</f>
        <v>1</v>
      </c>
      <c r="Q101" s="181" t="n">
        <f aca="false">TblExplore[[#This Row],[Land]]</f>
        <v>646</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1836</v>
      </c>
      <c r="AC101" s="69" t="n">
        <f aca="false">TblProd[[#This Row],[Platinum]]</f>
        <v>4045399</v>
      </c>
      <c r="AD101" s="245"/>
      <c r="AE101" s="151" t="n">
        <f aca="false">TblExplore[[#This Row],[Land]]-TblExplore[[#This Row],[Land Bonus]]*20</f>
        <v>646</v>
      </c>
      <c r="AF101" s="69" t="n">
        <f aca="false">ROUND(MAX(0.6*TblExplore[[#This Row],[Land-DB]]^1.299,850)*(1+ tech_2_6*Techs!AC101 + tech_2_9*Techs!AF101 + tech_3_7*Techs!AN101 + Overview!$I$32),0)</f>
        <v>2683</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262</v>
      </c>
    </row>
    <row r="102" customFormat="false" ht="12.75" hidden="false" customHeight="false" outlineLevel="0" collapsed="false">
      <c r="A102" s="170" t="n">
        <f aca="false">TblRezone[[#This Row],[Hour]]</f>
        <v>99</v>
      </c>
      <c r="B102" s="181" t="n">
        <f aca="false">TblConstr[[#This Row],[Land]]</f>
        <v>646</v>
      </c>
      <c r="C102" s="245"/>
      <c r="D102" s="246" t="n">
        <f aca="false">TblConstr[[#This Row],[Plain]]</f>
        <v>-81</v>
      </c>
      <c r="E102" s="193" t="n">
        <f aca="false">TblConstr[[#This Row],[Forest]]</f>
        <v>2</v>
      </c>
      <c r="F102" s="200" t="n">
        <f aca="false">TblConstr[[#This Row],[Mountain]]</f>
        <v>3</v>
      </c>
      <c r="G102" s="201" t="n">
        <f aca="false">TblConstr[[#This Row],[Hill]]</f>
        <v>4</v>
      </c>
      <c r="H102" s="202" t="n">
        <f aca="false">TblConstr[[#This Row],[Swamp]]</f>
        <v>5</v>
      </c>
      <c r="I102" s="197" t="n">
        <f aca="false">TblConstr[[#This Row],[Cavern]]</f>
        <v>6</v>
      </c>
      <c r="J102" s="198" t="n">
        <f aca="false">TblConstr[[#This Row],[Water]]</f>
        <v>7</v>
      </c>
      <c r="K102" s="4"/>
      <c r="L102" s="4"/>
      <c r="M102" s="12"/>
      <c r="N102" s="247" t="n">
        <f aca="false">TblMili[[#This Row],[Smithies]]</f>
        <v>0.195046439628483</v>
      </c>
      <c r="O102" s="247" t="n">
        <f aca="false">TblPop[[#This Row],[Employment]]</f>
        <v>1</v>
      </c>
      <c r="P102" s="247" t="n">
        <f aca="false">TblImps[[#This Row],[Population]]</f>
        <v>1</v>
      </c>
      <c r="Q102" s="181" t="n">
        <f aca="false">TblExplore[[#This Row],[Land]]</f>
        <v>646</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1912</v>
      </c>
      <c r="AC102" s="69" t="n">
        <f aca="false">TblProd[[#This Row],[Platinum]]</f>
        <v>4150734</v>
      </c>
      <c r="AD102" s="245"/>
      <c r="AE102" s="151" t="n">
        <f aca="false">TblExplore[[#This Row],[Land]]-TblExplore[[#This Row],[Land Bonus]]*20</f>
        <v>646</v>
      </c>
      <c r="AF102" s="69" t="n">
        <f aca="false">ROUND(MAX(0.6*TblExplore[[#This Row],[Land-DB]]^1.299,850)*(1+ tech_2_6*Techs!AC102 + tech_2_9*Techs!AF102 + tech_3_7*Techs!AN102 + Overview!$I$32),0)</f>
        <v>2683</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273</v>
      </c>
    </row>
    <row r="103" customFormat="false" ht="12.75" hidden="false" customHeight="false" outlineLevel="0" collapsed="false">
      <c r="A103" s="170" t="n">
        <f aca="false">TblRezone[[#This Row],[Hour]]</f>
        <v>100</v>
      </c>
      <c r="B103" s="181" t="n">
        <f aca="false">TblConstr[[#This Row],[Land]]</f>
        <v>646</v>
      </c>
      <c r="C103" s="245"/>
      <c r="D103" s="246" t="n">
        <f aca="false">TblConstr[[#This Row],[Plain]]</f>
        <v>-81</v>
      </c>
      <c r="E103" s="193" t="n">
        <f aca="false">TblConstr[[#This Row],[Forest]]</f>
        <v>2</v>
      </c>
      <c r="F103" s="200" t="n">
        <f aca="false">TblConstr[[#This Row],[Mountain]]</f>
        <v>3</v>
      </c>
      <c r="G103" s="201" t="n">
        <f aca="false">TblConstr[[#This Row],[Hill]]</f>
        <v>4</v>
      </c>
      <c r="H103" s="202" t="n">
        <f aca="false">TblConstr[[#This Row],[Swamp]]</f>
        <v>5</v>
      </c>
      <c r="I103" s="197" t="n">
        <f aca="false">TblConstr[[#This Row],[Cavern]]</f>
        <v>6</v>
      </c>
      <c r="J103" s="198" t="n">
        <f aca="false">TblConstr[[#This Row],[Water]]</f>
        <v>7</v>
      </c>
      <c r="K103" s="4"/>
      <c r="L103" s="4"/>
      <c r="M103" s="12"/>
      <c r="N103" s="247" t="n">
        <f aca="false">TblMili[[#This Row],[Smithies]]</f>
        <v>0.195046439628483</v>
      </c>
      <c r="O103" s="247" t="n">
        <f aca="false">TblPop[[#This Row],[Employment]]</f>
        <v>1</v>
      </c>
      <c r="P103" s="247" t="n">
        <f aca="false">TblImps[[#This Row],[Population]]</f>
        <v>1</v>
      </c>
      <c r="Q103" s="181" t="n">
        <f aca="false">TblExplore[[#This Row],[Land]]</f>
        <v>646</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1987</v>
      </c>
      <c r="AC103" s="69" t="n">
        <f aca="false">TblProd[[#This Row],[Platinum]]</f>
        <v>4255843</v>
      </c>
      <c r="AD103" s="245"/>
      <c r="AE103" s="151" t="n">
        <f aca="false">TblExplore[[#This Row],[Land]]-TblExplore[[#This Row],[Land Bonus]]*20</f>
        <v>646</v>
      </c>
      <c r="AF103" s="69" t="n">
        <f aca="false">ROUND(MAX(0.6*TblExplore[[#This Row],[Land-DB]]^1.299,850)*(1+ tech_2_6*Techs!AC103 + tech_2_9*Techs!AF103 + tech_3_7*Techs!AN103 + Overview!$I$32),0)</f>
        <v>2683</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283</v>
      </c>
    </row>
    <row r="104" customFormat="false" ht="12.75" hidden="false" customHeight="false" outlineLevel="0" collapsed="false">
      <c r="A104" s="170" t="n">
        <f aca="false">TblRezone[[#This Row],[Hour]]</f>
        <v>101</v>
      </c>
      <c r="B104" s="181" t="n">
        <f aca="false">TblConstr[[#This Row],[Land]]</f>
        <v>646</v>
      </c>
      <c r="C104" s="245"/>
      <c r="D104" s="246" t="n">
        <f aca="false">TblConstr[[#This Row],[Plain]]</f>
        <v>-81</v>
      </c>
      <c r="E104" s="193" t="n">
        <f aca="false">TblConstr[[#This Row],[Forest]]</f>
        <v>2</v>
      </c>
      <c r="F104" s="200" t="n">
        <f aca="false">TblConstr[[#This Row],[Mountain]]</f>
        <v>3</v>
      </c>
      <c r="G104" s="201" t="n">
        <f aca="false">TblConstr[[#This Row],[Hill]]</f>
        <v>4</v>
      </c>
      <c r="H104" s="202" t="n">
        <f aca="false">TblConstr[[#This Row],[Swamp]]</f>
        <v>5</v>
      </c>
      <c r="I104" s="197" t="n">
        <f aca="false">TblConstr[[#This Row],[Cavern]]</f>
        <v>6</v>
      </c>
      <c r="J104" s="198" t="n">
        <f aca="false">TblConstr[[#This Row],[Water]]</f>
        <v>7</v>
      </c>
      <c r="K104" s="4"/>
      <c r="L104" s="4"/>
      <c r="M104" s="12"/>
      <c r="N104" s="247" t="n">
        <f aca="false">TblMili[[#This Row],[Smithies]]</f>
        <v>0.195046439628483</v>
      </c>
      <c r="O104" s="247" t="n">
        <f aca="false">TblPop[[#This Row],[Employment]]</f>
        <v>1</v>
      </c>
      <c r="P104" s="247" t="n">
        <f aca="false">TblImps[[#This Row],[Population]]</f>
        <v>1</v>
      </c>
      <c r="Q104" s="181" t="n">
        <f aca="false">TblExplore[[#This Row],[Land]]</f>
        <v>646</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2061</v>
      </c>
      <c r="AC104" s="69" t="n">
        <f aca="false">TblProd[[#This Row],[Platinum]]</f>
        <v>4360729</v>
      </c>
      <c r="AD104" s="245"/>
      <c r="AE104" s="151" t="n">
        <f aca="false">TblExplore[[#This Row],[Land]]-TblExplore[[#This Row],[Land Bonus]]*20</f>
        <v>646</v>
      </c>
      <c r="AF104" s="69" t="n">
        <f aca="false">ROUND(MAX(0.6*TblExplore[[#This Row],[Land-DB]]^1.299,850)*(1+ tech_2_6*Techs!AC104 + tech_2_9*Techs!AF104 + tech_3_7*Techs!AN104 + Overview!$I$32),0)</f>
        <v>2683</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294</v>
      </c>
    </row>
    <row r="105" customFormat="false" ht="12.75" hidden="false" customHeight="false" outlineLevel="0" collapsed="false">
      <c r="A105" s="170" t="n">
        <f aca="false">TblRezone[[#This Row],[Hour]]</f>
        <v>102</v>
      </c>
      <c r="B105" s="181" t="n">
        <f aca="false">TblConstr[[#This Row],[Land]]</f>
        <v>646</v>
      </c>
      <c r="C105" s="245"/>
      <c r="D105" s="246" t="n">
        <f aca="false">TblConstr[[#This Row],[Plain]]</f>
        <v>-81</v>
      </c>
      <c r="E105" s="193" t="n">
        <f aca="false">TblConstr[[#This Row],[Forest]]</f>
        <v>2</v>
      </c>
      <c r="F105" s="200" t="n">
        <f aca="false">TblConstr[[#This Row],[Mountain]]</f>
        <v>3</v>
      </c>
      <c r="G105" s="201" t="n">
        <f aca="false">TblConstr[[#This Row],[Hill]]</f>
        <v>4</v>
      </c>
      <c r="H105" s="202" t="n">
        <f aca="false">TblConstr[[#This Row],[Swamp]]</f>
        <v>5</v>
      </c>
      <c r="I105" s="197" t="n">
        <f aca="false">TblConstr[[#This Row],[Cavern]]</f>
        <v>6</v>
      </c>
      <c r="J105" s="198" t="n">
        <f aca="false">TblConstr[[#This Row],[Water]]</f>
        <v>7</v>
      </c>
      <c r="K105" s="4"/>
      <c r="L105" s="4"/>
      <c r="M105" s="4"/>
      <c r="N105" s="247" t="n">
        <f aca="false">TblMili[[#This Row],[Smithies]]</f>
        <v>0.195046439628483</v>
      </c>
      <c r="O105" s="247" t="n">
        <f aca="false">TblPop[[#This Row],[Employment]]</f>
        <v>1</v>
      </c>
      <c r="P105" s="247" t="n">
        <f aca="false">TblImps[[#This Row],[Population]]</f>
        <v>1</v>
      </c>
      <c r="Q105" s="181" t="n">
        <f aca="false">TblExplore[[#This Row],[Land]]</f>
        <v>646</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2134</v>
      </c>
      <c r="AC105" s="69" t="n">
        <f aca="false">TblProd[[#This Row],[Platinum]]</f>
        <v>4465395</v>
      </c>
      <c r="AD105" s="245"/>
      <c r="AE105" s="151" t="n">
        <f aca="false">TblExplore[[#This Row],[Land]]-TblExplore[[#This Row],[Land Bonus]]*20</f>
        <v>646</v>
      </c>
      <c r="AF105" s="69" t="n">
        <f aca="false">ROUND(MAX(0.6*TblExplore[[#This Row],[Land-DB]]^1.299,850)*(1+ tech_2_6*Techs!AC105 + tech_2_9*Techs!AF105 + tech_3_7*Techs!AN105 + Overview!$I$32),0)</f>
        <v>2683</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304</v>
      </c>
    </row>
    <row r="106" customFormat="false" ht="12.75" hidden="false" customHeight="false" outlineLevel="0" collapsed="false">
      <c r="A106" s="170" t="n">
        <f aca="false">TblRezone[[#This Row],[Hour]]</f>
        <v>103</v>
      </c>
      <c r="B106" s="181" t="n">
        <f aca="false">TblConstr[[#This Row],[Land]]</f>
        <v>646</v>
      </c>
      <c r="C106" s="245"/>
      <c r="D106" s="246" t="n">
        <f aca="false">TblConstr[[#This Row],[Plain]]</f>
        <v>-81</v>
      </c>
      <c r="E106" s="193" t="n">
        <f aca="false">TblConstr[[#This Row],[Forest]]</f>
        <v>2</v>
      </c>
      <c r="F106" s="200" t="n">
        <f aca="false">TblConstr[[#This Row],[Mountain]]</f>
        <v>3</v>
      </c>
      <c r="G106" s="201" t="n">
        <f aca="false">TblConstr[[#This Row],[Hill]]</f>
        <v>4</v>
      </c>
      <c r="H106" s="202" t="n">
        <f aca="false">TblConstr[[#This Row],[Swamp]]</f>
        <v>5</v>
      </c>
      <c r="I106" s="197" t="n">
        <f aca="false">TblConstr[[#This Row],[Cavern]]</f>
        <v>6</v>
      </c>
      <c r="J106" s="198" t="n">
        <f aca="false">TblConstr[[#This Row],[Water]]</f>
        <v>7</v>
      </c>
      <c r="K106" s="4"/>
      <c r="L106" s="4"/>
      <c r="M106" s="256"/>
      <c r="N106" s="247" t="n">
        <f aca="false">TblMili[[#This Row],[Smithies]]</f>
        <v>0.195046439628483</v>
      </c>
      <c r="O106" s="247" t="n">
        <f aca="false">TblPop[[#This Row],[Employment]]</f>
        <v>1</v>
      </c>
      <c r="P106" s="247" t="n">
        <f aca="false">TblImps[[#This Row],[Population]]</f>
        <v>1</v>
      </c>
      <c r="Q106" s="181" t="n">
        <f aca="false">TblExplore[[#This Row],[Land]]</f>
        <v>646</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2207</v>
      </c>
      <c r="AC106" s="69" t="n">
        <f aca="false">TblProd[[#This Row],[Platinum]]</f>
        <v>4569845</v>
      </c>
      <c r="AD106" s="245"/>
      <c r="AE106" s="151" t="n">
        <f aca="false">TblExplore[[#This Row],[Land]]-TblExplore[[#This Row],[Land Bonus]]*20</f>
        <v>646</v>
      </c>
      <c r="AF106" s="69" t="n">
        <f aca="false">ROUND(MAX(0.6*TblExplore[[#This Row],[Land-DB]]^1.299,850)*(1+ tech_2_6*Techs!AC106 + tech_2_9*Techs!AF106 + tech_3_7*Techs!AN106 + Overview!$I$32),0)</f>
        <v>2683</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315</v>
      </c>
    </row>
    <row r="107" customFormat="false" ht="12.75" hidden="false" customHeight="false" outlineLevel="0" collapsed="false">
      <c r="A107" s="170" t="n">
        <f aca="false">TblRezone[[#This Row],[Hour]]</f>
        <v>104</v>
      </c>
      <c r="B107" s="181" t="n">
        <f aca="false">TblConstr[[#This Row],[Land]]</f>
        <v>646</v>
      </c>
      <c r="C107" s="245"/>
      <c r="D107" s="246" t="n">
        <f aca="false">TblConstr[[#This Row],[Plain]]</f>
        <v>-81</v>
      </c>
      <c r="E107" s="193" t="n">
        <f aca="false">TblConstr[[#This Row],[Forest]]</f>
        <v>2</v>
      </c>
      <c r="F107" s="200" t="n">
        <f aca="false">TblConstr[[#This Row],[Mountain]]</f>
        <v>3</v>
      </c>
      <c r="G107" s="201" t="n">
        <f aca="false">TblConstr[[#This Row],[Hill]]</f>
        <v>4</v>
      </c>
      <c r="H107" s="202" t="n">
        <f aca="false">TblConstr[[#This Row],[Swamp]]</f>
        <v>5</v>
      </c>
      <c r="I107" s="197" t="n">
        <f aca="false">TblConstr[[#This Row],[Cavern]]</f>
        <v>6</v>
      </c>
      <c r="J107" s="198" t="n">
        <f aca="false">TblConstr[[#This Row],[Water]]</f>
        <v>7</v>
      </c>
      <c r="K107" s="4"/>
      <c r="L107" s="4"/>
      <c r="M107" s="256"/>
      <c r="N107" s="247" t="n">
        <f aca="false">TblMili[[#This Row],[Smithies]]</f>
        <v>0.195046439628483</v>
      </c>
      <c r="O107" s="247" t="n">
        <f aca="false">TblPop[[#This Row],[Employment]]</f>
        <v>1</v>
      </c>
      <c r="P107" s="247" t="n">
        <f aca="false">TblImps[[#This Row],[Population]]</f>
        <v>1</v>
      </c>
      <c r="Q107" s="181" t="n">
        <f aca="false">TblExplore[[#This Row],[Land]]</f>
        <v>646</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2279</v>
      </c>
      <c r="AC107" s="69" t="n">
        <f aca="false">TblProd[[#This Row],[Platinum]]</f>
        <v>4674078</v>
      </c>
      <c r="AD107" s="245"/>
      <c r="AE107" s="151" t="n">
        <f aca="false">TblExplore[[#This Row],[Land]]-TblExplore[[#This Row],[Land Bonus]]*20</f>
        <v>646</v>
      </c>
      <c r="AF107" s="69" t="n">
        <f aca="false">ROUND(MAX(0.6*TblExplore[[#This Row],[Land-DB]]^1.299,850)*(1+ tech_2_6*Techs!AC107 + tech_2_9*Techs!AF107 + tech_3_7*Techs!AN107 + Overview!$I$32),0)</f>
        <v>2683</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325</v>
      </c>
    </row>
    <row r="108" customFormat="false" ht="12.75" hidden="false" customHeight="false" outlineLevel="0" collapsed="false">
      <c r="A108" s="170" t="n">
        <f aca="false">TblRezone[[#This Row],[Hour]]</f>
        <v>105</v>
      </c>
      <c r="B108" s="181" t="n">
        <f aca="false">TblConstr[[#This Row],[Land]]</f>
        <v>646</v>
      </c>
      <c r="C108" s="245"/>
      <c r="D108" s="246" t="n">
        <f aca="false">TblConstr[[#This Row],[Plain]]</f>
        <v>-81</v>
      </c>
      <c r="E108" s="193" t="n">
        <f aca="false">TblConstr[[#This Row],[Forest]]</f>
        <v>2</v>
      </c>
      <c r="F108" s="200" t="n">
        <f aca="false">TblConstr[[#This Row],[Mountain]]</f>
        <v>3</v>
      </c>
      <c r="G108" s="201" t="n">
        <f aca="false">TblConstr[[#This Row],[Hill]]</f>
        <v>4</v>
      </c>
      <c r="H108" s="202" t="n">
        <f aca="false">TblConstr[[#This Row],[Swamp]]</f>
        <v>5</v>
      </c>
      <c r="I108" s="197" t="n">
        <f aca="false">TblConstr[[#This Row],[Cavern]]</f>
        <v>6</v>
      </c>
      <c r="J108" s="198" t="n">
        <f aca="false">TblConstr[[#This Row],[Water]]</f>
        <v>7</v>
      </c>
      <c r="K108" s="4"/>
      <c r="L108" s="4"/>
      <c r="M108" s="4"/>
      <c r="N108" s="247" t="n">
        <f aca="false">TblMili[[#This Row],[Smithies]]</f>
        <v>0.195046439628483</v>
      </c>
      <c r="O108" s="247" t="n">
        <f aca="false">TblPop[[#This Row],[Employment]]</f>
        <v>1</v>
      </c>
      <c r="P108" s="247" t="n">
        <f aca="false">TblImps[[#This Row],[Population]]</f>
        <v>1</v>
      </c>
      <c r="Q108" s="181" t="n">
        <f aca="false">TblExplore[[#This Row],[Land]]</f>
        <v>646</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2350</v>
      </c>
      <c r="AC108" s="69" t="n">
        <f aca="false">TblProd[[#This Row],[Platinum]]</f>
        <v>4778097</v>
      </c>
      <c r="AD108" s="245"/>
      <c r="AE108" s="151" t="n">
        <f aca="false">TblExplore[[#This Row],[Land]]-TblExplore[[#This Row],[Land Bonus]]*20</f>
        <v>646</v>
      </c>
      <c r="AF108" s="69" t="n">
        <f aca="false">ROUND(MAX(0.6*TblExplore[[#This Row],[Land-DB]]^1.299,850)*(1+ tech_2_6*Techs!AC108 + tech_2_9*Techs!AF108 + tech_3_7*Techs!AN108 + Overview!$I$32),0)</f>
        <v>2683</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335</v>
      </c>
    </row>
    <row r="109" customFormat="false" ht="12.75" hidden="false" customHeight="false" outlineLevel="0" collapsed="false">
      <c r="A109" s="170" t="n">
        <f aca="false">TblRezone[[#This Row],[Hour]]</f>
        <v>106</v>
      </c>
      <c r="B109" s="181" t="n">
        <f aca="false">TblConstr[[#This Row],[Land]]</f>
        <v>646</v>
      </c>
      <c r="C109" s="245"/>
      <c r="D109" s="246" t="n">
        <f aca="false">TblConstr[[#This Row],[Plain]]</f>
        <v>-81</v>
      </c>
      <c r="E109" s="193" t="n">
        <f aca="false">TblConstr[[#This Row],[Forest]]</f>
        <v>2</v>
      </c>
      <c r="F109" s="200" t="n">
        <f aca="false">TblConstr[[#This Row],[Mountain]]</f>
        <v>3</v>
      </c>
      <c r="G109" s="201" t="n">
        <f aca="false">TblConstr[[#This Row],[Hill]]</f>
        <v>4</v>
      </c>
      <c r="H109" s="202" t="n">
        <f aca="false">TblConstr[[#This Row],[Swamp]]</f>
        <v>5</v>
      </c>
      <c r="I109" s="197" t="n">
        <f aca="false">TblConstr[[#This Row],[Cavern]]</f>
        <v>6</v>
      </c>
      <c r="J109" s="198" t="n">
        <f aca="false">TblConstr[[#This Row],[Water]]</f>
        <v>7</v>
      </c>
      <c r="K109" s="4"/>
      <c r="L109" s="4"/>
      <c r="M109" s="4"/>
      <c r="N109" s="247" t="n">
        <f aca="false">TblMili[[#This Row],[Smithies]]</f>
        <v>0.195046439628483</v>
      </c>
      <c r="O109" s="247" t="n">
        <f aca="false">TblPop[[#This Row],[Employment]]</f>
        <v>1</v>
      </c>
      <c r="P109" s="247" t="n">
        <f aca="false">TblImps[[#This Row],[Population]]</f>
        <v>1</v>
      </c>
      <c r="Q109" s="181" t="n">
        <f aca="false">TblExplore[[#This Row],[Land]]</f>
        <v>646</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2420</v>
      </c>
      <c r="AC109" s="69" t="n">
        <f aca="false">TblProd[[#This Row],[Platinum]]</f>
        <v>4881905</v>
      </c>
      <c r="AD109" s="245"/>
      <c r="AE109" s="151" t="n">
        <f aca="false">TblExplore[[#This Row],[Land]]-TblExplore[[#This Row],[Land Bonus]]*20</f>
        <v>646</v>
      </c>
      <c r="AF109" s="69" t="n">
        <f aca="false">ROUND(MAX(0.6*TblExplore[[#This Row],[Land-DB]]^1.299,850)*(1+ tech_2_6*Techs!AC109 + tech_2_9*Techs!AF109 + tech_3_7*Techs!AN109 + Overview!$I$32),0)</f>
        <v>2683</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345</v>
      </c>
    </row>
    <row r="110" customFormat="false" ht="12.75" hidden="false" customHeight="false" outlineLevel="0" collapsed="false">
      <c r="A110" s="170" t="n">
        <f aca="false">TblRezone[[#This Row],[Hour]]</f>
        <v>107</v>
      </c>
      <c r="B110" s="181" t="n">
        <f aca="false">TblConstr[[#This Row],[Land]]</f>
        <v>646</v>
      </c>
      <c r="C110" s="245"/>
      <c r="D110" s="246" t="n">
        <f aca="false">TblConstr[[#This Row],[Plain]]</f>
        <v>-81</v>
      </c>
      <c r="E110" s="193" t="n">
        <f aca="false">TblConstr[[#This Row],[Forest]]</f>
        <v>2</v>
      </c>
      <c r="F110" s="200" t="n">
        <f aca="false">TblConstr[[#This Row],[Mountain]]</f>
        <v>3</v>
      </c>
      <c r="G110" s="201" t="n">
        <f aca="false">TblConstr[[#This Row],[Hill]]</f>
        <v>4</v>
      </c>
      <c r="H110" s="202" t="n">
        <f aca="false">TblConstr[[#This Row],[Swamp]]</f>
        <v>5</v>
      </c>
      <c r="I110" s="197" t="n">
        <f aca="false">TblConstr[[#This Row],[Cavern]]</f>
        <v>6</v>
      </c>
      <c r="J110" s="198" t="n">
        <f aca="false">TblConstr[[#This Row],[Water]]</f>
        <v>7</v>
      </c>
      <c r="K110" s="4"/>
      <c r="L110" s="4"/>
      <c r="M110" s="4"/>
      <c r="N110" s="247" t="n">
        <f aca="false">TblMili[[#This Row],[Smithies]]</f>
        <v>0.195046439628483</v>
      </c>
      <c r="O110" s="247" t="n">
        <f aca="false">TblPop[[#This Row],[Employment]]</f>
        <v>1</v>
      </c>
      <c r="P110" s="247" t="n">
        <f aca="false">TblImps[[#This Row],[Population]]</f>
        <v>1</v>
      </c>
      <c r="Q110" s="181" t="n">
        <f aca="false">TblExplore[[#This Row],[Land]]</f>
        <v>646</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2490</v>
      </c>
      <c r="AC110" s="69" t="n">
        <f aca="false">TblProd[[#This Row],[Platinum]]</f>
        <v>4985505</v>
      </c>
      <c r="AD110" s="245"/>
      <c r="AE110" s="151" t="n">
        <f aca="false">TblExplore[[#This Row],[Land]]-TblExplore[[#This Row],[Land Bonus]]*20</f>
        <v>646</v>
      </c>
      <c r="AF110" s="69" t="n">
        <f aca="false">ROUND(MAX(0.6*TblExplore[[#This Row],[Land-DB]]^1.299,850)*(1+ tech_2_6*Techs!AC110 + tech_2_9*Techs!AF110 + tech_3_7*Techs!AN110 + Overview!$I$32),0)</f>
        <v>2683</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355</v>
      </c>
    </row>
    <row r="111" customFormat="false" ht="12.75" hidden="false" customHeight="false" outlineLevel="0" collapsed="false">
      <c r="A111" s="170" t="n">
        <f aca="false">TblRezone[[#This Row],[Hour]]</f>
        <v>108</v>
      </c>
      <c r="B111" s="181" t="n">
        <f aca="false">TblConstr[[#This Row],[Land]]</f>
        <v>646</v>
      </c>
      <c r="C111" s="245"/>
      <c r="D111" s="246" t="n">
        <f aca="false">TblConstr[[#This Row],[Plain]]</f>
        <v>-81</v>
      </c>
      <c r="E111" s="193" t="n">
        <f aca="false">TblConstr[[#This Row],[Forest]]</f>
        <v>2</v>
      </c>
      <c r="F111" s="200" t="n">
        <f aca="false">TblConstr[[#This Row],[Mountain]]</f>
        <v>3</v>
      </c>
      <c r="G111" s="201" t="n">
        <f aca="false">TblConstr[[#This Row],[Hill]]</f>
        <v>4</v>
      </c>
      <c r="H111" s="202" t="n">
        <f aca="false">TblConstr[[#This Row],[Swamp]]</f>
        <v>5</v>
      </c>
      <c r="I111" s="197" t="n">
        <f aca="false">TblConstr[[#This Row],[Cavern]]</f>
        <v>6</v>
      </c>
      <c r="J111" s="198" t="n">
        <f aca="false">TblConstr[[#This Row],[Water]]</f>
        <v>7</v>
      </c>
      <c r="K111" s="4"/>
      <c r="L111" s="4"/>
      <c r="M111" s="4"/>
      <c r="N111" s="247" t="n">
        <f aca="false">TblMili[[#This Row],[Smithies]]</f>
        <v>0.195046439628483</v>
      </c>
      <c r="O111" s="247" t="n">
        <f aca="false">TblPop[[#This Row],[Employment]]</f>
        <v>1</v>
      </c>
      <c r="P111" s="247" t="n">
        <f aca="false">TblImps[[#This Row],[Population]]</f>
        <v>1</v>
      </c>
      <c r="Q111" s="181" t="n">
        <f aca="false">TblExplore[[#This Row],[Land]]</f>
        <v>646</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2559</v>
      </c>
      <c r="AC111" s="69" t="n">
        <f aca="false">TblProd[[#This Row],[Platinum]]</f>
        <v>5088897</v>
      </c>
      <c r="AD111" s="245"/>
      <c r="AE111" s="151" t="n">
        <f aca="false">TblExplore[[#This Row],[Land]]-TblExplore[[#This Row],[Land Bonus]]*20</f>
        <v>646</v>
      </c>
      <c r="AF111" s="69" t="n">
        <f aca="false">ROUND(MAX(0.6*TblExplore[[#This Row],[Land-DB]]^1.299,850)*(1+ tech_2_6*Techs!AC111 + tech_2_9*Techs!AF111 + tech_3_7*Techs!AN111 + Overview!$I$32),0)</f>
        <v>2683</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365</v>
      </c>
    </row>
    <row r="112" customFormat="false" ht="12.75" hidden="false" customHeight="true" outlineLevel="0" collapsed="false">
      <c r="A112" s="170" t="n">
        <f aca="false">TblRezone[[#This Row],[Hour]]</f>
        <v>109</v>
      </c>
      <c r="B112" s="181" t="n">
        <f aca="false">TblConstr[[#This Row],[Land]]</f>
        <v>646</v>
      </c>
      <c r="C112" s="245"/>
      <c r="D112" s="246" t="n">
        <f aca="false">TblConstr[[#This Row],[Plain]]</f>
        <v>-81</v>
      </c>
      <c r="E112" s="193" t="n">
        <f aca="false">TblConstr[[#This Row],[Forest]]</f>
        <v>2</v>
      </c>
      <c r="F112" s="200" t="n">
        <f aca="false">TblConstr[[#This Row],[Mountain]]</f>
        <v>3</v>
      </c>
      <c r="G112" s="201" t="n">
        <f aca="false">TblConstr[[#This Row],[Hill]]</f>
        <v>4</v>
      </c>
      <c r="H112" s="202" t="n">
        <f aca="false">TblConstr[[#This Row],[Swamp]]</f>
        <v>5</v>
      </c>
      <c r="I112" s="197" t="n">
        <f aca="false">TblConstr[[#This Row],[Cavern]]</f>
        <v>6</v>
      </c>
      <c r="J112" s="198" t="n">
        <f aca="false">TblConstr[[#This Row],[Water]]</f>
        <v>7</v>
      </c>
      <c r="K112" s="4"/>
      <c r="L112" s="4"/>
      <c r="M112" s="4"/>
      <c r="N112" s="247" t="n">
        <f aca="false">TblMili[[#This Row],[Smithies]]</f>
        <v>0.195046439628483</v>
      </c>
      <c r="O112" s="247" t="n">
        <f aca="false">TblPop[[#This Row],[Employment]]</f>
        <v>1</v>
      </c>
      <c r="P112" s="247" t="n">
        <f aca="false">TblImps[[#This Row],[Population]]</f>
        <v>1</v>
      </c>
      <c r="Q112" s="181" t="n">
        <f aca="false">TblExplore[[#This Row],[Land]]</f>
        <v>646</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2627</v>
      </c>
      <c r="AC112" s="69" t="n">
        <f aca="false">TblProd[[#This Row],[Platinum]]</f>
        <v>5192084</v>
      </c>
      <c r="AD112" s="245"/>
      <c r="AE112" s="151" t="n">
        <f aca="false">TblExplore[[#This Row],[Land]]-TblExplore[[#This Row],[Land Bonus]]*20</f>
        <v>646</v>
      </c>
      <c r="AF112" s="69" t="n">
        <f aca="false">ROUND(MAX(0.6*TblExplore[[#This Row],[Land-DB]]^1.299,850)*(1+ tech_2_6*Techs!AC112 + tech_2_9*Techs!AF112 + tech_3_7*Techs!AN112 + Overview!$I$32),0)</f>
        <v>2683</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375</v>
      </c>
    </row>
    <row r="113" customFormat="false" ht="12.75" hidden="false" customHeight="false" outlineLevel="0" collapsed="false">
      <c r="A113" s="170" t="n">
        <f aca="false">TblRezone[[#This Row],[Hour]]</f>
        <v>110</v>
      </c>
      <c r="B113" s="181" t="n">
        <f aca="false">TblConstr[[#This Row],[Land]]</f>
        <v>646</v>
      </c>
      <c r="C113" s="245"/>
      <c r="D113" s="246" t="n">
        <f aca="false">TblConstr[[#This Row],[Plain]]</f>
        <v>-81</v>
      </c>
      <c r="E113" s="193" t="n">
        <f aca="false">TblConstr[[#This Row],[Forest]]</f>
        <v>2</v>
      </c>
      <c r="F113" s="200" t="n">
        <f aca="false">TblConstr[[#This Row],[Mountain]]</f>
        <v>3</v>
      </c>
      <c r="G113" s="201" t="n">
        <f aca="false">TblConstr[[#This Row],[Hill]]</f>
        <v>4</v>
      </c>
      <c r="H113" s="202" t="n">
        <f aca="false">TblConstr[[#This Row],[Swamp]]</f>
        <v>5</v>
      </c>
      <c r="I113" s="197" t="n">
        <f aca="false">TblConstr[[#This Row],[Cavern]]</f>
        <v>6</v>
      </c>
      <c r="J113" s="198" t="n">
        <f aca="false">TblConstr[[#This Row],[Water]]</f>
        <v>7</v>
      </c>
      <c r="K113" s="4"/>
      <c r="L113" s="4"/>
      <c r="M113" s="4"/>
      <c r="N113" s="247" t="n">
        <f aca="false">TblMili[[#This Row],[Smithies]]</f>
        <v>0.195046439628483</v>
      </c>
      <c r="O113" s="247" t="n">
        <f aca="false">TblPop[[#This Row],[Employment]]</f>
        <v>1</v>
      </c>
      <c r="P113" s="247" t="n">
        <f aca="false">TblImps[[#This Row],[Population]]</f>
        <v>1</v>
      </c>
      <c r="Q113" s="181" t="n">
        <f aca="false">TblExplore[[#This Row],[Land]]</f>
        <v>646</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2695</v>
      </c>
      <c r="AC113" s="69" t="n">
        <f aca="false">TblProd[[#This Row],[Platinum]]</f>
        <v>5288072</v>
      </c>
      <c r="AD113" s="245"/>
      <c r="AE113" s="151" t="n">
        <f aca="false">TblExplore[[#This Row],[Land]]-TblExplore[[#This Row],[Land Bonus]]*20</f>
        <v>646</v>
      </c>
      <c r="AF113" s="69" t="n">
        <f aca="false">ROUND(MAX(0.6*TblExplore[[#This Row],[Land-DB]]^1.299,850)*(1+ tech_2_6*Techs!AC113 + tech_2_9*Techs!AF113 + tech_3_7*Techs!AN113 + Overview!$I$32),0)</f>
        <v>2683</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385</v>
      </c>
    </row>
    <row r="114" customFormat="false" ht="12.75" hidden="false" customHeight="false" outlineLevel="0" collapsed="false">
      <c r="A114" s="170" t="n">
        <f aca="false">TblRezone[[#This Row],[Hour]]</f>
        <v>111</v>
      </c>
      <c r="B114" s="181" t="n">
        <f aca="false">TblConstr[[#This Row],[Land]]</f>
        <v>646</v>
      </c>
      <c r="C114" s="245"/>
      <c r="D114" s="246" t="n">
        <f aca="false">TblConstr[[#This Row],[Plain]]</f>
        <v>-81</v>
      </c>
      <c r="E114" s="193" t="n">
        <f aca="false">TblConstr[[#This Row],[Forest]]</f>
        <v>2</v>
      </c>
      <c r="F114" s="200" t="n">
        <f aca="false">TblConstr[[#This Row],[Mountain]]</f>
        <v>3</v>
      </c>
      <c r="G114" s="201" t="n">
        <f aca="false">TblConstr[[#This Row],[Hill]]</f>
        <v>4</v>
      </c>
      <c r="H114" s="202" t="n">
        <f aca="false">TblConstr[[#This Row],[Swamp]]</f>
        <v>5</v>
      </c>
      <c r="I114" s="197" t="n">
        <f aca="false">TblConstr[[#This Row],[Cavern]]</f>
        <v>6</v>
      </c>
      <c r="J114" s="198" t="n">
        <f aca="false">TblConstr[[#This Row],[Water]]</f>
        <v>7</v>
      </c>
      <c r="K114" s="4"/>
      <c r="L114" s="4"/>
      <c r="M114" s="4"/>
      <c r="N114" s="247" t="n">
        <f aca="false">TblMili[[#This Row],[Smithies]]</f>
        <v>0.195046439628483</v>
      </c>
      <c r="O114" s="247" t="n">
        <f aca="false">TblPop[[#This Row],[Employment]]</f>
        <v>1</v>
      </c>
      <c r="P114" s="247" t="n">
        <f aca="false">TblImps[[#This Row],[Population]]</f>
        <v>1</v>
      </c>
      <c r="Q114" s="181" t="n">
        <f aca="false">TblExplore[[#This Row],[Land]]</f>
        <v>646</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2762</v>
      </c>
      <c r="AC114" s="69" t="n">
        <f aca="false">TblProd[[#This Row],[Platinum]]</f>
        <v>5383877</v>
      </c>
      <c r="AD114" s="245"/>
      <c r="AE114" s="151" t="n">
        <f aca="false">TblExplore[[#This Row],[Land]]-TblExplore[[#This Row],[Land Bonus]]*20</f>
        <v>646</v>
      </c>
      <c r="AF114" s="69" t="n">
        <f aca="false">ROUND(MAX(0.6*TblExplore[[#This Row],[Land-DB]]^1.299,850)*(1+ tech_2_6*Techs!AC114 + tech_2_9*Techs!AF114 + tech_3_7*Techs!AN114 + Overview!$I$32),0)</f>
        <v>2683</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394</v>
      </c>
    </row>
    <row r="115" customFormat="false" ht="12.75" hidden="false" customHeight="false" outlineLevel="0" collapsed="false">
      <c r="A115" s="170" t="n">
        <f aca="false">TblRezone[[#This Row],[Hour]]</f>
        <v>112</v>
      </c>
      <c r="B115" s="181" t="n">
        <f aca="false">TblConstr[[#This Row],[Land]]</f>
        <v>646</v>
      </c>
      <c r="C115" s="245"/>
      <c r="D115" s="246" t="n">
        <f aca="false">TblConstr[[#This Row],[Plain]]</f>
        <v>-81</v>
      </c>
      <c r="E115" s="193" t="n">
        <f aca="false">TblConstr[[#This Row],[Forest]]</f>
        <v>2</v>
      </c>
      <c r="F115" s="200" t="n">
        <f aca="false">TblConstr[[#This Row],[Mountain]]</f>
        <v>3</v>
      </c>
      <c r="G115" s="201" t="n">
        <f aca="false">TblConstr[[#This Row],[Hill]]</f>
        <v>4</v>
      </c>
      <c r="H115" s="202" t="n">
        <f aca="false">TblConstr[[#This Row],[Swamp]]</f>
        <v>5</v>
      </c>
      <c r="I115" s="197" t="n">
        <f aca="false">TblConstr[[#This Row],[Cavern]]</f>
        <v>6</v>
      </c>
      <c r="J115" s="198" t="n">
        <f aca="false">TblConstr[[#This Row],[Water]]</f>
        <v>7</v>
      </c>
      <c r="K115" s="4"/>
      <c r="L115" s="4"/>
      <c r="M115" s="4"/>
      <c r="N115" s="247" t="n">
        <f aca="false">TblMili[[#This Row],[Smithies]]</f>
        <v>0.195046439628483</v>
      </c>
      <c r="O115" s="247" t="n">
        <f aca="false">TblPop[[#This Row],[Employment]]</f>
        <v>1</v>
      </c>
      <c r="P115" s="247" t="n">
        <f aca="false">TblImps[[#This Row],[Population]]</f>
        <v>1</v>
      </c>
      <c r="Q115" s="181" t="n">
        <f aca="false">TblExplore[[#This Row],[Land]]</f>
        <v>646</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2828</v>
      </c>
      <c r="AC115" s="69" t="n">
        <f aca="false">TblProd[[#This Row],[Platinum]]</f>
        <v>5479501</v>
      </c>
      <c r="AD115" s="245"/>
      <c r="AE115" s="151" t="n">
        <f aca="false">TblExplore[[#This Row],[Land]]-TblExplore[[#This Row],[Land Bonus]]*20</f>
        <v>646</v>
      </c>
      <c r="AF115" s="69" t="n">
        <f aca="false">ROUND(MAX(0.6*TblExplore[[#This Row],[Land-DB]]^1.299,850)*(1+ tech_2_6*Techs!AC115 + tech_2_9*Techs!AF115 + tech_3_7*Techs!AN115 + Overview!$I$32),0)</f>
        <v>2683</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404</v>
      </c>
    </row>
    <row r="116" customFormat="false" ht="12.75" hidden="false" customHeight="false" outlineLevel="0" collapsed="false">
      <c r="A116" s="170" t="n">
        <f aca="false">TblRezone[[#This Row],[Hour]]</f>
        <v>113</v>
      </c>
      <c r="B116" s="181" t="n">
        <f aca="false">TblConstr[[#This Row],[Land]]</f>
        <v>646</v>
      </c>
      <c r="C116" s="245"/>
      <c r="D116" s="246" t="n">
        <f aca="false">TblConstr[[#This Row],[Plain]]</f>
        <v>-81</v>
      </c>
      <c r="E116" s="193" t="n">
        <f aca="false">TblConstr[[#This Row],[Forest]]</f>
        <v>2</v>
      </c>
      <c r="F116" s="200" t="n">
        <f aca="false">TblConstr[[#This Row],[Mountain]]</f>
        <v>3</v>
      </c>
      <c r="G116" s="201" t="n">
        <f aca="false">TblConstr[[#This Row],[Hill]]</f>
        <v>4</v>
      </c>
      <c r="H116" s="202" t="n">
        <f aca="false">TblConstr[[#This Row],[Swamp]]</f>
        <v>5</v>
      </c>
      <c r="I116" s="197" t="n">
        <f aca="false">TblConstr[[#This Row],[Cavern]]</f>
        <v>6</v>
      </c>
      <c r="J116" s="198" t="n">
        <f aca="false">TblConstr[[#This Row],[Water]]</f>
        <v>7</v>
      </c>
      <c r="K116" s="4"/>
      <c r="L116" s="4"/>
      <c r="M116" s="4"/>
      <c r="N116" s="247" t="n">
        <f aca="false">TblMili[[#This Row],[Smithies]]</f>
        <v>0.195046439628483</v>
      </c>
      <c r="O116" s="247" t="n">
        <f aca="false">TblPop[[#This Row],[Employment]]</f>
        <v>1</v>
      </c>
      <c r="P116" s="247" t="n">
        <f aca="false">TblImps[[#This Row],[Population]]</f>
        <v>1</v>
      </c>
      <c r="Q116" s="181" t="n">
        <f aca="false">TblExplore[[#This Row],[Land]]</f>
        <v>646</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2894</v>
      </c>
      <c r="AC116" s="69" t="n">
        <f aca="false">TblProd[[#This Row],[Platinum]]</f>
        <v>5574946</v>
      </c>
      <c r="AD116" s="245"/>
      <c r="AE116" s="151" t="n">
        <f aca="false">TblExplore[[#This Row],[Land]]-TblExplore[[#This Row],[Land Bonus]]*20</f>
        <v>646</v>
      </c>
      <c r="AF116" s="69" t="n">
        <f aca="false">ROUND(MAX(0.6*TblExplore[[#This Row],[Land-DB]]^1.299,850)*(1+ tech_2_6*Techs!AC116 + tech_2_9*Techs!AF116 + tech_3_7*Techs!AN116 + Overview!$I$32),0)</f>
        <v>2683</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413</v>
      </c>
    </row>
    <row r="117" customFormat="false" ht="12.75" hidden="false" customHeight="false" outlineLevel="0" collapsed="false">
      <c r="A117" s="170" t="n">
        <f aca="false">TblRezone[[#This Row],[Hour]]</f>
        <v>114</v>
      </c>
      <c r="B117" s="181" t="n">
        <f aca="false">TblConstr[[#This Row],[Land]]</f>
        <v>646</v>
      </c>
      <c r="C117" s="245"/>
      <c r="D117" s="246" t="n">
        <f aca="false">TblConstr[[#This Row],[Plain]]</f>
        <v>-81</v>
      </c>
      <c r="E117" s="193" t="n">
        <f aca="false">TblConstr[[#This Row],[Forest]]</f>
        <v>2</v>
      </c>
      <c r="F117" s="200" t="n">
        <f aca="false">TblConstr[[#This Row],[Mountain]]</f>
        <v>3</v>
      </c>
      <c r="G117" s="201" t="n">
        <f aca="false">TblConstr[[#This Row],[Hill]]</f>
        <v>4</v>
      </c>
      <c r="H117" s="202" t="n">
        <f aca="false">TblConstr[[#This Row],[Swamp]]</f>
        <v>5</v>
      </c>
      <c r="I117" s="197" t="n">
        <f aca="false">TblConstr[[#This Row],[Cavern]]</f>
        <v>6</v>
      </c>
      <c r="J117" s="198" t="n">
        <f aca="false">TblConstr[[#This Row],[Water]]</f>
        <v>7</v>
      </c>
      <c r="K117" s="4"/>
      <c r="L117" s="4"/>
      <c r="M117" s="4"/>
      <c r="N117" s="247" t="n">
        <f aca="false">TblMili[[#This Row],[Smithies]]</f>
        <v>0.195046439628483</v>
      </c>
      <c r="O117" s="247" t="n">
        <f aca="false">TblPop[[#This Row],[Employment]]</f>
        <v>1</v>
      </c>
      <c r="P117" s="247" t="n">
        <f aca="false">TblImps[[#This Row],[Population]]</f>
        <v>1</v>
      </c>
      <c r="Q117" s="181" t="n">
        <f aca="false">TblExplore[[#This Row],[Land]]</f>
        <v>646</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2959</v>
      </c>
      <c r="AC117" s="69" t="n">
        <f aca="false">TblProd[[#This Row],[Platinum]]</f>
        <v>5670213</v>
      </c>
      <c r="AD117" s="245"/>
      <c r="AE117" s="151" t="n">
        <f aca="false">TblExplore[[#This Row],[Land]]-TblExplore[[#This Row],[Land Bonus]]*20</f>
        <v>646</v>
      </c>
      <c r="AF117" s="69" t="n">
        <f aca="false">ROUND(MAX(0.6*TblExplore[[#This Row],[Land-DB]]^1.299,850)*(1+ tech_2_6*Techs!AC117 + tech_2_9*Techs!AF117 + tech_3_7*Techs!AN117 + Overview!$I$32),0)</f>
        <v>2683</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422</v>
      </c>
    </row>
    <row r="118" customFormat="false" ht="12.75" hidden="false" customHeight="false" outlineLevel="0" collapsed="false">
      <c r="A118" s="170" t="n">
        <f aca="false">TblRezone[[#This Row],[Hour]]</f>
        <v>115</v>
      </c>
      <c r="B118" s="181" t="n">
        <f aca="false">TblConstr[[#This Row],[Land]]</f>
        <v>646</v>
      </c>
      <c r="C118" s="245"/>
      <c r="D118" s="246" t="n">
        <f aca="false">TblConstr[[#This Row],[Plain]]</f>
        <v>-81</v>
      </c>
      <c r="E118" s="193" t="n">
        <f aca="false">TblConstr[[#This Row],[Forest]]</f>
        <v>2</v>
      </c>
      <c r="F118" s="200" t="n">
        <f aca="false">TblConstr[[#This Row],[Mountain]]</f>
        <v>3</v>
      </c>
      <c r="G118" s="201" t="n">
        <f aca="false">TblConstr[[#This Row],[Hill]]</f>
        <v>4</v>
      </c>
      <c r="H118" s="202" t="n">
        <f aca="false">TblConstr[[#This Row],[Swamp]]</f>
        <v>5</v>
      </c>
      <c r="I118" s="197" t="n">
        <f aca="false">TblConstr[[#This Row],[Cavern]]</f>
        <v>6</v>
      </c>
      <c r="J118" s="198" t="n">
        <f aca="false">TblConstr[[#This Row],[Water]]</f>
        <v>7</v>
      </c>
      <c r="K118" s="4"/>
      <c r="L118" s="4"/>
      <c r="M118" s="4"/>
      <c r="N118" s="247" t="n">
        <f aca="false">TblMili[[#This Row],[Smithies]]</f>
        <v>0.195046439628483</v>
      </c>
      <c r="O118" s="247" t="n">
        <f aca="false">TblPop[[#This Row],[Employment]]</f>
        <v>1</v>
      </c>
      <c r="P118" s="247" t="n">
        <f aca="false">TblImps[[#This Row],[Population]]</f>
        <v>1</v>
      </c>
      <c r="Q118" s="181" t="n">
        <f aca="false">TblExplore[[#This Row],[Land]]</f>
        <v>646</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3023</v>
      </c>
      <c r="AC118" s="69" t="n">
        <f aca="false">TblProd[[#This Row],[Platinum]]</f>
        <v>5765305</v>
      </c>
      <c r="AD118" s="245"/>
      <c r="AE118" s="151" t="n">
        <f aca="false">TblExplore[[#This Row],[Land]]-TblExplore[[#This Row],[Land Bonus]]*20</f>
        <v>646</v>
      </c>
      <c r="AF118" s="69" t="n">
        <f aca="false">ROUND(MAX(0.6*TblExplore[[#This Row],[Land-DB]]^1.299,850)*(1+ tech_2_6*Techs!AC118 + tech_2_9*Techs!AF118 + tech_3_7*Techs!AN118 + Overview!$I$32),0)</f>
        <v>2683</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431</v>
      </c>
    </row>
    <row r="119" customFormat="false" ht="12.75" hidden="false" customHeight="false" outlineLevel="0" collapsed="false">
      <c r="A119" s="170" t="n">
        <f aca="false">TblRezone[[#This Row],[Hour]]</f>
        <v>116</v>
      </c>
      <c r="B119" s="181" t="n">
        <f aca="false">TblConstr[[#This Row],[Land]]</f>
        <v>646</v>
      </c>
      <c r="C119" s="245"/>
      <c r="D119" s="246" t="n">
        <f aca="false">TblConstr[[#This Row],[Plain]]</f>
        <v>-81</v>
      </c>
      <c r="E119" s="193" t="n">
        <f aca="false">TblConstr[[#This Row],[Forest]]</f>
        <v>2</v>
      </c>
      <c r="F119" s="200" t="n">
        <f aca="false">TblConstr[[#This Row],[Mountain]]</f>
        <v>3</v>
      </c>
      <c r="G119" s="201" t="n">
        <f aca="false">TblConstr[[#This Row],[Hill]]</f>
        <v>4</v>
      </c>
      <c r="H119" s="202" t="n">
        <f aca="false">TblConstr[[#This Row],[Swamp]]</f>
        <v>5</v>
      </c>
      <c r="I119" s="197" t="n">
        <f aca="false">TblConstr[[#This Row],[Cavern]]</f>
        <v>6</v>
      </c>
      <c r="J119" s="198" t="n">
        <f aca="false">TblConstr[[#This Row],[Water]]</f>
        <v>7</v>
      </c>
      <c r="K119" s="4"/>
      <c r="L119" s="4"/>
      <c r="M119" s="4"/>
      <c r="N119" s="247" t="n">
        <f aca="false">TblMili[[#This Row],[Smithies]]</f>
        <v>0.195046439628483</v>
      </c>
      <c r="O119" s="247" t="n">
        <f aca="false">TblPop[[#This Row],[Employment]]</f>
        <v>1</v>
      </c>
      <c r="P119" s="247" t="n">
        <f aca="false">TblImps[[#This Row],[Population]]</f>
        <v>1</v>
      </c>
      <c r="Q119" s="181" t="n">
        <f aca="false">TblExplore[[#This Row],[Land]]</f>
        <v>646</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3087</v>
      </c>
      <c r="AC119" s="69" t="n">
        <f aca="false">TblProd[[#This Row],[Platinum]]</f>
        <v>5860224</v>
      </c>
      <c r="AD119" s="245"/>
      <c r="AE119" s="151" t="n">
        <f aca="false">TblExplore[[#This Row],[Land]]-TblExplore[[#This Row],[Land Bonus]]*20</f>
        <v>646</v>
      </c>
      <c r="AF119" s="69" t="n">
        <f aca="false">ROUND(MAX(0.6*TblExplore[[#This Row],[Land-DB]]^1.299,850)*(1+ tech_2_6*Techs!AC119 + tech_2_9*Techs!AF119 + tech_3_7*Techs!AN119 + Overview!$I$32),0)</f>
        <v>2683</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441</v>
      </c>
    </row>
    <row r="120" customFormat="false" ht="12.75" hidden="false" customHeight="false" outlineLevel="0" collapsed="false">
      <c r="A120" s="170" t="n">
        <f aca="false">TblRezone[[#This Row],[Hour]]</f>
        <v>117</v>
      </c>
      <c r="B120" s="181" t="n">
        <f aca="false">TblConstr[[#This Row],[Land]]</f>
        <v>646</v>
      </c>
      <c r="C120" s="245"/>
      <c r="D120" s="246" t="n">
        <f aca="false">TblConstr[[#This Row],[Plain]]</f>
        <v>-81</v>
      </c>
      <c r="E120" s="193" t="n">
        <f aca="false">TblConstr[[#This Row],[Forest]]</f>
        <v>2</v>
      </c>
      <c r="F120" s="200" t="n">
        <f aca="false">TblConstr[[#This Row],[Mountain]]</f>
        <v>3</v>
      </c>
      <c r="G120" s="201" t="n">
        <f aca="false">TblConstr[[#This Row],[Hill]]</f>
        <v>4</v>
      </c>
      <c r="H120" s="202" t="n">
        <f aca="false">TblConstr[[#This Row],[Swamp]]</f>
        <v>5</v>
      </c>
      <c r="I120" s="197" t="n">
        <f aca="false">TblConstr[[#This Row],[Cavern]]</f>
        <v>6</v>
      </c>
      <c r="J120" s="198" t="n">
        <f aca="false">TblConstr[[#This Row],[Water]]</f>
        <v>7</v>
      </c>
      <c r="K120" s="4"/>
      <c r="L120" s="4"/>
      <c r="M120" s="4"/>
      <c r="N120" s="247" t="n">
        <f aca="false">TblMili[[#This Row],[Smithies]]</f>
        <v>0.195046439628483</v>
      </c>
      <c r="O120" s="247" t="n">
        <f aca="false">TblPop[[#This Row],[Employment]]</f>
        <v>1</v>
      </c>
      <c r="P120" s="247" t="n">
        <f aca="false">TblImps[[#This Row],[Population]]</f>
        <v>1</v>
      </c>
      <c r="Q120" s="181" t="n">
        <f aca="false">TblExplore[[#This Row],[Land]]</f>
        <v>646</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3150</v>
      </c>
      <c r="AC120" s="69" t="n">
        <f aca="false">TblProd[[#This Row],[Platinum]]</f>
        <v>5954970</v>
      </c>
      <c r="AD120" s="245"/>
      <c r="AE120" s="151" t="n">
        <f aca="false">TblExplore[[#This Row],[Land]]-TblExplore[[#This Row],[Land Bonus]]*20</f>
        <v>646</v>
      </c>
      <c r="AF120" s="69" t="n">
        <f aca="false">ROUND(MAX(0.6*TblExplore[[#This Row],[Land-DB]]^1.299,850)*(1+ tech_2_6*Techs!AC120 + tech_2_9*Techs!AF120 + tech_3_7*Techs!AN120 + Overview!$I$32),0)</f>
        <v>2683</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450</v>
      </c>
    </row>
    <row r="121" customFormat="false" ht="12.75" hidden="false" customHeight="false" outlineLevel="0" collapsed="false">
      <c r="A121" s="170" t="n">
        <f aca="false">TblRezone[[#This Row],[Hour]]</f>
        <v>118</v>
      </c>
      <c r="B121" s="181" t="n">
        <f aca="false">TblConstr[[#This Row],[Land]]</f>
        <v>646</v>
      </c>
      <c r="C121" s="245"/>
      <c r="D121" s="246" t="n">
        <f aca="false">TblConstr[[#This Row],[Plain]]</f>
        <v>-81</v>
      </c>
      <c r="E121" s="193" t="n">
        <f aca="false">TblConstr[[#This Row],[Forest]]</f>
        <v>2</v>
      </c>
      <c r="F121" s="200" t="n">
        <f aca="false">TblConstr[[#This Row],[Mountain]]</f>
        <v>3</v>
      </c>
      <c r="G121" s="201" t="n">
        <f aca="false">TblConstr[[#This Row],[Hill]]</f>
        <v>4</v>
      </c>
      <c r="H121" s="202" t="n">
        <f aca="false">TblConstr[[#This Row],[Swamp]]</f>
        <v>5</v>
      </c>
      <c r="I121" s="197" t="n">
        <f aca="false">TblConstr[[#This Row],[Cavern]]</f>
        <v>6</v>
      </c>
      <c r="J121" s="198" t="n">
        <f aca="false">TblConstr[[#This Row],[Water]]</f>
        <v>7</v>
      </c>
      <c r="K121" s="4"/>
      <c r="L121" s="4"/>
      <c r="M121" s="4"/>
      <c r="N121" s="247" t="n">
        <f aca="false">TblMili[[#This Row],[Smithies]]</f>
        <v>0.195046439628483</v>
      </c>
      <c r="O121" s="247" t="n">
        <f aca="false">TblPop[[#This Row],[Employment]]</f>
        <v>1</v>
      </c>
      <c r="P121" s="247" t="n">
        <f aca="false">TblImps[[#This Row],[Population]]</f>
        <v>1</v>
      </c>
      <c r="Q121" s="181" t="n">
        <f aca="false">TblExplore[[#This Row],[Land]]</f>
        <v>646</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3212</v>
      </c>
      <c r="AC121" s="69" t="n">
        <f aca="false">TblProd[[#This Row],[Platinum]]</f>
        <v>6049546</v>
      </c>
      <c r="AD121" s="245"/>
      <c r="AE121" s="151" t="n">
        <f aca="false">TblExplore[[#This Row],[Land]]-TblExplore[[#This Row],[Land Bonus]]*20</f>
        <v>646</v>
      </c>
      <c r="AF121" s="69" t="n">
        <f aca="false">ROUND(MAX(0.6*TblExplore[[#This Row],[Land-DB]]^1.299,850)*(1+ tech_2_6*Techs!AC121 + tech_2_9*Techs!AF121 + tech_3_7*Techs!AN121 + Overview!$I$32),0)</f>
        <v>2683</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458</v>
      </c>
    </row>
    <row r="122" customFormat="false" ht="12.75" hidden="false" customHeight="false" outlineLevel="0" collapsed="false">
      <c r="A122" s="170" t="n">
        <f aca="false">TblRezone[[#This Row],[Hour]]</f>
        <v>119</v>
      </c>
      <c r="B122" s="181" t="n">
        <f aca="false">TblConstr[[#This Row],[Land]]</f>
        <v>646</v>
      </c>
      <c r="C122" s="245"/>
      <c r="D122" s="246" t="n">
        <f aca="false">TblConstr[[#This Row],[Plain]]</f>
        <v>-81</v>
      </c>
      <c r="E122" s="193" t="n">
        <f aca="false">TblConstr[[#This Row],[Forest]]</f>
        <v>2</v>
      </c>
      <c r="F122" s="200" t="n">
        <f aca="false">TblConstr[[#This Row],[Mountain]]</f>
        <v>3</v>
      </c>
      <c r="G122" s="201" t="n">
        <f aca="false">TblConstr[[#This Row],[Hill]]</f>
        <v>4</v>
      </c>
      <c r="H122" s="202" t="n">
        <f aca="false">TblConstr[[#This Row],[Swamp]]</f>
        <v>5</v>
      </c>
      <c r="I122" s="197" t="n">
        <f aca="false">TblConstr[[#This Row],[Cavern]]</f>
        <v>6</v>
      </c>
      <c r="J122" s="198" t="n">
        <f aca="false">TblConstr[[#This Row],[Water]]</f>
        <v>7</v>
      </c>
      <c r="K122" s="4"/>
      <c r="L122" s="4"/>
      <c r="M122" s="4"/>
      <c r="N122" s="247" t="n">
        <f aca="false">TblMili[[#This Row],[Smithies]]</f>
        <v>0.195046439628483</v>
      </c>
      <c r="O122" s="247" t="n">
        <f aca="false">TblPop[[#This Row],[Employment]]</f>
        <v>1</v>
      </c>
      <c r="P122" s="247" t="n">
        <f aca="false">TblImps[[#This Row],[Population]]</f>
        <v>1</v>
      </c>
      <c r="Q122" s="181" t="n">
        <f aca="false">TblExplore[[#This Row],[Land]]</f>
        <v>646</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3274</v>
      </c>
      <c r="AC122" s="69" t="n">
        <f aca="false">TblProd[[#This Row],[Platinum]]</f>
        <v>6143955</v>
      </c>
      <c r="AD122" s="245"/>
      <c r="AE122" s="151" t="n">
        <f aca="false">TblExplore[[#This Row],[Land]]-TblExplore[[#This Row],[Land Bonus]]*20</f>
        <v>646</v>
      </c>
      <c r="AF122" s="69" t="n">
        <f aca="false">ROUND(MAX(0.6*TblExplore[[#This Row],[Land-DB]]^1.299,850)*(1+ tech_2_6*Techs!AC122 + tech_2_9*Techs!AF122 + tech_3_7*Techs!AN122 + Overview!$I$32),0)</f>
        <v>2683</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467</v>
      </c>
    </row>
    <row r="123" customFormat="false" ht="12.75" hidden="false" customHeight="false" outlineLevel="0" collapsed="false">
      <c r="A123" s="170" t="n">
        <f aca="false">TblRezone[[#This Row],[Hour]]</f>
        <v>120</v>
      </c>
      <c r="B123" s="181" t="n">
        <f aca="false">TblConstr[[#This Row],[Land]]</f>
        <v>646</v>
      </c>
      <c r="C123" s="245"/>
      <c r="D123" s="246" t="n">
        <f aca="false">TblConstr[[#This Row],[Plain]]</f>
        <v>-81</v>
      </c>
      <c r="E123" s="193" t="n">
        <f aca="false">TblConstr[[#This Row],[Forest]]</f>
        <v>2</v>
      </c>
      <c r="F123" s="200" t="n">
        <f aca="false">TblConstr[[#This Row],[Mountain]]</f>
        <v>3</v>
      </c>
      <c r="G123" s="201" t="n">
        <f aca="false">TblConstr[[#This Row],[Hill]]</f>
        <v>4</v>
      </c>
      <c r="H123" s="202" t="n">
        <f aca="false">TblConstr[[#This Row],[Swamp]]</f>
        <v>5</v>
      </c>
      <c r="I123" s="197" t="n">
        <f aca="false">TblConstr[[#This Row],[Cavern]]</f>
        <v>6</v>
      </c>
      <c r="J123" s="198" t="n">
        <f aca="false">TblConstr[[#This Row],[Water]]</f>
        <v>7</v>
      </c>
      <c r="K123" s="4"/>
      <c r="L123" s="4"/>
      <c r="M123" s="4"/>
      <c r="N123" s="247" t="n">
        <f aca="false">TblMili[[#This Row],[Smithies]]</f>
        <v>0.195046439628483</v>
      </c>
      <c r="O123" s="247" t="n">
        <f aca="false">TblPop[[#This Row],[Employment]]</f>
        <v>1</v>
      </c>
      <c r="P123" s="247" t="n">
        <f aca="false">TblImps[[#This Row],[Population]]</f>
        <v>1</v>
      </c>
      <c r="Q123" s="181" t="n">
        <f aca="false">TblExplore[[#This Row],[Land]]</f>
        <v>646</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3335</v>
      </c>
      <c r="AC123" s="69" t="n">
        <f aca="false">TblProd[[#This Row],[Platinum]]</f>
        <v>6238196</v>
      </c>
      <c r="AD123" s="245"/>
      <c r="AE123" s="151" t="n">
        <f aca="false">TblExplore[[#This Row],[Land]]-TblExplore[[#This Row],[Land Bonus]]*20</f>
        <v>646</v>
      </c>
      <c r="AF123" s="69" t="n">
        <f aca="false">ROUND(MAX(0.6*TblExplore[[#This Row],[Land-DB]]^1.299,850)*(1+ tech_2_6*Techs!AC123 + tech_2_9*Techs!AF123 + tech_3_7*Techs!AN123 + Overview!$I$32),0)</f>
        <v>2683</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476</v>
      </c>
    </row>
    <row r="124" customFormat="false" ht="12.75" hidden="false" customHeight="false" outlineLevel="0" collapsed="false">
      <c r="A124" s="170" t="n">
        <f aca="false">TblRezone[[#This Row],[Hour]]</f>
        <v>121</v>
      </c>
      <c r="B124" s="181" t="n">
        <f aca="false">TblConstr[[#This Row],[Land]]</f>
        <v>646</v>
      </c>
      <c r="C124" s="245"/>
      <c r="D124" s="246" t="n">
        <f aca="false">TblConstr[[#This Row],[Plain]]</f>
        <v>-81</v>
      </c>
      <c r="E124" s="193" t="n">
        <f aca="false">TblConstr[[#This Row],[Forest]]</f>
        <v>2</v>
      </c>
      <c r="F124" s="200" t="n">
        <f aca="false">TblConstr[[#This Row],[Mountain]]</f>
        <v>3</v>
      </c>
      <c r="G124" s="201" t="n">
        <f aca="false">TblConstr[[#This Row],[Hill]]</f>
        <v>4</v>
      </c>
      <c r="H124" s="202" t="n">
        <f aca="false">TblConstr[[#This Row],[Swamp]]</f>
        <v>5</v>
      </c>
      <c r="I124" s="197" t="n">
        <f aca="false">TblConstr[[#This Row],[Cavern]]</f>
        <v>6</v>
      </c>
      <c r="J124" s="198" t="n">
        <f aca="false">TblConstr[[#This Row],[Water]]</f>
        <v>7</v>
      </c>
      <c r="K124" s="4"/>
      <c r="L124" s="259" t="s">
        <v>370</v>
      </c>
      <c r="M124" s="258" t="s">
        <v>369</v>
      </c>
      <c r="N124" s="247" t="n">
        <f aca="false">TblMili[[#This Row],[Smithies]]</f>
        <v>0.195046439628483</v>
      </c>
      <c r="O124" s="247" t="n">
        <f aca="false">TblPop[[#This Row],[Employment]]</f>
        <v>1</v>
      </c>
      <c r="P124" s="247" t="n">
        <f aca="false">TblImps[[#This Row],[Population]]</f>
        <v>1</v>
      </c>
      <c r="Q124" s="181" t="n">
        <f aca="false">TblExplore[[#This Row],[Land]]</f>
        <v>646</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3396</v>
      </c>
      <c r="AC124" s="69" t="n">
        <f aca="false">TblProd[[#This Row],[Platinum]]</f>
        <v>6332273</v>
      </c>
      <c r="AD124" s="245"/>
      <c r="AE124" s="151" t="n">
        <f aca="false">TblExplore[[#This Row],[Land]]-TblExplore[[#This Row],[Land Bonus]]*20</f>
        <v>646</v>
      </c>
      <c r="AF124" s="69" t="n">
        <f aca="false">ROUND(MAX(0.6*TblExplore[[#This Row],[Land-DB]]^1.299,850)*(1+ tech_2_6*Techs!AC124 + tech_2_9*Techs!AF124 + tech_3_7*Techs!AN124 + Overview!$I$32),0)</f>
        <v>2683</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485</v>
      </c>
    </row>
    <row r="125" customFormat="false" ht="12.75" hidden="false" customHeight="false" outlineLevel="0" collapsed="false">
      <c r="A125" s="170" t="n">
        <f aca="false">TblRezone[[#This Row],[Hour]]</f>
        <v>122</v>
      </c>
      <c r="B125" s="181" t="n">
        <f aca="false">TblConstr[[#This Row],[Land]]</f>
        <v>646</v>
      </c>
      <c r="C125" s="245"/>
      <c r="D125" s="246" t="n">
        <f aca="false">TblConstr[[#This Row],[Plain]]</f>
        <v>-81</v>
      </c>
      <c r="E125" s="193" t="n">
        <f aca="false">TblConstr[[#This Row],[Forest]]</f>
        <v>2</v>
      </c>
      <c r="F125" s="200" t="n">
        <f aca="false">TblConstr[[#This Row],[Mountain]]</f>
        <v>3</v>
      </c>
      <c r="G125" s="201" t="n">
        <f aca="false">TblConstr[[#This Row],[Hill]]</f>
        <v>4</v>
      </c>
      <c r="H125" s="202" t="n">
        <f aca="false">TblConstr[[#This Row],[Swamp]]</f>
        <v>5</v>
      </c>
      <c r="I125" s="197" t="n">
        <f aca="false">TblConstr[[#This Row],[Cavern]]</f>
        <v>6</v>
      </c>
      <c r="J125" s="198" t="n">
        <f aca="false">TblConstr[[#This Row],[Water]]</f>
        <v>7</v>
      </c>
      <c r="K125" s="4"/>
      <c r="L125" s="259"/>
      <c r="M125" s="258"/>
      <c r="N125" s="247" t="n">
        <f aca="false">TblMili[[#This Row],[Smithies]]</f>
        <v>0.195046439628483</v>
      </c>
      <c r="O125" s="247" t="n">
        <f aca="false">TblPop[[#This Row],[Employment]]</f>
        <v>1</v>
      </c>
      <c r="P125" s="247" t="n">
        <f aca="false">TblImps[[#This Row],[Population]]</f>
        <v>1</v>
      </c>
      <c r="Q125" s="181" t="n">
        <f aca="false">TblExplore[[#This Row],[Land]]</f>
        <v>646</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3456</v>
      </c>
      <c r="AC125" s="69" t="n">
        <f aca="false">TblProd[[#This Row],[Platinum]]</f>
        <v>6426185</v>
      </c>
      <c r="AD125" s="245"/>
      <c r="AE125" s="151" t="n">
        <f aca="false">TblExplore[[#This Row],[Land]]-TblExplore[[#This Row],[Land Bonus]]*20</f>
        <v>646</v>
      </c>
      <c r="AF125" s="69" t="n">
        <f aca="false">ROUND(MAX(0.6*TblExplore[[#This Row],[Land-DB]]^1.299,850)*(1+ tech_2_6*Techs!AC125 + tech_2_9*Techs!AF125 + tech_3_7*Techs!AN125 + Overview!$I$32),0)</f>
        <v>2683</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493</v>
      </c>
    </row>
    <row r="126" customFormat="false" ht="12.75" hidden="false" customHeight="false" outlineLevel="0" collapsed="false">
      <c r="A126" s="170" t="n">
        <f aca="false">TblRezone[[#This Row],[Hour]]</f>
        <v>123</v>
      </c>
      <c r="B126" s="181" t="n">
        <f aca="false">TblConstr[[#This Row],[Land]]</f>
        <v>646</v>
      </c>
      <c r="C126" s="245"/>
      <c r="D126" s="246" t="n">
        <f aca="false">TblConstr[[#This Row],[Plain]]</f>
        <v>-81</v>
      </c>
      <c r="E126" s="193" t="n">
        <f aca="false">TblConstr[[#This Row],[Forest]]</f>
        <v>2</v>
      </c>
      <c r="F126" s="200" t="n">
        <f aca="false">TblConstr[[#This Row],[Mountain]]</f>
        <v>3</v>
      </c>
      <c r="G126" s="201" t="n">
        <f aca="false">TblConstr[[#This Row],[Hill]]</f>
        <v>4</v>
      </c>
      <c r="H126" s="202" t="n">
        <f aca="false">TblConstr[[#This Row],[Swamp]]</f>
        <v>5</v>
      </c>
      <c r="I126" s="197" t="n">
        <f aca="false">TblConstr[[#This Row],[Cavern]]</f>
        <v>6</v>
      </c>
      <c r="J126" s="198" t="n">
        <f aca="false">TblConstr[[#This Row],[Water]]</f>
        <v>7</v>
      </c>
      <c r="K126" s="4"/>
      <c r="L126" s="259"/>
      <c r="M126" s="258"/>
      <c r="N126" s="247" t="n">
        <f aca="false">TblMili[[#This Row],[Smithies]]</f>
        <v>0.195046439628483</v>
      </c>
      <c r="O126" s="247" t="n">
        <f aca="false">TblPop[[#This Row],[Employment]]</f>
        <v>1</v>
      </c>
      <c r="P126" s="247" t="n">
        <f aca="false">TblImps[[#This Row],[Population]]</f>
        <v>1</v>
      </c>
      <c r="Q126" s="181" t="n">
        <f aca="false">TblExplore[[#This Row],[Land]]</f>
        <v>646</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3515</v>
      </c>
      <c r="AC126" s="69" t="n">
        <f aca="false">TblProd[[#This Row],[Platinum]]</f>
        <v>6519935</v>
      </c>
      <c r="AD126" s="245"/>
      <c r="AE126" s="151" t="n">
        <f aca="false">TblExplore[[#This Row],[Land]]-TblExplore[[#This Row],[Land Bonus]]*20</f>
        <v>646</v>
      </c>
      <c r="AF126" s="69" t="n">
        <f aca="false">ROUND(MAX(0.6*TblExplore[[#This Row],[Land-DB]]^1.299,850)*(1+ tech_2_6*Techs!AC126 + tech_2_9*Techs!AF126 + tech_3_7*Techs!AN126 + Overview!$I$32),0)</f>
        <v>2683</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502</v>
      </c>
    </row>
    <row r="127" customFormat="false" ht="12.75" hidden="false" customHeight="false" outlineLevel="0" collapsed="false">
      <c r="A127" s="170" t="n">
        <f aca="false">TblRezone[[#This Row],[Hour]]</f>
        <v>124</v>
      </c>
      <c r="B127" s="181" t="n">
        <f aca="false">TblConstr[[#This Row],[Land]]</f>
        <v>646</v>
      </c>
      <c r="C127" s="245"/>
      <c r="D127" s="246" t="n">
        <f aca="false">TblConstr[[#This Row],[Plain]]</f>
        <v>-81</v>
      </c>
      <c r="E127" s="193" t="n">
        <f aca="false">TblConstr[[#This Row],[Forest]]</f>
        <v>2</v>
      </c>
      <c r="F127" s="200" t="n">
        <f aca="false">TblConstr[[#This Row],[Mountain]]</f>
        <v>3</v>
      </c>
      <c r="G127" s="201" t="n">
        <f aca="false">TblConstr[[#This Row],[Hill]]</f>
        <v>4</v>
      </c>
      <c r="H127" s="202" t="n">
        <f aca="false">TblConstr[[#This Row],[Swamp]]</f>
        <v>5</v>
      </c>
      <c r="I127" s="197" t="n">
        <f aca="false">TblConstr[[#This Row],[Cavern]]</f>
        <v>6</v>
      </c>
      <c r="J127" s="198" t="n">
        <f aca="false">TblConstr[[#This Row],[Water]]</f>
        <v>7</v>
      </c>
      <c r="K127" s="4"/>
      <c r="L127" s="4" t="n">
        <v>4</v>
      </c>
      <c r="M127" s="4" t="n">
        <v>299</v>
      </c>
      <c r="N127" s="247" t="n">
        <f aca="false">TblMili[[#This Row],[Smithies]]</f>
        <v>0.195046439628483</v>
      </c>
      <c r="O127" s="247" t="n">
        <f aca="false">TblPop[[#This Row],[Employment]]</f>
        <v>1</v>
      </c>
      <c r="P127" s="247" t="n">
        <f aca="false">TblImps[[#This Row],[Population]]</f>
        <v>1</v>
      </c>
      <c r="Q127" s="181" t="n">
        <f aca="false">TblExplore[[#This Row],[Land]]</f>
        <v>646</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3574</v>
      </c>
      <c r="AC127" s="69" t="n">
        <f aca="false">TblProd[[#This Row],[Platinum]]</f>
        <v>6613526</v>
      </c>
      <c r="AD127" s="245"/>
      <c r="AE127" s="151" t="n">
        <f aca="false">TblExplore[[#This Row],[Land]]-TblExplore[[#This Row],[Land Bonus]]*20</f>
        <v>646</v>
      </c>
      <c r="AF127" s="69" t="n">
        <f aca="false">ROUND(MAX(0.6*TblExplore[[#This Row],[Land-DB]]^1.299,850)*(1+ tech_2_6*Techs!AC127 + tech_2_9*Techs!AF127 + tech_3_7*Techs!AN127 + Overview!$I$32),0)</f>
        <v>2683</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510</v>
      </c>
    </row>
    <row r="128" customFormat="false" ht="12.75" hidden="false" customHeight="false" outlineLevel="0" collapsed="false">
      <c r="A128" s="170" t="n">
        <f aca="false">TblRezone[[#This Row],[Hour]]</f>
        <v>125</v>
      </c>
      <c r="B128" s="181" t="n">
        <f aca="false">TblConstr[[#This Row],[Land]]</f>
        <v>646</v>
      </c>
      <c r="C128" s="245"/>
      <c r="D128" s="246" t="n">
        <f aca="false">TblConstr[[#This Row],[Plain]]</f>
        <v>-81</v>
      </c>
      <c r="E128" s="193" t="n">
        <f aca="false">TblConstr[[#This Row],[Forest]]</f>
        <v>2</v>
      </c>
      <c r="F128" s="200" t="n">
        <f aca="false">TblConstr[[#This Row],[Mountain]]</f>
        <v>3</v>
      </c>
      <c r="G128" s="201" t="n">
        <f aca="false">TblConstr[[#This Row],[Hill]]</f>
        <v>4</v>
      </c>
      <c r="H128" s="202" t="n">
        <f aca="false">TblConstr[[#This Row],[Swamp]]</f>
        <v>5</v>
      </c>
      <c r="I128" s="197" t="n">
        <f aca="false">TblConstr[[#This Row],[Cavern]]</f>
        <v>6</v>
      </c>
      <c r="J128" s="198" t="n">
        <f aca="false">TblConstr[[#This Row],[Water]]</f>
        <v>7</v>
      </c>
      <c r="K128" s="4"/>
      <c r="L128" s="4" t="n">
        <v>5</v>
      </c>
      <c r="M128" s="4" t="n">
        <v>419</v>
      </c>
      <c r="N128" s="247" t="n">
        <f aca="false">TblMili[[#This Row],[Smithies]]</f>
        <v>0.195046439628483</v>
      </c>
      <c r="O128" s="247" t="n">
        <f aca="false">TblPop[[#This Row],[Employment]]</f>
        <v>1</v>
      </c>
      <c r="P128" s="247" t="n">
        <f aca="false">TblImps[[#This Row],[Population]]</f>
        <v>1</v>
      </c>
      <c r="Q128" s="181" t="n">
        <f aca="false">TblExplore[[#This Row],[Land]]</f>
        <v>646</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3632</v>
      </c>
      <c r="AC128" s="69" t="n">
        <f aca="false">TblProd[[#This Row],[Platinum]]</f>
        <v>6706957</v>
      </c>
      <c r="AD128" s="245"/>
      <c r="AE128" s="151" t="n">
        <f aca="false">TblExplore[[#This Row],[Land]]-TblExplore[[#This Row],[Land Bonus]]*20</f>
        <v>646</v>
      </c>
      <c r="AF128" s="69" t="n">
        <f aca="false">ROUND(MAX(0.6*TblExplore[[#This Row],[Land-DB]]^1.299,850)*(1+ tech_2_6*Techs!AC128 + tech_2_9*Techs!AF128 + tech_3_7*Techs!AN128 + Overview!$I$32),0)</f>
        <v>2683</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518</v>
      </c>
    </row>
    <row r="129" customFormat="false" ht="12.75" hidden="false" customHeight="false" outlineLevel="0" collapsed="false">
      <c r="A129" s="170" t="n">
        <f aca="false">TblRezone[[#This Row],[Hour]]</f>
        <v>126</v>
      </c>
      <c r="B129" s="181" t="n">
        <f aca="false">TblConstr[[#This Row],[Land]]</f>
        <v>646</v>
      </c>
      <c r="C129" s="245"/>
      <c r="D129" s="246" t="n">
        <f aca="false">TblConstr[[#This Row],[Plain]]</f>
        <v>-81</v>
      </c>
      <c r="E129" s="193" t="n">
        <f aca="false">TblConstr[[#This Row],[Forest]]</f>
        <v>2</v>
      </c>
      <c r="F129" s="200" t="n">
        <f aca="false">TblConstr[[#This Row],[Mountain]]</f>
        <v>3</v>
      </c>
      <c r="G129" s="201" t="n">
        <f aca="false">TblConstr[[#This Row],[Hill]]</f>
        <v>4</v>
      </c>
      <c r="H129" s="202" t="n">
        <f aca="false">TblConstr[[#This Row],[Swamp]]</f>
        <v>5</v>
      </c>
      <c r="I129" s="197" t="n">
        <f aca="false">TblConstr[[#This Row],[Cavern]]</f>
        <v>6</v>
      </c>
      <c r="J129" s="198" t="n">
        <f aca="false">TblConstr[[#This Row],[Water]]</f>
        <v>7</v>
      </c>
      <c r="K129" s="4"/>
      <c r="L129" s="4" t="n">
        <v>6</v>
      </c>
      <c r="M129" s="4" t="n">
        <v>632</v>
      </c>
      <c r="N129" s="247" t="n">
        <f aca="false">TblMili[[#This Row],[Smithies]]</f>
        <v>0.195046439628483</v>
      </c>
      <c r="O129" s="247" t="n">
        <f aca="false">TblPop[[#This Row],[Employment]]</f>
        <v>1</v>
      </c>
      <c r="P129" s="247" t="n">
        <f aca="false">TblImps[[#This Row],[Population]]</f>
        <v>1</v>
      </c>
      <c r="Q129" s="181" t="n">
        <f aca="false">TblExplore[[#This Row],[Land]]</f>
        <v>646</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3690</v>
      </c>
      <c r="AC129" s="69" t="n">
        <f aca="false">TblProd[[#This Row],[Platinum]]</f>
        <v>6800232</v>
      </c>
      <c r="AD129" s="245"/>
      <c r="AE129" s="151" t="n">
        <f aca="false">TblExplore[[#This Row],[Land]]-TblExplore[[#This Row],[Land Bonus]]*20</f>
        <v>646</v>
      </c>
      <c r="AF129" s="69" t="n">
        <f aca="false">ROUND(MAX(0.6*TblExplore[[#This Row],[Land-DB]]^1.299,850)*(1+ tech_2_6*Techs!AC129 + tech_2_9*Techs!AF129 + tech_3_7*Techs!AN129 + Overview!$I$32),0)</f>
        <v>2683</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527</v>
      </c>
    </row>
    <row r="130" customFormat="false" ht="12.75" hidden="false" customHeight="false" outlineLevel="0" collapsed="false">
      <c r="A130" s="170" t="n">
        <f aca="false">TblRezone[[#This Row],[Hour]]</f>
        <v>127</v>
      </c>
      <c r="B130" s="181" t="n">
        <f aca="false">TblConstr[[#This Row],[Land]]</f>
        <v>646</v>
      </c>
      <c r="C130" s="245"/>
      <c r="D130" s="246" t="n">
        <f aca="false">TblConstr[[#This Row],[Plain]]</f>
        <v>-81</v>
      </c>
      <c r="E130" s="193" t="n">
        <f aca="false">TblConstr[[#This Row],[Forest]]</f>
        <v>2</v>
      </c>
      <c r="F130" s="200" t="n">
        <f aca="false">TblConstr[[#This Row],[Mountain]]</f>
        <v>3</v>
      </c>
      <c r="G130" s="201" t="n">
        <f aca="false">TblConstr[[#This Row],[Hill]]</f>
        <v>4</v>
      </c>
      <c r="H130" s="202" t="n">
        <f aca="false">TblConstr[[#This Row],[Swamp]]</f>
        <v>5</v>
      </c>
      <c r="I130" s="197" t="n">
        <f aca="false">TblConstr[[#This Row],[Cavern]]</f>
        <v>6</v>
      </c>
      <c r="J130" s="198" t="n">
        <f aca="false">TblConstr[[#This Row],[Water]]</f>
        <v>7</v>
      </c>
      <c r="K130" s="4"/>
      <c r="L130" s="4" t="n">
        <v>7</v>
      </c>
      <c r="M130" s="4" t="n">
        <v>836</v>
      </c>
      <c r="N130" s="247" t="n">
        <f aca="false">TblMili[[#This Row],[Smithies]]</f>
        <v>0.195046439628483</v>
      </c>
      <c r="O130" s="247" t="n">
        <f aca="false">TblPop[[#This Row],[Employment]]</f>
        <v>1</v>
      </c>
      <c r="P130" s="247" t="n">
        <f aca="false">TblImps[[#This Row],[Population]]</f>
        <v>1</v>
      </c>
      <c r="Q130" s="181" t="n">
        <f aca="false">TblExplore[[#This Row],[Land]]</f>
        <v>646</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3747</v>
      </c>
      <c r="AC130" s="69" t="n">
        <f aca="false">TblProd[[#This Row],[Platinum]]</f>
        <v>6893350</v>
      </c>
      <c r="AD130" s="245"/>
      <c r="AE130" s="151" t="n">
        <f aca="false">TblExplore[[#This Row],[Land]]-TblExplore[[#This Row],[Land Bonus]]*20</f>
        <v>646</v>
      </c>
      <c r="AF130" s="69" t="n">
        <f aca="false">ROUND(MAX(0.6*TblExplore[[#This Row],[Land-DB]]^1.299,850)*(1+ tech_2_6*Techs!AC130 + tech_2_9*Techs!AF130 + tech_3_7*Techs!AN130 + Overview!$I$32),0)</f>
        <v>2683</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535</v>
      </c>
    </row>
    <row r="131" customFormat="false" ht="12.75" hidden="false" customHeight="false" outlineLevel="0" collapsed="false">
      <c r="A131" s="170" t="n">
        <f aca="false">TblRezone[[#This Row],[Hour]]</f>
        <v>128</v>
      </c>
      <c r="B131" s="181" t="n">
        <f aca="false">TblConstr[[#This Row],[Land]]</f>
        <v>646</v>
      </c>
      <c r="C131" s="245"/>
      <c r="D131" s="246" t="n">
        <f aca="false">TblConstr[[#This Row],[Plain]]</f>
        <v>-81</v>
      </c>
      <c r="E131" s="193" t="n">
        <f aca="false">TblConstr[[#This Row],[Forest]]</f>
        <v>2</v>
      </c>
      <c r="F131" s="200" t="n">
        <f aca="false">TblConstr[[#This Row],[Mountain]]</f>
        <v>3</v>
      </c>
      <c r="G131" s="201" t="n">
        <f aca="false">TblConstr[[#This Row],[Hill]]</f>
        <v>4</v>
      </c>
      <c r="H131" s="202" t="n">
        <f aca="false">TblConstr[[#This Row],[Swamp]]</f>
        <v>5</v>
      </c>
      <c r="I131" s="197" t="n">
        <f aca="false">TblConstr[[#This Row],[Cavern]]</f>
        <v>6</v>
      </c>
      <c r="J131" s="198" t="n">
        <f aca="false">TblConstr[[#This Row],[Water]]</f>
        <v>7</v>
      </c>
      <c r="K131" s="4"/>
      <c r="L131" s="4" t="n">
        <v>8</v>
      </c>
      <c r="M131" s="4" t="n">
        <v>1035</v>
      </c>
      <c r="N131" s="247" t="n">
        <f aca="false">TblMili[[#This Row],[Smithies]]</f>
        <v>0.195046439628483</v>
      </c>
      <c r="O131" s="247" t="n">
        <f aca="false">TblPop[[#This Row],[Employment]]</f>
        <v>1</v>
      </c>
      <c r="P131" s="247" t="n">
        <f aca="false">TblImps[[#This Row],[Population]]</f>
        <v>1</v>
      </c>
      <c r="Q131" s="181" t="n">
        <f aca="false">TblExplore[[#This Row],[Land]]</f>
        <v>646</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3803</v>
      </c>
      <c r="AC131" s="69" t="n">
        <f aca="false">TblProd[[#This Row],[Platinum]]</f>
        <v>6986314</v>
      </c>
      <c r="AD131" s="245"/>
      <c r="AE131" s="151" t="n">
        <f aca="false">TblExplore[[#This Row],[Land]]-TblExplore[[#This Row],[Land Bonus]]*20</f>
        <v>646</v>
      </c>
      <c r="AF131" s="69" t="n">
        <f aca="false">ROUND(MAX(0.6*TblExplore[[#This Row],[Land-DB]]^1.299,850)*(1+ tech_2_6*Techs!AC131 + tech_2_9*Techs!AF131 + tech_3_7*Techs!AN131 + Overview!$I$32),0)</f>
        <v>2683</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543</v>
      </c>
    </row>
    <row r="132" customFormat="false" ht="12.75" hidden="false" customHeight="false" outlineLevel="0" collapsed="false">
      <c r="A132" s="170" t="n">
        <f aca="false">TblRezone[[#This Row],[Hour]]</f>
        <v>129</v>
      </c>
      <c r="B132" s="181" t="n">
        <f aca="false">TblConstr[[#This Row],[Land]]</f>
        <v>646</v>
      </c>
      <c r="C132" s="245"/>
      <c r="D132" s="246" t="n">
        <f aca="false">TblConstr[[#This Row],[Plain]]</f>
        <v>-81</v>
      </c>
      <c r="E132" s="193" t="n">
        <f aca="false">TblConstr[[#This Row],[Forest]]</f>
        <v>2</v>
      </c>
      <c r="F132" s="200" t="n">
        <f aca="false">TblConstr[[#This Row],[Mountain]]</f>
        <v>3</v>
      </c>
      <c r="G132" s="201" t="n">
        <f aca="false">TblConstr[[#This Row],[Hill]]</f>
        <v>4</v>
      </c>
      <c r="H132" s="202" t="n">
        <f aca="false">TblConstr[[#This Row],[Swamp]]</f>
        <v>5</v>
      </c>
      <c r="I132" s="197" t="n">
        <f aca="false">TblConstr[[#This Row],[Cavern]]</f>
        <v>6</v>
      </c>
      <c r="J132" s="198" t="n">
        <f aca="false">TblConstr[[#This Row],[Water]]</f>
        <v>7</v>
      </c>
      <c r="K132" s="4"/>
      <c r="L132" s="4" t="n">
        <v>9</v>
      </c>
      <c r="M132" s="4" t="n">
        <v>1229</v>
      </c>
      <c r="N132" s="247" t="n">
        <f aca="false">TblMili[[#This Row],[Smithies]]</f>
        <v>0.195046439628483</v>
      </c>
      <c r="O132" s="247" t="n">
        <f aca="false">TblPop[[#This Row],[Employment]]</f>
        <v>1</v>
      </c>
      <c r="P132" s="247" t="n">
        <f aca="false">TblImps[[#This Row],[Population]]</f>
        <v>1</v>
      </c>
      <c r="Q132" s="181" t="n">
        <f aca="false">TblExplore[[#This Row],[Land]]</f>
        <v>646</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3859</v>
      </c>
      <c r="AC132" s="69" t="n">
        <f aca="false">TblProd[[#This Row],[Platinum]]</f>
        <v>7079127</v>
      </c>
      <c r="AD132" s="245"/>
      <c r="AE132" s="151" t="n">
        <f aca="false">TblExplore[[#This Row],[Land]]-TblExplore[[#This Row],[Land Bonus]]*20</f>
        <v>646</v>
      </c>
      <c r="AF132" s="69" t="n">
        <f aca="false">ROUND(MAX(0.6*TblExplore[[#This Row],[Land-DB]]^1.299,850)*(1+ tech_2_6*Techs!AC132 + tech_2_9*Techs!AF132 + tech_3_7*Techs!AN132 + Overview!$I$32),0)</f>
        <v>2683</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551</v>
      </c>
    </row>
    <row r="133" customFormat="false" ht="12.75" hidden="false" customHeight="false" outlineLevel="0" collapsed="false">
      <c r="A133" s="170" t="n">
        <f aca="false">TblRezone[[#This Row],[Hour]]</f>
        <v>130</v>
      </c>
      <c r="B133" s="181" t="n">
        <f aca="false">TblConstr[[#This Row],[Land]]</f>
        <v>646</v>
      </c>
      <c r="C133" s="245"/>
      <c r="D133" s="246" t="n">
        <f aca="false">TblConstr[[#This Row],[Plain]]</f>
        <v>-81</v>
      </c>
      <c r="E133" s="193" t="n">
        <f aca="false">TblConstr[[#This Row],[Forest]]</f>
        <v>2</v>
      </c>
      <c r="F133" s="200" t="n">
        <f aca="false">TblConstr[[#This Row],[Mountain]]</f>
        <v>3</v>
      </c>
      <c r="G133" s="201" t="n">
        <f aca="false">TblConstr[[#This Row],[Hill]]</f>
        <v>4</v>
      </c>
      <c r="H133" s="202" t="n">
        <f aca="false">TblConstr[[#This Row],[Swamp]]</f>
        <v>5</v>
      </c>
      <c r="I133" s="197" t="n">
        <f aca="false">TblConstr[[#This Row],[Cavern]]</f>
        <v>6</v>
      </c>
      <c r="J133" s="198" t="n">
        <f aca="false">TblConstr[[#This Row],[Water]]</f>
        <v>7</v>
      </c>
      <c r="K133" s="4"/>
      <c r="L133" s="4" t="n">
        <v>10</v>
      </c>
      <c r="M133" s="4" t="n">
        <v>1421</v>
      </c>
      <c r="N133" s="247" t="n">
        <f aca="false">TblMili[[#This Row],[Smithies]]</f>
        <v>0.195046439628483</v>
      </c>
      <c r="O133" s="247" t="n">
        <f aca="false">TblPop[[#This Row],[Employment]]</f>
        <v>1</v>
      </c>
      <c r="P133" s="247" t="n">
        <f aca="false">TblImps[[#This Row],[Population]]</f>
        <v>1</v>
      </c>
      <c r="Q133" s="181" t="n">
        <f aca="false">TblExplore[[#This Row],[Land]]</f>
        <v>646</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3914</v>
      </c>
      <c r="AC133" s="69" t="n">
        <f aca="false">TblProd[[#This Row],[Platinum]]</f>
        <v>7171789</v>
      </c>
      <c r="AD133" s="245"/>
      <c r="AE133" s="151" t="n">
        <f aca="false">TblExplore[[#This Row],[Land]]-TblExplore[[#This Row],[Land Bonus]]*20</f>
        <v>646</v>
      </c>
      <c r="AF133" s="69" t="n">
        <f aca="false">ROUND(MAX(0.6*TblExplore[[#This Row],[Land-DB]]^1.299,850)*(1+ tech_2_6*Techs!AC133 + tech_2_9*Techs!AF133 + tech_3_7*Techs!AN133 + Overview!$I$32),0)</f>
        <v>2683</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559</v>
      </c>
    </row>
    <row r="134" customFormat="false" ht="12.75" hidden="false" customHeight="false" outlineLevel="0" collapsed="false">
      <c r="A134" s="170" t="n">
        <f aca="false">TblRezone[[#This Row],[Hour]]</f>
        <v>131</v>
      </c>
      <c r="B134" s="181" t="n">
        <f aca="false">TblConstr[[#This Row],[Land]]</f>
        <v>646</v>
      </c>
      <c r="C134" s="245"/>
      <c r="D134" s="246" t="n">
        <f aca="false">TblConstr[[#This Row],[Plain]]</f>
        <v>-81</v>
      </c>
      <c r="E134" s="193" t="n">
        <f aca="false">TblConstr[[#This Row],[Forest]]</f>
        <v>2</v>
      </c>
      <c r="F134" s="200" t="n">
        <f aca="false">TblConstr[[#This Row],[Mountain]]</f>
        <v>3</v>
      </c>
      <c r="G134" s="201" t="n">
        <f aca="false">TblConstr[[#This Row],[Hill]]</f>
        <v>4</v>
      </c>
      <c r="H134" s="202" t="n">
        <f aca="false">TblConstr[[#This Row],[Swamp]]</f>
        <v>5</v>
      </c>
      <c r="I134" s="197" t="n">
        <f aca="false">TblConstr[[#This Row],[Cavern]]</f>
        <v>6</v>
      </c>
      <c r="J134" s="198" t="n">
        <f aca="false">TblConstr[[#This Row],[Water]]</f>
        <v>7</v>
      </c>
      <c r="K134" s="4"/>
      <c r="L134" s="4" t="n">
        <v>11</v>
      </c>
      <c r="M134" s="4" t="n">
        <v>1610</v>
      </c>
      <c r="N134" s="247" t="n">
        <f aca="false">TblMili[[#This Row],[Smithies]]</f>
        <v>0.195046439628483</v>
      </c>
      <c r="O134" s="247" t="n">
        <f aca="false">TblPop[[#This Row],[Employment]]</f>
        <v>1</v>
      </c>
      <c r="P134" s="247" t="n">
        <f aca="false">TblImps[[#This Row],[Population]]</f>
        <v>1</v>
      </c>
      <c r="Q134" s="181" t="n">
        <f aca="false">TblExplore[[#This Row],[Land]]</f>
        <v>646</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3969</v>
      </c>
      <c r="AC134" s="69" t="n">
        <f aca="false">TblProd[[#This Row],[Platinum]]</f>
        <v>7264302</v>
      </c>
      <c r="AD134" s="245"/>
      <c r="AE134" s="151" t="n">
        <f aca="false">TblExplore[[#This Row],[Land]]-TblExplore[[#This Row],[Land Bonus]]*20</f>
        <v>646</v>
      </c>
      <c r="AF134" s="69" t="n">
        <f aca="false">ROUND(MAX(0.6*TblExplore[[#This Row],[Land-DB]]^1.299,850)*(1+ tech_2_6*Techs!AC134 + tech_2_9*Techs!AF134 + tech_3_7*Techs!AN134 + Overview!$I$32),0)</f>
        <v>2683</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567</v>
      </c>
    </row>
    <row r="135" customFormat="false" ht="12.75" hidden="false" customHeight="false" outlineLevel="0" collapsed="false">
      <c r="A135" s="170" t="n">
        <f aca="false">TblRezone[[#This Row],[Hour]]</f>
        <v>132</v>
      </c>
      <c r="B135" s="181" t="n">
        <f aca="false">TblConstr[[#This Row],[Land]]</f>
        <v>646</v>
      </c>
      <c r="C135" s="245"/>
      <c r="D135" s="246" t="n">
        <f aca="false">TblConstr[[#This Row],[Plain]]</f>
        <v>-81</v>
      </c>
      <c r="E135" s="193" t="n">
        <f aca="false">TblConstr[[#This Row],[Forest]]</f>
        <v>2</v>
      </c>
      <c r="F135" s="200" t="n">
        <f aca="false">TblConstr[[#This Row],[Mountain]]</f>
        <v>3</v>
      </c>
      <c r="G135" s="201" t="n">
        <f aca="false">TblConstr[[#This Row],[Hill]]</f>
        <v>4</v>
      </c>
      <c r="H135" s="202" t="n">
        <f aca="false">TblConstr[[#This Row],[Swamp]]</f>
        <v>5</v>
      </c>
      <c r="I135" s="197" t="n">
        <f aca="false">TblConstr[[#This Row],[Cavern]]</f>
        <v>6</v>
      </c>
      <c r="J135" s="198" t="n">
        <f aca="false">TblConstr[[#This Row],[Water]]</f>
        <v>7</v>
      </c>
      <c r="K135" s="4"/>
      <c r="L135" s="4" t="n">
        <v>12</v>
      </c>
      <c r="M135" s="4" t="n">
        <v>1798</v>
      </c>
      <c r="N135" s="247" t="n">
        <f aca="false">TblMili[[#This Row],[Smithies]]</f>
        <v>0.195046439628483</v>
      </c>
      <c r="O135" s="247" t="n">
        <f aca="false">TblPop[[#This Row],[Employment]]</f>
        <v>1</v>
      </c>
      <c r="P135" s="247" t="n">
        <f aca="false">TblImps[[#This Row],[Population]]</f>
        <v>1</v>
      </c>
      <c r="Q135" s="181" t="n">
        <f aca="false">TblExplore[[#This Row],[Land]]</f>
        <v>646</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4023</v>
      </c>
      <c r="AC135" s="69" t="n">
        <f aca="false">TblProd[[#This Row],[Platinum]]</f>
        <v>7356667</v>
      </c>
      <c r="AD135" s="245"/>
      <c r="AE135" s="151" t="n">
        <f aca="false">TblExplore[[#This Row],[Land]]-TblExplore[[#This Row],[Land Bonus]]*20</f>
        <v>646</v>
      </c>
      <c r="AF135" s="69" t="n">
        <f aca="false">ROUND(MAX(0.6*TblExplore[[#This Row],[Land-DB]]^1.299,850)*(1+ tech_2_6*Techs!AC135 + tech_2_9*Techs!AF135 + tech_3_7*Techs!AN135 + Overview!$I$32),0)</f>
        <v>2683</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574</v>
      </c>
    </row>
    <row r="136" customFormat="false" ht="12.75" hidden="false" customHeight="false" outlineLevel="0" collapsed="false">
      <c r="A136" s="170" t="n">
        <f aca="false">TblRezone[[#This Row],[Hour]]</f>
        <v>133</v>
      </c>
      <c r="B136" s="181" t="n">
        <f aca="false">TblConstr[[#This Row],[Land]]</f>
        <v>646</v>
      </c>
      <c r="C136" s="245"/>
      <c r="D136" s="246" t="n">
        <f aca="false">TblConstr[[#This Row],[Plain]]</f>
        <v>-81</v>
      </c>
      <c r="E136" s="193" t="n">
        <f aca="false">TblConstr[[#This Row],[Forest]]</f>
        <v>2</v>
      </c>
      <c r="F136" s="200" t="n">
        <f aca="false">TblConstr[[#This Row],[Mountain]]</f>
        <v>3</v>
      </c>
      <c r="G136" s="201" t="n">
        <f aca="false">TblConstr[[#This Row],[Hill]]</f>
        <v>4</v>
      </c>
      <c r="H136" s="202" t="n">
        <f aca="false">TblConstr[[#This Row],[Swamp]]</f>
        <v>5</v>
      </c>
      <c r="I136" s="197" t="n">
        <f aca="false">TblConstr[[#This Row],[Cavern]]</f>
        <v>6</v>
      </c>
      <c r="J136" s="198" t="n">
        <f aca="false">TblConstr[[#This Row],[Water]]</f>
        <v>7</v>
      </c>
      <c r="K136" s="4"/>
      <c r="L136" s="4" t="n">
        <v>13</v>
      </c>
      <c r="M136" s="4" t="n">
        <v>1984</v>
      </c>
      <c r="N136" s="247" t="n">
        <f aca="false">TblMili[[#This Row],[Smithies]]</f>
        <v>0.195046439628483</v>
      </c>
      <c r="O136" s="247" t="n">
        <f aca="false">TblPop[[#This Row],[Employment]]</f>
        <v>0</v>
      </c>
      <c r="P136" s="247" t="n">
        <f aca="false">TblImps[[#This Row],[Population]]</f>
        <v>1</v>
      </c>
      <c r="Q136" s="181" t="n">
        <f aca="false">TblExplore[[#This Row],[Land]]</f>
        <v>646</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4077</v>
      </c>
      <c r="AC136" s="69" t="n">
        <f aca="false">TblProd[[#This Row],[Platinum]]</f>
        <v>7448886</v>
      </c>
      <c r="AD136" s="245"/>
      <c r="AE136" s="151" t="n">
        <f aca="false">TblExplore[[#This Row],[Land]]-TblExplore[[#This Row],[Land Bonus]]*20</f>
        <v>646</v>
      </c>
      <c r="AF136" s="69" t="n">
        <f aca="false">ROUND(MAX(0.6*TblExplore[[#This Row],[Land-DB]]^1.299,850)*(1+ tech_2_6*Techs!AC136 + tech_2_9*Techs!AF136 + tech_3_7*Techs!AN136 + Overview!$I$32),0)</f>
        <v>2683</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582</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9765E07E-AA97-4E49-AAB5-FDE899AE63A5}">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27" activeCellId="0" sqref="L2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175</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175</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175</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175</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175</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175</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32177</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175</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38394</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175</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44502.5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175</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53587</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175</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39408</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50</v>
      </c>
      <c r="Y16" s="69" t="n">
        <f aca="false">TblRezone[[#This Row],[Total acres]]*TblRezone[[#This Row],[Plat/acre]]</f>
        <v>1750</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49346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50</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59563</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70075</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80898</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21929</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23317</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24112</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23628</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30585</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38772</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41357</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54909</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68958</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85158</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101920</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93406</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74370</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77680</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80670</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83767</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89772</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95411</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97049</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103821</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111534</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118024</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126043</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447</v>
      </c>
      <c r="B44" s="246" t="n">
        <f aca="false">TblConstr[[#This Row],[Plain]]</f>
        <v>-81</v>
      </c>
      <c r="C44" s="193" t="n">
        <f aca="false">TblConstr[[#This Row],[Forest]]</f>
        <v>2</v>
      </c>
      <c r="D44" s="200" t="n">
        <f aca="false">TblConstr[[#This Row],[Mountain]]</f>
        <v>3</v>
      </c>
      <c r="E44" s="201" t="n">
        <f aca="false">TblConstr[[#This Row],[Hill]]</f>
        <v>4</v>
      </c>
      <c r="F44" s="202" t="n">
        <f aca="false">TblConstr[[#This Row],[Swamp]]</f>
        <v>5</v>
      </c>
      <c r="G44" s="197" t="n">
        <f aca="false">TblConstr[[#This Row],[Cavern]]</f>
        <v>6</v>
      </c>
      <c r="H44" s="198" t="n">
        <f aca="false">TblConstr[[#This Row],[Water]]</f>
        <v>7</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123382</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185</v>
      </c>
      <c r="Y44" s="69" t="n">
        <f aca="false">TblRezone[[#This Row],[Total acres]]*TblRezone[[#This Row],[Plat/acre]]</f>
        <v>0</v>
      </c>
      <c r="Z44" s="245"/>
      <c r="AA44" s="69" t="n">
        <f aca="false">250+0.6*(TblRezone[[#This Row],[Land]]-250)</f>
        <v>368.2</v>
      </c>
      <c r="AB44" s="245"/>
      <c r="AC44" s="150" t="n">
        <f aca="false">TblConstr[[#This Row],[Facs DB]]</f>
        <v>0.114093959731544</v>
      </c>
    </row>
    <row r="45" customFormat="false" ht="12.75" hidden="false" customHeight="false" outlineLevel="0" collapsed="false">
      <c r="A45" s="181" t="n">
        <f aca="false">TblConstr[[#This Row],[Land]]</f>
        <v>456</v>
      </c>
      <c r="B45" s="246" t="n">
        <f aca="false">TblConstr[[#This Row],[Plain]]</f>
        <v>-81</v>
      </c>
      <c r="C45" s="193" t="n">
        <f aca="false">TblConstr[[#This Row],[Forest]]</f>
        <v>2</v>
      </c>
      <c r="D45" s="200" t="n">
        <f aca="false">TblConstr[[#This Row],[Mountain]]</f>
        <v>3</v>
      </c>
      <c r="E45" s="201" t="n">
        <f aca="false">TblConstr[[#This Row],[Hill]]</f>
        <v>4</v>
      </c>
      <c r="F45" s="202" t="n">
        <f aca="false">TblConstr[[#This Row],[Swamp]]</f>
        <v>5</v>
      </c>
      <c r="G45" s="197" t="n">
        <f aca="false">TblConstr[[#This Row],[Cavern]]</f>
        <v>6</v>
      </c>
      <c r="H45" s="198" t="n">
        <f aca="false">TblConstr[[#This Row],[Water]]</f>
        <v>7</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155975</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187</v>
      </c>
      <c r="Y45" s="69" t="n">
        <f aca="false">TblRezone[[#This Row],[Total acres]]*TblRezone[[#This Row],[Plat/acre]]</f>
        <v>0</v>
      </c>
      <c r="Z45" s="245"/>
      <c r="AA45" s="69" t="n">
        <f aca="false">250+0.6*(TblRezone[[#This Row],[Land]]-250)</f>
        <v>373.6</v>
      </c>
      <c r="AB45" s="245"/>
      <c r="AC45" s="150" t="n">
        <f aca="false">TblConstr[[#This Row],[Facs DB]]</f>
        <v>0.114035087719298</v>
      </c>
    </row>
    <row r="46" customFormat="false" ht="12.75" hidden="false" customHeight="false" outlineLevel="0" collapsed="false">
      <c r="A46" s="181" t="n">
        <f aca="false">TblConstr[[#This Row],[Land]]</f>
        <v>466</v>
      </c>
      <c r="B46" s="246" t="n">
        <f aca="false">TblConstr[[#This Row],[Plain]]</f>
        <v>-81</v>
      </c>
      <c r="C46" s="193" t="n">
        <f aca="false">TblConstr[[#This Row],[Forest]]</f>
        <v>2</v>
      </c>
      <c r="D46" s="200" t="n">
        <f aca="false">TblConstr[[#This Row],[Mountain]]</f>
        <v>3</v>
      </c>
      <c r="E46" s="201" t="n">
        <f aca="false">TblConstr[[#This Row],[Hill]]</f>
        <v>4</v>
      </c>
      <c r="F46" s="202" t="n">
        <f aca="false">TblConstr[[#This Row],[Swamp]]</f>
        <v>5</v>
      </c>
      <c r="G46" s="197" t="n">
        <f aca="false">TblConstr[[#This Row],[Cavern]]</f>
        <v>6</v>
      </c>
      <c r="H46" s="198" t="n">
        <f aca="false">TblConstr[[#This Row],[Water]]</f>
        <v>7</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196488</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190</v>
      </c>
      <c r="Y46" s="69" t="n">
        <f aca="false">TblRezone[[#This Row],[Total acres]]*TblRezone[[#This Row],[Plat/acre]]</f>
        <v>0</v>
      </c>
      <c r="Z46" s="245"/>
      <c r="AA46" s="69" t="n">
        <f aca="false">250+0.6*(TblRezone[[#This Row],[Land]]-250)</f>
        <v>379.6</v>
      </c>
      <c r="AB46" s="245"/>
      <c r="AC46" s="150" t="n">
        <f aca="false">TblConstr[[#This Row],[Facs DB]]</f>
        <v>0.113733905579399</v>
      </c>
    </row>
    <row r="47" customFormat="false" ht="12.75" hidden="false" customHeight="false" outlineLevel="0" collapsed="false">
      <c r="A47" s="181" t="n">
        <f aca="false">TblConstr[[#This Row],[Land]]</f>
        <v>476</v>
      </c>
      <c r="B47" s="246" t="n">
        <f aca="false">TblConstr[[#This Row],[Plain]]</f>
        <v>-81</v>
      </c>
      <c r="C47" s="193" t="n">
        <f aca="false">TblConstr[[#This Row],[Forest]]</f>
        <v>2</v>
      </c>
      <c r="D47" s="200" t="n">
        <f aca="false">TblConstr[[#This Row],[Mountain]]</f>
        <v>3</v>
      </c>
      <c r="E47" s="201" t="n">
        <f aca="false">TblConstr[[#This Row],[Hill]]</f>
        <v>4</v>
      </c>
      <c r="F47" s="202" t="n">
        <f aca="false">TblConstr[[#This Row],[Swamp]]</f>
        <v>5</v>
      </c>
      <c r="G47" s="197" t="n">
        <f aca="false">TblConstr[[#This Row],[Cavern]]</f>
        <v>6</v>
      </c>
      <c r="H47" s="198" t="n">
        <f aca="false">TblConstr[[#This Row],[Water]]</f>
        <v>7</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253003</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193</v>
      </c>
      <c r="Y47" s="69" t="n">
        <f aca="false">TblRezone[[#This Row],[Total acres]]*TblRezone[[#This Row],[Plat/acre]]</f>
        <v>0</v>
      </c>
      <c r="Z47" s="245"/>
      <c r="AA47" s="69" t="n">
        <f aca="false">250+0.6*(TblRezone[[#This Row],[Land]]-250)</f>
        <v>385.6</v>
      </c>
      <c r="AB47" s="245"/>
      <c r="AC47" s="150" t="n">
        <f aca="false">TblConstr[[#This Row],[Facs DB]]</f>
        <v>0.113445378151261</v>
      </c>
    </row>
    <row r="48" customFormat="false" ht="12.75" hidden="false" customHeight="false" outlineLevel="0" collapsed="false">
      <c r="A48" s="181" t="n">
        <f aca="false">TblConstr[[#This Row],[Land]]</f>
        <v>486</v>
      </c>
      <c r="B48" s="246" t="n">
        <f aca="false">TblConstr[[#This Row],[Plain]]</f>
        <v>-81</v>
      </c>
      <c r="C48" s="193" t="n">
        <f aca="false">TblConstr[[#This Row],[Forest]]</f>
        <v>2</v>
      </c>
      <c r="D48" s="200" t="n">
        <f aca="false">TblConstr[[#This Row],[Mountain]]</f>
        <v>3</v>
      </c>
      <c r="E48" s="201" t="n">
        <f aca="false">TblConstr[[#This Row],[Hill]]</f>
        <v>4</v>
      </c>
      <c r="F48" s="202" t="n">
        <f aca="false">TblConstr[[#This Row],[Swamp]]</f>
        <v>5</v>
      </c>
      <c r="G48" s="197" t="n">
        <f aca="false">TblConstr[[#This Row],[Cavern]]</f>
        <v>6</v>
      </c>
      <c r="H48" s="198" t="n">
        <f aca="false">TblConstr[[#This Row],[Water]]</f>
        <v>7</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310894</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196</v>
      </c>
      <c r="Y48" s="69" t="n">
        <f aca="false">TblRezone[[#This Row],[Total acres]]*TblRezone[[#This Row],[Plat/acre]]</f>
        <v>0</v>
      </c>
      <c r="Z48" s="245"/>
      <c r="AA48" s="69" t="n">
        <f aca="false">250+0.6*(TblRezone[[#This Row],[Land]]-250)</f>
        <v>391.6</v>
      </c>
      <c r="AB48" s="245"/>
      <c r="AC48" s="150" t="n">
        <f aca="false">TblConstr[[#This Row],[Facs DB]]</f>
        <v>0.113168724279835</v>
      </c>
    </row>
    <row r="49" customFormat="false" ht="12.75" hidden="false" customHeight="false" outlineLevel="0" collapsed="false">
      <c r="A49" s="181" t="n">
        <f aca="false">TblConstr[[#This Row],[Land]]</f>
        <v>497</v>
      </c>
      <c r="B49" s="246" t="n">
        <f aca="false">TblConstr[[#This Row],[Plain]]</f>
        <v>-81</v>
      </c>
      <c r="C49" s="193" t="n">
        <f aca="false">TblConstr[[#This Row],[Forest]]</f>
        <v>2</v>
      </c>
      <c r="D49" s="200" t="n">
        <f aca="false">TblConstr[[#This Row],[Mountain]]</f>
        <v>3</v>
      </c>
      <c r="E49" s="201" t="n">
        <f aca="false">TblConstr[[#This Row],[Hill]]</f>
        <v>4</v>
      </c>
      <c r="F49" s="202" t="n">
        <f aca="false">TblConstr[[#This Row],[Swamp]]</f>
        <v>5</v>
      </c>
      <c r="G49" s="197" t="n">
        <f aca="false">TblConstr[[#This Row],[Cavern]]</f>
        <v>6</v>
      </c>
      <c r="H49" s="198" t="n">
        <f aca="false">TblConstr[[#This Row],[Water]]</f>
        <v>7</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369076</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200</v>
      </c>
      <c r="Y49" s="69" t="n">
        <f aca="false">TblRezone[[#This Row],[Total acres]]*TblRezone[[#This Row],[Plat/acre]]</f>
        <v>0</v>
      </c>
      <c r="Z49" s="245"/>
      <c r="AA49" s="69" t="n">
        <f aca="false">250+0.6*(TblRezone[[#This Row],[Land]]-250)</f>
        <v>398.2</v>
      </c>
      <c r="AB49" s="245"/>
      <c r="AC49" s="150" t="n">
        <f aca="false">TblConstr[[#This Row],[Facs DB]]</f>
        <v>0.112676056338028</v>
      </c>
    </row>
    <row r="50" customFormat="false" ht="12.75" hidden="false" customHeight="false" outlineLevel="0" collapsed="false">
      <c r="A50" s="181" t="n">
        <f aca="false">TblConstr[[#This Row],[Land]]</f>
        <v>509</v>
      </c>
      <c r="B50" s="246" t="n">
        <f aca="false">TblConstr[[#This Row],[Plain]]</f>
        <v>-81</v>
      </c>
      <c r="C50" s="193" t="n">
        <f aca="false">TblConstr[[#This Row],[Forest]]</f>
        <v>2</v>
      </c>
      <c r="D50" s="200" t="n">
        <f aca="false">TblConstr[[#This Row],[Mountain]]</f>
        <v>3</v>
      </c>
      <c r="E50" s="201" t="n">
        <f aca="false">TblConstr[[#This Row],[Hill]]</f>
        <v>4</v>
      </c>
      <c r="F50" s="202" t="n">
        <f aca="false">TblConstr[[#This Row],[Swamp]]</f>
        <v>5</v>
      </c>
      <c r="G50" s="197" t="n">
        <f aca="false">TblConstr[[#This Row],[Cavern]]</f>
        <v>6</v>
      </c>
      <c r="H50" s="198" t="n">
        <f aca="false">TblConstr[[#This Row],[Water]]</f>
        <v>7</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427306</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203</v>
      </c>
      <c r="Y50" s="69" t="n">
        <f aca="false">TblRezone[[#This Row],[Total acres]]*TblRezone[[#This Row],[Plat/acre]]</f>
        <v>0</v>
      </c>
      <c r="Z50" s="245"/>
      <c r="AA50" s="69" t="n">
        <f aca="false">250+0.6*(TblRezone[[#This Row],[Land]]-250)</f>
        <v>405.4</v>
      </c>
      <c r="AB50" s="245"/>
      <c r="AC50" s="150" t="n">
        <f aca="false">TblConstr[[#This Row],[Facs DB]]</f>
        <v>0.111984282907662</v>
      </c>
    </row>
    <row r="51" customFormat="false" ht="12.75" hidden="false" customHeight="false" outlineLevel="0" collapsed="false">
      <c r="A51" s="181" t="n">
        <f aca="false">TblConstr[[#This Row],[Land]]</f>
        <v>542</v>
      </c>
      <c r="B51" s="246" t="n">
        <f aca="false">TblConstr[[#This Row],[Plain]]</f>
        <v>-81</v>
      </c>
      <c r="C51" s="193" t="n">
        <f aca="false">TblConstr[[#This Row],[Forest]]</f>
        <v>2</v>
      </c>
      <c r="D51" s="200" t="n">
        <f aca="false">TblConstr[[#This Row],[Mountain]]</f>
        <v>3</v>
      </c>
      <c r="E51" s="201" t="n">
        <f aca="false">TblConstr[[#This Row],[Hill]]</f>
        <v>4</v>
      </c>
      <c r="F51" s="202" t="n">
        <f aca="false">TblConstr[[#This Row],[Swamp]]</f>
        <v>5</v>
      </c>
      <c r="G51" s="197" t="n">
        <f aca="false">TblConstr[[#This Row],[Cavern]]</f>
        <v>6</v>
      </c>
      <c r="H51" s="198" t="n">
        <f aca="false">TblConstr[[#This Row],[Water]]</f>
        <v>7</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509289</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213</v>
      </c>
      <c r="Y51" s="69" t="n">
        <f aca="false">TblRezone[[#This Row],[Total acres]]*TblRezone[[#This Row],[Plat/acre]]</f>
        <v>0</v>
      </c>
      <c r="Z51" s="245"/>
      <c r="AA51" s="69" t="n">
        <f aca="false">250+0.6*(TblRezone[[#This Row],[Land]]-250)</f>
        <v>425.2</v>
      </c>
      <c r="AB51" s="245"/>
      <c r="AC51" s="150" t="n">
        <f aca="false">TblConstr[[#This Row],[Facs DB]]</f>
        <v>0.123616236162362</v>
      </c>
    </row>
    <row r="52" customFormat="false" ht="12.75" hidden="false" customHeight="false" outlineLevel="0" collapsed="false">
      <c r="A52" s="181" t="n">
        <f aca="false">TblConstr[[#This Row],[Land]]</f>
        <v>575</v>
      </c>
      <c r="B52" s="246" t="n">
        <f aca="false">TblConstr[[#This Row],[Plain]]</f>
        <v>-81</v>
      </c>
      <c r="C52" s="193" t="n">
        <f aca="false">TblConstr[[#This Row],[Forest]]</f>
        <v>2</v>
      </c>
      <c r="D52" s="200" t="n">
        <f aca="false">TblConstr[[#This Row],[Mountain]]</f>
        <v>3</v>
      </c>
      <c r="E52" s="201" t="n">
        <f aca="false">TblConstr[[#This Row],[Hill]]</f>
        <v>4</v>
      </c>
      <c r="F52" s="202" t="n">
        <f aca="false">TblConstr[[#This Row],[Swamp]]</f>
        <v>5</v>
      </c>
      <c r="G52" s="197" t="n">
        <f aca="false">TblConstr[[#This Row],[Cavern]]</f>
        <v>6</v>
      </c>
      <c r="H52" s="198" t="n">
        <f aca="false">TblConstr[[#This Row],[Water]]</f>
        <v>7</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558603</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223</v>
      </c>
      <c r="Y52" s="69" t="n">
        <f aca="false">TblRezone[[#This Row],[Total acres]]*TblRezone[[#This Row],[Plat/acre]]</f>
        <v>0</v>
      </c>
      <c r="Z52" s="245"/>
      <c r="AA52" s="69" t="n">
        <f aca="false">250+0.6*(TblRezone[[#This Row],[Land]]-250)</f>
        <v>445</v>
      </c>
      <c r="AB52" s="245"/>
      <c r="AC52" s="150" t="n">
        <f aca="false">TblConstr[[#This Row],[Facs DB]]</f>
        <v>0.116521739130435</v>
      </c>
    </row>
    <row r="53" customFormat="false" ht="12.75" hidden="false" customHeight="false" outlineLevel="0" collapsed="false">
      <c r="A53" s="181" t="n">
        <f aca="false">TblConstr[[#This Row],[Land]]</f>
        <v>588</v>
      </c>
      <c r="B53" s="246" t="n">
        <f aca="false">TblConstr[[#This Row],[Plain]]</f>
        <v>-81</v>
      </c>
      <c r="C53" s="193" t="n">
        <f aca="false">TblConstr[[#This Row],[Forest]]</f>
        <v>2</v>
      </c>
      <c r="D53" s="200" t="n">
        <f aca="false">TblConstr[[#This Row],[Mountain]]</f>
        <v>3</v>
      </c>
      <c r="E53" s="201" t="n">
        <f aca="false">TblConstr[[#This Row],[Hill]]</f>
        <v>4</v>
      </c>
      <c r="F53" s="202" t="n">
        <f aca="false">TblConstr[[#This Row],[Swamp]]</f>
        <v>5</v>
      </c>
      <c r="G53" s="197" t="n">
        <f aca="false">TblConstr[[#This Row],[Cavern]]</f>
        <v>6</v>
      </c>
      <c r="H53" s="198" t="n">
        <f aca="false">TblConstr[[#This Row],[Water]]</f>
        <v>7</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619774</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227</v>
      </c>
      <c r="Y53" s="69" t="n">
        <f aca="false">TblRezone[[#This Row],[Total acres]]*TblRezone[[#This Row],[Plat/acre]]</f>
        <v>0</v>
      </c>
      <c r="Z53" s="245"/>
      <c r="AA53" s="69" t="n">
        <f aca="false">250+0.6*(TblRezone[[#This Row],[Land]]-250)</f>
        <v>452.8</v>
      </c>
      <c r="AB53" s="245"/>
      <c r="AC53" s="150" t="n">
        <f aca="false">TblConstr[[#This Row],[Facs DB]]</f>
        <v>0.113945578231293</v>
      </c>
    </row>
    <row r="54" customFormat="false" ht="12.75" hidden="false" customHeight="false" outlineLevel="0" collapsed="false">
      <c r="A54" s="181" t="n">
        <f aca="false">TblConstr[[#This Row],[Land]]</f>
        <v>602</v>
      </c>
      <c r="B54" s="246" t="n">
        <f aca="false">TblConstr[[#This Row],[Plain]]</f>
        <v>-81</v>
      </c>
      <c r="C54" s="193" t="n">
        <f aca="false">TblConstr[[#This Row],[Forest]]</f>
        <v>2</v>
      </c>
      <c r="D54" s="200" t="n">
        <f aca="false">TblConstr[[#This Row],[Mountain]]</f>
        <v>3</v>
      </c>
      <c r="E54" s="201" t="n">
        <f aca="false">TblConstr[[#This Row],[Hill]]</f>
        <v>4</v>
      </c>
      <c r="F54" s="202" t="n">
        <f aca="false">TblConstr[[#This Row],[Swamp]]</f>
        <v>5</v>
      </c>
      <c r="G54" s="197" t="n">
        <f aca="false">TblConstr[[#This Row],[Cavern]]</f>
        <v>6</v>
      </c>
      <c r="H54" s="198" t="n">
        <f aca="false">TblConstr[[#This Row],[Water]]</f>
        <v>7</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680716</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231</v>
      </c>
      <c r="Y54" s="69" t="n">
        <f aca="false">TblRezone[[#This Row],[Total acres]]*TblRezone[[#This Row],[Plat/acre]]</f>
        <v>0</v>
      </c>
      <c r="Z54" s="245"/>
      <c r="AA54" s="69" t="n">
        <f aca="false">250+0.6*(TblRezone[[#This Row],[Land]]-250)</f>
        <v>461.2</v>
      </c>
      <c r="AB54" s="245"/>
      <c r="AC54" s="150" t="n">
        <f aca="false">TblConstr[[#This Row],[Facs DB]]</f>
        <v>0.111295681063123</v>
      </c>
    </row>
    <row r="55" customFormat="false" ht="12.75" hidden="false" customHeight="false" outlineLevel="0" collapsed="false">
      <c r="A55" s="181" t="n">
        <f aca="false">TblConstr[[#This Row],[Land]]</f>
        <v>615</v>
      </c>
      <c r="B55" s="246" t="n">
        <f aca="false">TblConstr[[#This Row],[Plain]]</f>
        <v>-81</v>
      </c>
      <c r="C55" s="193" t="n">
        <f aca="false">TblConstr[[#This Row],[Forest]]</f>
        <v>2</v>
      </c>
      <c r="D55" s="200" t="n">
        <f aca="false">TblConstr[[#This Row],[Mountain]]</f>
        <v>3</v>
      </c>
      <c r="E55" s="201" t="n">
        <f aca="false">TblConstr[[#This Row],[Hill]]</f>
        <v>4</v>
      </c>
      <c r="F55" s="202" t="n">
        <f aca="false">TblConstr[[#This Row],[Swamp]]</f>
        <v>5</v>
      </c>
      <c r="G55" s="197" t="n">
        <f aca="false">TblConstr[[#This Row],[Cavern]]</f>
        <v>6</v>
      </c>
      <c r="H55" s="198" t="n">
        <f aca="false">TblConstr[[#This Row],[Water]]</f>
        <v>7</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742420</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235</v>
      </c>
      <c r="Y55" s="69" t="n">
        <f aca="false">TblRezone[[#This Row],[Total acres]]*TblRezone[[#This Row],[Plat/acre]]</f>
        <v>0</v>
      </c>
      <c r="Z55" s="245"/>
      <c r="AA55" s="69" t="n">
        <f aca="false">250+0.6*(TblRezone[[#This Row],[Land]]-250)</f>
        <v>469</v>
      </c>
      <c r="AB55" s="245"/>
      <c r="AC55" s="150" t="n">
        <f aca="false">TblConstr[[#This Row],[Facs DB]]</f>
        <v>0.108943089430894</v>
      </c>
    </row>
    <row r="56" customFormat="false" ht="12.75" hidden="false" customHeight="false" outlineLevel="0" collapsed="false">
      <c r="A56" s="181" t="n">
        <f aca="false">TblConstr[[#This Row],[Land]]</f>
        <v>626</v>
      </c>
      <c r="B56" s="246" t="n">
        <f aca="false">TblConstr[[#This Row],[Plain]]</f>
        <v>-81</v>
      </c>
      <c r="C56" s="193" t="n">
        <f aca="false">TblConstr[[#This Row],[Forest]]</f>
        <v>2</v>
      </c>
      <c r="D56" s="200" t="n">
        <f aca="false">TblConstr[[#This Row],[Mountain]]</f>
        <v>3</v>
      </c>
      <c r="E56" s="201" t="n">
        <f aca="false">TblConstr[[#This Row],[Hill]]</f>
        <v>4</v>
      </c>
      <c r="F56" s="202" t="n">
        <f aca="false">TblConstr[[#This Row],[Swamp]]</f>
        <v>5</v>
      </c>
      <c r="G56" s="197" t="n">
        <f aca="false">TblConstr[[#This Row],[Cavern]]</f>
        <v>6</v>
      </c>
      <c r="H56" s="198" t="n">
        <f aca="false">TblConstr[[#This Row],[Water]]</f>
        <v>7</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809940</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238</v>
      </c>
      <c r="Y56" s="69" t="n">
        <f aca="false">TblRezone[[#This Row],[Total acres]]*TblRezone[[#This Row],[Plat/acre]]</f>
        <v>0</v>
      </c>
      <c r="Z56" s="245"/>
      <c r="AA56" s="69" t="n">
        <f aca="false">250+0.6*(TblRezone[[#This Row],[Land]]-250)</f>
        <v>475.6</v>
      </c>
      <c r="AB56" s="245"/>
      <c r="AC56" s="150" t="n">
        <f aca="false">TblConstr[[#This Row],[Facs DB]]</f>
        <v>0.10702875399361</v>
      </c>
    </row>
    <row r="57" customFormat="false" ht="12.75" hidden="false" customHeight="false" outlineLevel="0" collapsed="false">
      <c r="A57" s="181" t="n">
        <f aca="false">TblConstr[[#This Row],[Land]]</f>
        <v>638</v>
      </c>
      <c r="B57" s="246" t="n">
        <f aca="false">TblConstr[[#This Row],[Plain]]</f>
        <v>-81</v>
      </c>
      <c r="C57" s="193" t="n">
        <f aca="false">TblConstr[[#This Row],[Forest]]</f>
        <v>2</v>
      </c>
      <c r="D57" s="200" t="n">
        <f aca="false">TblConstr[[#This Row],[Mountain]]</f>
        <v>3</v>
      </c>
      <c r="E57" s="201" t="n">
        <f aca="false">TblConstr[[#This Row],[Hill]]</f>
        <v>4</v>
      </c>
      <c r="F57" s="202" t="n">
        <f aca="false">TblConstr[[#This Row],[Swamp]]</f>
        <v>5</v>
      </c>
      <c r="G57" s="197" t="n">
        <f aca="false">TblConstr[[#This Row],[Cavern]]</f>
        <v>6</v>
      </c>
      <c r="H57" s="198" t="n">
        <f aca="false">TblConstr[[#This Row],[Water]]</f>
        <v>7</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877556</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242</v>
      </c>
      <c r="Y57" s="69" t="n">
        <f aca="false">TblRezone[[#This Row],[Total acres]]*TblRezone[[#This Row],[Plat/acre]]</f>
        <v>0</v>
      </c>
      <c r="Z57" s="245"/>
      <c r="AA57" s="69" t="n">
        <f aca="false">250+0.6*(TblRezone[[#This Row],[Land]]-250)</f>
        <v>482.8</v>
      </c>
      <c r="AB57" s="245"/>
      <c r="AC57" s="150" t="n">
        <f aca="false">TblConstr[[#This Row],[Facs DB]]</f>
        <v>0.105015673981191</v>
      </c>
    </row>
    <row r="58" customFormat="false" ht="12.75" hidden="false" customHeight="false" outlineLevel="0" collapsed="false">
      <c r="A58" s="181" t="n">
        <f aca="false">TblConstr[[#This Row],[Land]]</f>
        <v>646</v>
      </c>
      <c r="B58" s="246" t="n">
        <f aca="false">TblConstr[[#This Row],[Plain]]</f>
        <v>-81</v>
      </c>
      <c r="C58" s="193" t="n">
        <f aca="false">TblConstr[[#This Row],[Forest]]</f>
        <v>2</v>
      </c>
      <c r="D58" s="200" t="n">
        <f aca="false">TblConstr[[#This Row],[Mountain]]</f>
        <v>3</v>
      </c>
      <c r="E58" s="201" t="n">
        <f aca="false">TblConstr[[#This Row],[Hill]]</f>
        <v>4</v>
      </c>
      <c r="F58" s="202" t="n">
        <f aca="false">TblConstr[[#This Row],[Swamp]]</f>
        <v>5</v>
      </c>
      <c r="G58" s="197" t="n">
        <f aca="false">TblConstr[[#This Row],[Cavern]]</f>
        <v>6</v>
      </c>
      <c r="H58" s="198" t="n">
        <f aca="false">TblConstr[[#This Row],[Water]]</f>
        <v>7</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947815</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244</v>
      </c>
      <c r="Y58" s="69" t="n">
        <f aca="false">TblRezone[[#This Row],[Total acres]]*TblRezone[[#This Row],[Plat/acre]]</f>
        <v>0</v>
      </c>
      <c r="Z58" s="245"/>
      <c r="AA58" s="69" t="n">
        <f aca="false">250+0.6*(TblRezone[[#This Row],[Land]]-250)</f>
        <v>487.6</v>
      </c>
      <c r="AB58" s="245"/>
      <c r="AC58" s="150" t="n">
        <f aca="false">TblConstr[[#This Row],[Facs DB]]</f>
        <v>0.103715170278638</v>
      </c>
    </row>
    <row r="59" customFormat="false" ht="12.75" hidden="false" customHeight="false" outlineLevel="0" collapsed="false">
      <c r="A59" s="181" t="n">
        <f aca="false">TblConstr[[#This Row],[Land]]</f>
        <v>646</v>
      </c>
      <c r="B59" s="246" t="n">
        <f aca="false">TblConstr[[#This Row],[Plain]]</f>
        <v>-81</v>
      </c>
      <c r="C59" s="193" t="n">
        <f aca="false">TblConstr[[#This Row],[Forest]]</f>
        <v>2</v>
      </c>
      <c r="D59" s="200" t="n">
        <f aca="false">TblConstr[[#This Row],[Mountain]]</f>
        <v>3</v>
      </c>
      <c r="E59" s="201" t="n">
        <f aca="false">TblConstr[[#This Row],[Hill]]</f>
        <v>4</v>
      </c>
      <c r="F59" s="202" t="n">
        <f aca="false">TblConstr[[#This Row],[Swamp]]</f>
        <v>5</v>
      </c>
      <c r="G59" s="197" t="n">
        <f aca="false">TblConstr[[#This Row],[Cavern]]</f>
        <v>6</v>
      </c>
      <c r="H59" s="198" t="n">
        <f aca="false">TblConstr[[#This Row],[Water]]</f>
        <v>7</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1022126</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244</v>
      </c>
      <c r="Y59" s="69" t="n">
        <f aca="false">TblRezone[[#This Row],[Total acres]]*TblRezone[[#This Row],[Plat/acre]]</f>
        <v>0</v>
      </c>
      <c r="Z59" s="245"/>
      <c r="AA59" s="69" t="n">
        <f aca="false">250+0.6*(TblRezone[[#This Row],[Land]]-250)</f>
        <v>487.6</v>
      </c>
      <c r="AB59" s="245"/>
      <c r="AC59" s="150" t="n">
        <f aca="false">TblConstr[[#This Row],[Facs DB]]</f>
        <v>0.103715170278638</v>
      </c>
    </row>
    <row r="60" customFormat="false" ht="12.75" hidden="false" customHeight="false" outlineLevel="0" collapsed="false">
      <c r="A60" s="181" t="n">
        <f aca="false">TblConstr[[#This Row],[Land]]</f>
        <v>646</v>
      </c>
      <c r="B60" s="246" t="n">
        <f aca="false">TblConstr[[#This Row],[Plain]]</f>
        <v>-81</v>
      </c>
      <c r="C60" s="193" t="n">
        <f aca="false">TblConstr[[#This Row],[Forest]]</f>
        <v>2</v>
      </c>
      <c r="D60" s="200" t="n">
        <f aca="false">TblConstr[[#This Row],[Mountain]]</f>
        <v>3</v>
      </c>
      <c r="E60" s="201" t="n">
        <f aca="false">TblConstr[[#This Row],[Hill]]</f>
        <v>4</v>
      </c>
      <c r="F60" s="202" t="n">
        <f aca="false">TblConstr[[#This Row],[Swamp]]</f>
        <v>5</v>
      </c>
      <c r="G60" s="197" t="n">
        <f aca="false">TblConstr[[#This Row],[Cavern]]</f>
        <v>6</v>
      </c>
      <c r="H60" s="198" t="n">
        <f aca="false">TblConstr[[#This Row],[Water]]</f>
        <v>7</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1096468</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244</v>
      </c>
      <c r="Y60" s="69" t="n">
        <f aca="false">TblRezone[[#This Row],[Total acres]]*TblRezone[[#This Row],[Plat/acre]]</f>
        <v>0</v>
      </c>
      <c r="Z60" s="245"/>
      <c r="AA60" s="69" t="n">
        <f aca="false">250+0.6*(TblRezone[[#This Row],[Land]]-250)</f>
        <v>487.6</v>
      </c>
      <c r="AB60" s="245"/>
      <c r="AC60" s="150" t="n">
        <f aca="false">TblConstr[[#This Row],[Facs DB]]</f>
        <v>0.102167182662539</v>
      </c>
    </row>
    <row r="61" customFormat="false" ht="12.75" hidden="false" customHeight="false" outlineLevel="0" collapsed="false">
      <c r="A61" s="181" t="n">
        <f aca="false">TblConstr[[#This Row],[Land]]</f>
        <v>646</v>
      </c>
      <c r="B61" s="246" t="n">
        <f aca="false">TblConstr[[#This Row],[Plain]]</f>
        <v>-81</v>
      </c>
      <c r="C61" s="193" t="n">
        <f aca="false">TblConstr[[#This Row],[Forest]]</f>
        <v>2</v>
      </c>
      <c r="D61" s="200" t="n">
        <f aca="false">TblConstr[[#This Row],[Mountain]]</f>
        <v>3</v>
      </c>
      <c r="E61" s="201" t="n">
        <f aca="false">TblConstr[[#This Row],[Hill]]</f>
        <v>4</v>
      </c>
      <c r="F61" s="202" t="n">
        <f aca="false">TblConstr[[#This Row],[Swamp]]</f>
        <v>5</v>
      </c>
      <c r="G61" s="197" t="n">
        <f aca="false">TblConstr[[#This Row],[Cavern]]</f>
        <v>6</v>
      </c>
      <c r="H61" s="198" t="n">
        <f aca="false">TblConstr[[#This Row],[Water]]</f>
        <v>7</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1170586</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244</v>
      </c>
      <c r="Y61" s="69" t="n">
        <f aca="false">TblRezone[[#This Row],[Total acres]]*TblRezone[[#This Row],[Plat/acre]]</f>
        <v>0</v>
      </c>
      <c r="Z61" s="245"/>
      <c r="AA61" s="69" t="n">
        <f aca="false">250+0.6*(TblRezone[[#This Row],[Land]]-250)</f>
        <v>487.6</v>
      </c>
      <c r="AB61" s="245"/>
      <c r="AC61" s="150" t="n">
        <f aca="false">TblConstr[[#This Row],[Facs DB]]</f>
        <v>0.10061919504644</v>
      </c>
    </row>
    <row r="62" customFormat="false" ht="12.75" hidden="false" customHeight="false" outlineLevel="0" collapsed="false">
      <c r="A62" s="181" t="n">
        <f aca="false">TblConstr[[#This Row],[Land]]</f>
        <v>646</v>
      </c>
      <c r="B62" s="246" t="n">
        <f aca="false">TblConstr[[#This Row],[Plain]]</f>
        <v>-81</v>
      </c>
      <c r="C62" s="193" t="n">
        <f aca="false">TblConstr[[#This Row],[Forest]]</f>
        <v>2</v>
      </c>
      <c r="D62" s="200" t="n">
        <f aca="false">TblConstr[[#This Row],[Mountain]]</f>
        <v>3</v>
      </c>
      <c r="E62" s="201" t="n">
        <f aca="false">TblConstr[[#This Row],[Hill]]</f>
        <v>4</v>
      </c>
      <c r="F62" s="202" t="n">
        <f aca="false">TblConstr[[#This Row],[Swamp]]</f>
        <v>5</v>
      </c>
      <c r="G62" s="197" t="n">
        <f aca="false">TblConstr[[#This Row],[Cavern]]</f>
        <v>6</v>
      </c>
      <c r="H62" s="198" t="n">
        <f aca="false">TblConstr[[#This Row],[Water]]</f>
        <v>7</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1244865</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247</v>
      </c>
      <c r="Y62" s="69" t="n">
        <f aca="false">TblRezone[[#This Row],[Total acres]]*TblRezone[[#This Row],[Plat/acre]]</f>
        <v>0</v>
      </c>
      <c r="Z62" s="245"/>
      <c r="AA62" s="69" t="n">
        <f aca="false">250+0.6*(TblRezone[[#This Row],[Land]]-250)</f>
        <v>487.6</v>
      </c>
      <c r="AB62" s="245"/>
      <c r="AC62" s="150" t="n">
        <f aca="false">TblConstr[[#This Row],[Facs DB]]</f>
        <v>0.0990712074303406</v>
      </c>
    </row>
    <row r="63" customFormat="false" ht="12.75" hidden="false" customHeight="false" outlineLevel="0" collapsed="false">
      <c r="A63" s="181" t="n">
        <f aca="false">TblConstr[[#This Row],[Land]]</f>
        <v>646</v>
      </c>
      <c r="B63" s="246" t="n">
        <f aca="false">TblConstr[[#This Row],[Plain]]</f>
        <v>-81</v>
      </c>
      <c r="C63" s="193" t="n">
        <f aca="false">TblConstr[[#This Row],[Forest]]</f>
        <v>2</v>
      </c>
      <c r="D63" s="200" t="n">
        <f aca="false">TblConstr[[#This Row],[Mountain]]</f>
        <v>3</v>
      </c>
      <c r="E63" s="201" t="n">
        <f aca="false">TblConstr[[#This Row],[Hill]]</f>
        <v>4</v>
      </c>
      <c r="F63" s="202" t="n">
        <f aca="false">TblConstr[[#This Row],[Swamp]]</f>
        <v>5</v>
      </c>
      <c r="G63" s="197" t="n">
        <f aca="false">TblConstr[[#This Row],[Cavern]]</f>
        <v>6</v>
      </c>
      <c r="H63" s="198" t="n">
        <f aca="false">TblConstr[[#This Row],[Water]]</f>
        <v>7</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1319455</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250</v>
      </c>
      <c r="Y63" s="69" t="n">
        <f aca="false">TblRezone[[#This Row],[Total acres]]*TblRezone[[#This Row],[Plat/acre]]</f>
        <v>0</v>
      </c>
      <c r="Z63" s="245"/>
      <c r="AA63" s="69" t="n">
        <f aca="false">250+0.6*(TblRezone[[#This Row],[Land]]-250)</f>
        <v>487.6</v>
      </c>
      <c r="AB63" s="245"/>
      <c r="AC63" s="150" t="n">
        <f aca="false">TblConstr[[#This Row],[Facs DB]]</f>
        <v>0.0975232198142415</v>
      </c>
    </row>
    <row r="64" customFormat="false" ht="12.75" hidden="false" customHeight="false" outlineLevel="0" collapsed="false">
      <c r="A64" s="181" t="n">
        <f aca="false">TblConstr[[#This Row],[Land]]</f>
        <v>646</v>
      </c>
      <c r="B64" s="246" t="n">
        <f aca="false">TblConstr[[#This Row],[Plain]]</f>
        <v>-81</v>
      </c>
      <c r="C64" s="193" t="n">
        <f aca="false">TblConstr[[#This Row],[Forest]]</f>
        <v>2</v>
      </c>
      <c r="D64" s="200" t="n">
        <f aca="false">TblConstr[[#This Row],[Mountain]]</f>
        <v>3</v>
      </c>
      <c r="E64" s="201" t="n">
        <f aca="false">TblConstr[[#This Row],[Hill]]</f>
        <v>4</v>
      </c>
      <c r="F64" s="202" t="n">
        <f aca="false">TblConstr[[#This Row],[Swamp]]</f>
        <v>5</v>
      </c>
      <c r="G64" s="197" t="n">
        <f aca="false">TblConstr[[#This Row],[Cavern]]</f>
        <v>6</v>
      </c>
      <c r="H64" s="198" t="n">
        <f aca="false">TblConstr[[#This Row],[Water]]</f>
        <v>7</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618020</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254</v>
      </c>
      <c r="Y64" s="69" t="n">
        <f aca="false">TblRezone[[#This Row],[Total acres]]*TblRezone[[#This Row],[Plat/acre]]</f>
        <v>0</v>
      </c>
      <c r="Z64" s="245"/>
      <c r="AA64" s="69" t="n">
        <f aca="false">250+0.6*(TblRezone[[#This Row],[Land]]-250)</f>
        <v>487.6</v>
      </c>
      <c r="AB64" s="245"/>
      <c r="AC64" s="150" t="n">
        <f aca="false">TblConstr[[#This Row],[Facs DB]]</f>
        <v>0.0959752321981424</v>
      </c>
    </row>
    <row r="65" customFormat="false" ht="12.75" hidden="false" customHeight="false" outlineLevel="0" collapsed="false">
      <c r="A65" s="181" t="n">
        <f aca="false">TblConstr[[#This Row],[Land]]</f>
        <v>646</v>
      </c>
      <c r="B65" s="246" t="n">
        <f aca="false">TblConstr[[#This Row],[Plain]]</f>
        <v>-81</v>
      </c>
      <c r="C65" s="193" t="n">
        <f aca="false">TblConstr[[#This Row],[Forest]]</f>
        <v>2</v>
      </c>
      <c r="D65" s="200" t="n">
        <f aca="false">TblConstr[[#This Row],[Mountain]]</f>
        <v>3</v>
      </c>
      <c r="E65" s="201" t="n">
        <f aca="false">TblConstr[[#This Row],[Hill]]</f>
        <v>4</v>
      </c>
      <c r="F65" s="202" t="n">
        <f aca="false">TblConstr[[#This Row],[Swamp]]</f>
        <v>5</v>
      </c>
      <c r="G65" s="197" t="n">
        <f aca="false">TblConstr[[#This Row],[Cavern]]</f>
        <v>6</v>
      </c>
      <c r="H65" s="198" t="n">
        <f aca="false">TblConstr[[#This Row],[Water]]</f>
        <v>7</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718144</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443</v>
      </c>
      <c r="Y65" s="69" t="n">
        <f aca="false">TblRezone[[#This Row],[Total acres]]*TblRezone[[#This Row],[Plat/acre]]</f>
        <v>0</v>
      </c>
      <c r="Z65" s="245"/>
      <c r="AA65" s="69" t="n">
        <f aca="false">250+0.6*(TblRezone[[#This Row],[Land]]-250)</f>
        <v>487.6</v>
      </c>
      <c r="AB65" s="245"/>
      <c r="AC65" s="150" t="n">
        <f aca="false">TblConstr[[#This Row],[Facs DB]]</f>
        <v>0.0185758513931889</v>
      </c>
    </row>
    <row r="66" customFormat="false" ht="12.75" hidden="false" customHeight="false" outlineLevel="0" collapsed="false">
      <c r="A66" s="181" t="n">
        <f aca="false">TblConstr[[#This Row],[Land]]</f>
        <v>646</v>
      </c>
      <c r="B66" s="246" t="n">
        <f aca="false">TblConstr[[#This Row],[Plain]]</f>
        <v>-81</v>
      </c>
      <c r="C66" s="193" t="n">
        <f aca="false">TblConstr[[#This Row],[Forest]]</f>
        <v>2</v>
      </c>
      <c r="D66" s="200" t="n">
        <f aca="false">TblConstr[[#This Row],[Mountain]]</f>
        <v>3</v>
      </c>
      <c r="E66" s="201" t="n">
        <f aca="false">TblConstr[[#This Row],[Hill]]</f>
        <v>4</v>
      </c>
      <c r="F66" s="202" t="n">
        <f aca="false">TblConstr[[#This Row],[Swamp]]</f>
        <v>5</v>
      </c>
      <c r="G66" s="197" t="n">
        <f aca="false">TblConstr[[#This Row],[Cavern]]</f>
        <v>6</v>
      </c>
      <c r="H66" s="198" t="n">
        <f aca="false">TblConstr[[#This Row],[Water]]</f>
        <v>7</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820522</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462</v>
      </c>
      <c r="Y66" s="69" t="n">
        <f aca="false">TblRezone[[#This Row],[Total acres]]*TblRezone[[#This Row],[Plat/acre]]</f>
        <v>0</v>
      </c>
      <c r="Z66" s="245"/>
      <c r="AA66" s="69" t="n">
        <f aca="false">250+0.6*(TblRezone[[#This Row],[Land]]-250)</f>
        <v>487.6</v>
      </c>
      <c r="AB66" s="245"/>
      <c r="AC66" s="150" t="n">
        <f aca="false">TblConstr[[#This Row],[Facs DB]]</f>
        <v>0.0108359133126935</v>
      </c>
    </row>
    <row r="67" customFormat="false" ht="12.75" hidden="false" customHeight="false" outlineLevel="0" collapsed="false">
      <c r="A67" s="181" t="n">
        <f aca="false">TblConstr[[#This Row],[Land]]</f>
        <v>646</v>
      </c>
      <c r="B67" s="246" t="n">
        <f aca="false">TblConstr[[#This Row],[Plain]]</f>
        <v>-81</v>
      </c>
      <c r="C67" s="193" t="n">
        <f aca="false">TblConstr[[#This Row],[Forest]]</f>
        <v>2</v>
      </c>
      <c r="D67" s="200" t="n">
        <f aca="false">TblConstr[[#This Row],[Mountain]]</f>
        <v>3</v>
      </c>
      <c r="E67" s="201" t="n">
        <f aca="false">TblConstr[[#This Row],[Hill]]</f>
        <v>4</v>
      </c>
      <c r="F67" s="202" t="n">
        <f aca="false">TblConstr[[#This Row],[Swamp]]</f>
        <v>5</v>
      </c>
      <c r="G67" s="197" t="n">
        <f aca="false">TblConstr[[#This Row],[Cavern]]</f>
        <v>6</v>
      </c>
      <c r="H67" s="198" t="n">
        <f aca="false">TblConstr[[#This Row],[Water]]</f>
        <v>7</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794516</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481</v>
      </c>
      <c r="Y67" s="69" t="n">
        <f aca="false">TblRezone[[#This Row],[Total acres]]*TblRezone[[#This Row],[Plat/acre]]</f>
        <v>0</v>
      </c>
      <c r="Z67" s="245"/>
      <c r="AA67" s="69" t="n">
        <f aca="false">250+0.6*(TblRezone[[#This Row],[Land]]-250)</f>
        <v>487.6</v>
      </c>
      <c r="AB67" s="245"/>
      <c r="AC67" s="150" t="n">
        <f aca="false">TblConstr[[#This Row],[Facs DB]]</f>
        <v>0.00309597523219814</v>
      </c>
    </row>
    <row r="68" customFormat="false" ht="12.75" hidden="false" customHeight="false" outlineLevel="0" collapsed="false">
      <c r="A68" s="181" t="n">
        <f aca="false">TblConstr[[#This Row],[Land]]</f>
        <v>646</v>
      </c>
      <c r="B68" s="246" t="n">
        <f aca="false">TblConstr[[#This Row],[Plain]]</f>
        <v>-81</v>
      </c>
      <c r="C68" s="193" t="n">
        <f aca="false">TblConstr[[#This Row],[Forest]]</f>
        <v>2</v>
      </c>
      <c r="D68" s="200" t="n">
        <f aca="false">TblConstr[[#This Row],[Mountain]]</f>
        <v>3</v>
      </c>
      <c r="E68" s="201" t="n">
        <f aca="false">TblConstr[[#This Row],[Hill]]</f>
        <v>4</v>
      </c>
      <c r="F68" s="202" t="n">
        <f aca="false">TblConstr[[#This Row],[Swamp]]</f>
        <v>5</v>
      </c>
      <c r="G68" s="197" t="n">
        <f aca="false">TblConstr[[#This Row],[Cavern]]</f>
        <v>6</v>
      </c>
      <c r="H68" s="198" t="n">
        <f aca="false">TblConstr[[#This Row],[Water]]</f>
        <v>7</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887582</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488</v>
      </c>
      <c r="Y68" s="69" t="n">
        <f aca="false">TblRezone[[#This Row],[Total acres]]*TblRezone[[#This Row],[Plat/acre]]</f>
        <v>0</v>
      </c>
      <c r="Z68" s="245"/>
      <c r="AA68" s="69" t="n">
        <f aca="false">250+0.6*(TblRezone[[#This Row],[Land]]-250)</f>
        <v>487.6</v>
      </c>
      <c r="AB68" s="245"/>
      <c r="AC68" s="150" t="n">
        <f aca="false">TblConstr[[#This Row],[Facs DB]]</f>
        <v>0</v>
      </c>
    </row>
    <row r="69" customFormat="false" ht="12.75" hidden="false" customHeight="false" outlineLevel="0" collapsed="false">
      <c r="A69" s="181" t="n">
        <f aca="false">TblConstr[[#This Row],[Land]]</f>
        <v>646</v>
      </c>
      <c r="B69" s="246" t="n">
        <f aca="false">TblConstr[[#This Row],[Plain]]</f>
        <v>-81</v>
      </c>
      <c r="C69" s="193" t="n">
        <f aca="false">TblConstr[[#This Row],[Forest]]</f>
        <v>2</v>
      </c>
      <c r="D69" s="200" t="n">
        <f aca="false">TblConstr[[#This Row],[Mountain]]</f>
        <v>3</v>
      </c>
      <c r="E69" s="201" t="n">
        <f aca="false">TblConstr[[#This Row],[Hill]]</f>
        <v>4</v>
      </c>
      <c r="F69" s="202" t="n">
        <f aca="false">TblConstr[[#This Row],[Swamp]]</f>
        <v>5</v>
      </c>
      <c r="G69" s="197" t="n">
        <f aca="false">TblConstr[[#This Row],[Cavern]]</f>
        <v>6</v>
      </c>
      <c r="H69" s="198" t="n">
        <f aca="false">TblConstr[[#This Row],[Water]]</f>
        <v>7</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980815</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488</v>
      </c>
      <c r="Y69" s="69" t="n">
        <f aca="false">TblRezone[[#This Row],[Total acres]]*TblRezone[[#This Row],[Plat/acre]]</f>
        <v>0</v>
      </c>
      <c r="Z69" s="245"/>
      <c r="AA69" s="69" t="n">
        <f aca="false">250+0.6*(TblRezone[[#This Row],[Land]]-250)</f>
        <v>487.6</v>
      </c>
      <c r="AB69" s="245"/>
      <c r="AC69" s="150" t="n">
        <f aca="false">TblConstr[[#This Row],[Facs DB]]</f>
        <v>0</v>
      </c>
    </row>
    <row r="70" customFormat="false" ht="12.75" hidden="false" customHeight="false" outlineLevel="0" collapsed="false">
      <c r="A70" s="181" t="n">
        <f aca="false">TblConstr[[#This Row],[Land]]</f>
        <v>646</v>
      </c>
      <c r="B70" s="246" t="n">
        <f aca="false">TblConstr[[#This Row],[Plain]]</f>
        <v>-81</v>
      </c>
      <c r="C70" s="193" t="n">
        <f aca="false">TblConstr[[#This Row],[Forest]]</f>
        <v>2</v>
      </c>
      <c r="D70" s="200" t="n">
        <f aca="false">TblConstr[[#This Row],[Mountain]]</f>
        <v>3</v>
      </c>
      <c r="E70" s="201" t="n">
        <f aca="false">TblConstr[[#This Row],[Hill]]</f>
        <v>4</v>
      </c>
      <c r="F70" s="202" t="n">
        <f aca="false">TblConstr[[#This Row],[Swamp]]</f>
        <v>5</v>
      </c>
      <c r="G70" s="197" t="n">
        <f aca="false">TblConstr[[#This Row],[Cavern]]</f>
        <v>6</v>
      </c>
      <c r="H70" s="198" t="n">
        <f aca="false">TblConstr[[#This Row],[Water]]</f>
        <v>7</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1048413</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488</v>
      </c>
      <c r="Y70" s="69" t="n">
        <f aca="false">TblRezone[[#This Row],[Total acres]]*TblRezone[[#This Row],[Plat/acre]]</f>
        <v>0</v>
      </c>
      <c r="Z70" s="245"/>
      <c r="AA70" s="69" t="n">
        <f aca="false">250+0.6*(TblRezone[[#This Row],[Land]]-250)</f>
        <v>487.6</v>
      </c>
      <c r="AB70" s="245"/>
      <c r="AC70" s="150" t="n">
        <f aca="false">TblConstr[[#This Row],[Facs DB]]</f>
        <v>0</v>
      </c>
    </row>
    <row r="71" customFormat="false" ht="12.75" hidden="false" customHeight="false" outlineLevel="0" collapsed="false">
      <c r="A71" s="181" t="n">
        <f aca="false">TblConstr[[#This Row],[Land]]</f>
        <v>646</v>
      </c>
      <c r="B71" s="246" t="n">
        <f aca="false">TblConstr[[#This Row],[Plain]]</f>
        <v>-81</v>
      </c>
      <c r="C71" s="193" t="n">
        <f aca="false">TblConstr[[#This Row],[Forest]]</f>
        <v>2</v>
      </c>
      <c r="D71" s="200" t="n">
        <f aca="false">TblConstr[[#This Row],[Mountain]]</f>
        <v>3</v>
      </c>
      <c r="E71" s="201" t="n">
        <f aca="false">TblConstr[[#This Row],[Hill]]</f>
        <v>4</v>
      </c>
      <c r="F71" s="202" t="n">
        <f aca="false">TblConstr[[#This Row],[Swamp]]</f>
        <v>5</v>
      </c>
      <c r="G71" s="197" t="n">
        <f aca="false">TblConstr[[#This Row],[Cavern]]</f>
        <v>6</v>
      </c>
      <c r="H71" s="198" t="n">
        <f aca="false">TblConstr[[#This Row],[Water]]</f>
        <v>7</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1119594</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488</v>
      </c>
      <c r="Y71" s="69" t="n">
        <f aca="false">TblRezone[[#This Row],[Total acres]]*TblRezone[[#This Row],[Plat/acre]]</f>
        <v>0</v>
      </c>
      <c r="Z71" s="245"/>
      <c r="AA71" s="69" t="n">
        <f aca="false">250+0.6*(TblRezone[[#This Row],[Land]]-250)</f>
        <v>487.6</v>
      </c>
      <c r="AB71" s="245"/>
      <c r="AC71" s="150" t="n">
        <f aca="false">TblConstr[[#This Row],[Facs DB]]</f>
        <v>0</v>
      </c>
    </row>
    <row r="72" customFormat="false" ht="12.75" hidden="false" customHeight="false" outlineLevel="0" collapsed="false">
      <c r="A72" s="181" t="n">
        <f aca="false">TblConstr[[#This Row],[Land]]</f>
        <v>646</v>
      </c>
      <c r="B72" s="246" t="n">
        <f aca="false">TblConstr[[#This Row],[Plain]]</f>
        <v>-81</v>
      </c>
      <c r="C72" s="193" t="n">
        <f aca="false">TblConstr[[#This Row],[Forest]]</f>
        <v>2</v>
      </c>
      <c r="D72" s="200" t="n">
        <f aca="false">TblConstr[[#This Row],[Mountain]]</f>
        <v>3</v>
      </c>
      <c r="E72" s="201" t="n">
        <f aca="false">TblConstr[[#This Row],[Hill]]</f>
        <v>4</v>
      </c>
      <c r="F72" s="202" t="n">
        <f aca="false">TblConstr[[#This Row],[Swamp]]</f>
        <v>5</v>
      </c>
      <c r="G72" s="197" t="n">
        <f aca="false">TblConstr[[#This Row],[Cavern]]</f>
        <v>6</v>
      </c>
      <c r="H72" s="198" t="n">
        <f aca="false">TblConstr[[#This Row],[Water]]</f>
        <v>7</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1169451</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488</v>
      </c>
      <c r="Y72" s="69" t="n">
        <f aca="false">TblRezone[[#This Row],[Total acres]]*TblRezone[[#This Row],[Plat/acre]]</f>
        <v>0</v>
      </c>
      <c r="Z72" s="245"/>
      <c r="AA72" s="69" t="n">
        <f aca="false">250+0.6*(TblRezone[[#This Row],[Land]]-250)</f>
        <v>487.6</v>
      </c>
      <c r="AB72" s="245"/>
      <c r="AC72" s="150" t="n">
        <f aca="false">TblConstr[[#This Row],[Facs DB]]</f>
        <v>0</v>
      </c>
    </row>
    <row r="73" customFormat="false" ht="12.75" hidden="false" customHeight="false" outlineLevel="0" collapsed="false">
      <c r="A73" s="181" t="n">
        <f aca="false">TblConstr[[#This Row],[Land]]</f>
        <v>646</v>
      </c>
      <c r="B73" s="246" t="n">
        <f aca="false">TblConstr[[#This Row],[Plain]]</f>
        <v>-81</v>
      </c>
      <c r="C73" s="193" t="n">
        <f aca="false">TblConstr[[#This Row],[Forest]]</f>
        <v>2</v>
      </c>
      <c r="D73" s="200" t="n">
        <f aca="false">TblConstr[[#This Row],[Mountain]]</f>
        <v>3</v>
      </c>
      <c r="E73" s="201" t="n">
        <f aca="false">TblConstr[[#This Row],[Hill]]</f>
        <v>4</v>
      </c>
      <c r="F73" s="202" t="n">
        <f aca="false">TblConstr[[#This Row],[Swamp]]</f>
        <v>5</v>
      </c>
      <c r="G73" s="197" t="n">
        <f aca="false">TblConstr[[#This Row],[Cavern]]</f>
        <v>6</v>
      </c>
      <c r="H73" s="198" t="n">
        <f aca="false">TblConstr[[#This Row],[Water]]</f>
        <v>7</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1219619</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488</v>
      </c>
      <c r="Y73" s="69" t="n">
        <f aca="false">TblRezone[[#This Row],[Total acres]]*TblRezone[[#This Row],[Plat/acre]]</f>
        <v>0</v>
      </c>
      <c r="Z73" s="245"/>
      <c r="AA73" s="69" t="n">
        <f aca="false">250+0.6*(TblRezone[[#This Row],[Land]]-250)</f>
        <v>487.6</v>
      </c>
      <c r="AB73" s="245"/>
      <c r="AC73" s="150" t="n">
        <f aca="false">TblConstr[[#This Row],[Facs DB]]</f>
        <v>0</v>
      </c>
    </row>
    <row r="74" customFormat="false" ht="12.75" hidden="false" customHeight="false" outlineLevel="0" collapsed="false">
      <c r="A74" s="181" t="n">
        <f aca="false">TblConstr[[#This Row],[Land]]</f>
        <v>646</v>
      </c>
      <c r="B74" s="246" t="n">
        <f aca="false">TblConstr[[#This Row],[Plain]]</f>
        <v>-81</v>
      </c>
      <c r="C74" s="193" t="n">
        <f aca="false">TblConstr[[#This Row],[Forest]]</f>
        <v>2</v>
      </c>
      <c r="D74" s="200" t="n">
        <f aca="false">TblConstr[[#This Row],[Mountain]]</f>
        <v>3</v>
      </c>
      <c r="E74" s="201" t="n">
        <f aca="false">TblConstr[[#This Row],[Hill]]</f>
        <v>4</v>
      </c>
      <c r="F74" s="202" t="n">
        <f aca="false">TblConstr[[#This Row],[Swamp]]</f>
        <v>5</v>
      </c>
      <c r="G74" s="197" t="n">
        <f aca="false">TblConstr[[#This Row],[Cavern]]</f>
        <v>6</v>
      </c>
      <c r="H74" s="198" t="n">
        <f aca="false">TblConstr[[#This Row],[Water]]</f>
        <v>7</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1270101</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488</v>
      </c>
      <c r="Y74" s="69" t="n">
        <f aca="false">TblRezone[[#This Row],[Total acres]]*TblRezone[[#This Row],[Plat/acre]]</f>
        <v>0</v>
      </c>
      <c r="Z74" s="245"/>
      <c r="AA74" s="69" t="n">
        <f aca="false">250+0.6*(TblRezone[[#This Row],[Land]]-250)</f>
        <v>487.6</v>
      </c>
      <c r="AB74" s="245"/>
      <c r="AC74" s="150" t="n">
        <f aca="false">TblConstr[[#This Row],[Facs DB]]</f>
        <v>0</v>
      </c>
    </row>
    <row r="75" customFormat="false" ht="12.75" hidden="false" customHeight="false" outlineLevel="0" collapsed="false">
      <c r="A75" s="181" t="n">
        <f aca="false">TblConstr[[#This Row],[Land]]</f>
        <v>646</v>
      </c>
      <c r="B75" s="246" t="n">
        <f aca="false">TblConstr[[#This Row],[Plain]]</f>
        <v>-81</v>
      </c>
      <c r="C75" s="193" t="n">
        <f aca="false">TblConstr[[#This Row],[Forest]]</f>
        <v>2</v>
      </c>
      <c r="D75" s="200" t="n">
        <f aca="false">TblConstr[[#This Row],[Mountain]]</f>
        <v>3</v>
      </c>
      <c r="E75" s="201" t="n">
        <f aca="false">TblConstr[[#This Row],[Hill]]</f>
        <v>4</v>
      </c>
      <c r="F75" s="202" t="n">
        <f aca="false">TblConstr[[#This Row],[Swamp]]</f>
        <v>5</v>
      </c>
      <c r="G75" s="197" t="n">
        <f aca="false">TblConstr[[#This Row],[Cavern]]</f>
        <v>6</v>
      </c>
      <c r="H75" s="198" t="n">
        <f aca="false">TblConstr[[#This Row],[Water]]</f>
        <v>7</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1320899</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488</v>
      </c>
      <c r="Y75" s="69" t="n">
        <f aca="false">TblRezone[[#This Row],[Total acres]]*TblRezone[[#This Row],[Plat/acre]]</f>
        <v>0</v>
      </c>
      <c r="Z75" s="245"/>
      <c r="AA75" s="69" t="n">
        <f aca="false">250+0.6*(TblRezone[[#This Row],[Land]]-250)</f>
        <v>487.6</v>
      </c>
      <c r="AB75" s="245"/>
      <c r="AC75" s="150" t="n">
        <f aca="false">TblConstr[[#This Row],[Facs DB]]</f>
        <v>0</v>
      </c>
    </row>
    <row r="76" customFormat="false" ht="12.75" hidden="false" customHeight="false" outlineLevel="0" collapsed="false">
      <c r="A76" s="222" t="n">
        <f aca="false">TblConstr[[#This Row],[Land]]</f>
        <v>646</v>
      </c>
      <c r="B76" s="265" t="n">
        <f aca="false">TblConstr[[#This Row],[Plain]]</f>
        <v>-81</v>
      </c>
      <c r="C76" s="216" t="n">
        <f aca="false">TblConstr[[#This Row],[Forest]]</f>
        <v>2</v>
      </c>
      <c r="D76" s="217" t="n">
        <f aca="false">TblConstr[[#This Row],[Mountain]]</f>
        <v>3</v>
      </c>
      <c r="E76" s="218" t="n">
        <f aca="false">TblConstr[[#This Row],[Hill]]</f>
        <v>4</v>
      </c>
      <c r="F76" s="219" t="n">
        <f aca="false">TblConstr[[#This Row],[Swamp]]</f>
        <v>5</v>
      </c>
      <c r="G76" s="220" t="n">
        <f aca="false">TblConstr[[#This Row],[Cavern]]</f>
        <v>6</v>
      </c>
      <c r="H76" s="221" t="n">
        <f aca="false">TblConstr[[#This Row],[Water]]</f>
        <v>7</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1372417</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488</v>
      </c>
      <c r="Y76" s="226" t="n">
        <f aca="false">TblRezone[[#This Row],[Total acres]]*TblRezone[[#This Row],[Plat/acre]]</f>
        <v>0</v>
      </c>
      <c r="Z76" s="264"/>
      <c r="AA76" s="226" t="n">
        <f aca="false">250+0.6*(TblRezone[[#This Row],[Land]]-250)</f>
        <v>487.6</v>
      </c>
      <c r="AB76" s="264"/>
      <c r="AC76" s="272" t="n">
        <f aca="false">TblConstr[[#This Row],[Facs DB]]</f>
        <v>0</v>
      </c>
    </row>
    <row r="77" customFormat="false" ht="12.75" hidden="false" customHeight="false" outlineLevel="0" collapsed="false">
      <c r="A77" s="181" t="n">
        <f aca="false">TblConstr[[#This Row],[Land]]</f>
        <v>646</v>
      </c>
      <c r="B77" s="246" t="n">
        <f aca="false">TblConstr[[#This Row],[Plain]]</f>
        <v>-81</v>
      </c>
      <c r="C77" s="193" t="n">
        <f aca="false">TblConstr[[#This Row],[Forest]]</f>
        <v>2</v>
      </c>
      <c r="D77" s="200" t="n">
        <f aca="false">TblConstr[[#This Row],[Mountain]]</f>
        <v>3</v>
      </c>
      <c r="E77" s="201" t="n">
        <f aca="false">TblConstr[[#This Row],[Hill]]</f>
        <v>4</v>
      </c>
      <c r="F77" s="202" t="n">
        <f aca="false">TblConstr[[#This Row],[Swamp]]</f>
        <v>5</v>
      </c>
      <c r="G77" s="197" t="n">
        <f aca="false">TblConstr[[#This Row],[Cavern]]</f>
        <v>6</v>
      </c>
      <c r="H77" s="198" t="n">
        <f aca="false">TblConstr[[#This Row],[Water]]</f>
        <v>7</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1444626</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488</v>
      </c>
      <c r="Y77" s="69" t="n">
        <f aca="false">TblRezone[[#This Row],[Total acres]]*TblRezone[[#This Row],[Plat/acre]]</f>
        <v>0</v>
      </c>
      <c r="Z77" s="245"/>
      <c r="AA77" s="69" t="n">
        <f aca="false">250+0.6*(TblRezone[[#This Row],[Land]]-250)</f>
        <v>487.6</v>
      </c>
      <c r="AB77" s="245"/>
      <c r="AC77" s="150" t="n">
        <f aca="false">TblConstr[[#This Row],[Facs DB]]</f>
        <v>0</v>
      </c>
    </row>
    <row r="78" customFormat="false" ht="12.75" hidden="false" customHeight="false" outlineLevel="0" collapsed="false">
      <c r="A78" s="181" t="n">
        <f aca="false">TblConstr[[#This Row],[Land]]</f>
        <v>646</v>
      </c>
      <c r="B78" s="246" t="n">
        <f aca="false">TblConstr[[#This Row],[Plain]]</f>
        <v>-81</v>
      </c>
      <c r="C78" s="193" t="n">
        <f aca="false">TblConstr[[#This Row],[Forest]]</f>
        <v>2</v>
      </c>
      <c r="D78" s="200" t="n">
        <f aca="false">TblConstr[[#This Row],[Mountain]]</f>
        <v>3</v>
      </c>
      <c r="E78" s="201" t="n">
        <f aca="false">TblConstr[[#This Row],[Hill]]</f>
        <v>4</v>
      </c>
      <c r="F78" s="202" t="n">
        <f aca="false">TblConstr[[#This Row],[Swamp]]</f>
        <v>5</v>
      </c>
      <c r="G78" s="197" t="n">
        <f aca="false">TblConstr[[#This Row],[Cavern]]</f>
        <v>6</v>
      </c>
      <c r="H78" s="198" t="n">
        <f aca="false">TblConstr[[#This Row],[Water]]</f>
        <v>7</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1536850</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488</v>
      </c>
      <c r="Y78" s="69" t="n">
        <f aca="false">TblRezone[[#This Row],[Total acres]]*TblRezone[[#This Row],[Plat/acre]]</f>
        <v>0</v>
      </c>
      <c r="Z78" s="245"/>
      <c r="AA78" s="69" t="n">
        <f aca="false">250+0.6*(TblRezone[[#This Row],[Land]]-250)</f>
        <v>487.6</v>
      </c>
      <c r="AB78" s="245"/>
      <c r="AC78" s="150" t="n">
        <f aca="false">TblConstr[[#This Row],[Facs DB]]</f>
        <v>0</v>
      </c>
    </row>
    <row r="79" customFormat="false" ht="12.75" hidden="false" customHeight="false" outlineLevel="0" collapsed="false">
      <c r="A79" s="181" t="n">
        <f aca="false">TblConstr[[#This Row],[Land]]</f>
        <v>646</v>
      </c>
      <c r="B79" s="246" t="n">
        <f aca="false">TblConstr[[#This Row],[Plain]]</f>
        <v>-81</v>
      </c>
      <c r="C79" s="193" t="n">
        <f aca="false">TblConstr[[#This Row],[Forest]]</f>
        <v>2</v>
      </c>
      <c r="D79" s="200" t="n">
        <f aca="false">TblConstr[[#This Row],[Mountain]]</f>
        <v>3</v>
      </c>
      <c r="E79" s="201" t="n">
        <f aca="false">TblConstr[[#This Row],[Hill]]</f>
        <v>4</v>
      </c>
      <c r="F79" s="202" t="n">
        <f aca="false">TblConstr[[#This Row],[Swamp]]</f>
        <v>5</v>
      </c>
      <c r="G79" s="197" t="n">
        <f aca="false">TblConstr[[#This Row],[Cavern]]</f>
        <v>6</v>
      </c>
      <c r="H79" s="198" t="n">
        <f aca="false">TblConstr[[#This Row],[Water]]</f>
        <v>7</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1629086</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488</v>
      </c>
      <c r="Y79" s="69" t="n">
        <f aca="false">TblRezone[[#This Row],[Total acres]]*TblRezone[[#This Row],[Plat/acre]]</f>
        <v>0</v>
      </c>
      <c r="Z79" s="245"/>
      <c r="AA79" s="69" t="n">
        <f aca="false">250+0.6*(TblRezone[[#This Row],[Land]]-250)</f>
        <v>487.6</v>
      </c>
      <c r="AB79" s="245"/>
      <c r="AC79" s="150" t="n">
        <f aca="false">TblConstr[[#This Row],[Facs DB]]</f>
        <v>0</v>
      </c>
    </row>
    <row r="80" customFormat="false" ht="12.75" hidden="false" customHeight="false" outlineLevel="0" collapsed="false">
      <c r="A80" s="181" t="n">
        <f aca="false">TblConstr[[#This Row],[Land]]</f>
        <v>646</v>
      </c>
      <c r="B80" s="246" t="n">
        <f aca="false">TblConstr[[#This Row],[Plain]]</f>
        <v>-81</v>
      </c>
      <c r="C80" s="193" t="n">
        <f aca="false">TblConstr[[#This Row],[Forest]]</f>
        <v>2</v>
      </c>
      <c r="D80" s="200" t="n">
        <f aca="false">TblConstr[[#This Row],[Mountain]]</f>
        <v>3</v>
      </c>
      <c r="E80" s="201" t="n">
        <f aca="false">TblConstr[[#This Row],[Hill]]</f>
        <v>4</v>
      </c>
      <c r="F80" s="202" t="n">
        <f aca="false">TblConstr[[#This Row],[Swamp]]</f>
        <v>5</v>
      </c>
      <c r="G80" s="197" t="n">
        <f aca="false">TblConstr[[#This Row],[Cavern]]</f>
        <v>6</v>
      </c>
      <c r="H80" s="198" t="n">
        <f aca="false">TblConstr[[#This Row],[Water]]</f>
        <v>7</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1777315</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488</v>
      </c>
      <c r="Y80" s="69" t="n">
        <f aca="false">TblRezone[[#This Row],[Total acres]]*TblRezone[[#This Row],[Plat/acre]]</f>
        <v>0</v>
      </c>
      <c r="Z80" s="245"/>
      <c r="AA80" s="69" t="n">
        <f aca="false">250+0.6*(TblRezone[[#This Row],[Land]]-250)</f>
        <v>487.6</v>
      </c>
      <c r="AB80" s="245"/>
      <c r="AC80" s="150" t="n">
        <f aca="false">TblConstr[[#This Row],[Facs DB]]</f>
        <v>0</v>
      </c>
    </row>
    <row r="81" customFormat="false" ht="12.75" hidden="false" customHeight="false" outlineLevel="0" collapsed="false">
      <c r="A81" s="181" t="n">
        <f aca="false">TblConstr[[#This Row],[Land]]</f>
        <v>646</v>
      </c>
      <c r="B81" s="246" t="n">
        <f aca="false">TblConstr[[#This Row],[Plain]]</f>
        <v>-81</v>
      </c>
      <c r="C81" s="193" t="n">
        <f aca="false">TblConstr[[#This Row],[Forest]]</f>
        <v>2</v>
      </c>
      <c r="D81" s="200" t="n">
        <f aca="false">TblConstr[[#This Row],[Mountain]]</f>
        <v>3</v>
      </c>
      <c r="E81" s="201" t="n">
        <f aca="false">TblConstr[[#This Row],[Hill]]</f>
        <v>4</v>
      </c>
      <c r="F81" s="202" t="n">
        <f aca="false">TblConstr[[#This Row],[Swamp]]</f>
        <v>5</v>
      </c>
      <c r="G81" s="197" t="n">
        <f aca="false">TblConstr[[#This Row],[Cavern]]</f>
        <v>6</v>
      </c>
      <c r="H81" s="198" t="n">
        <f aca="false">TblConstr[[#This Row],[Water]]</f>
        <v>7</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1887924</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488</v>
      </c>
      <c r="Y81" s="69" t="n">
        <f aca="false">TblRezone[[#This Row],[Total acres]]*TblRezone[[#This Row],[Plat/acre]]</f>
        <v>0</v>
      </c>
      <c r="Z81" s="245"/>
      <c r="AA81" s="69" t="n">
        <f aca="false">250+0.6*(TblRezone[[#This Row],[Land]]-250)</f>
        <v>487.6</v>
      </c>
      <c r="AB81" s="245"/>
      <c r="AC81" s="150" t="n">
        <f aca="false">TblConstr[[#This Row],[Facs DB]]</f>
        <v>0</v>
      </c>
    </row>
    <row r="82" customFormat="false" ht="12.75" hidden="false" customHeight="false" outlineLevel="0" collapsed="false">
      <c r="A82" s="181" t="n">
        <f aca="false">TblConstr[[#This Row],[Land]]</f>
        <v>646</v>
      </c>
      <c r="B82" s="246" t="n">
        <f aca="false">TblConstr[[#This Row],[Plain]]</f>
        <v>-81</v>
      </c>
      <c r="C82" s="193" t="n">
        <f aca="false">TblConstr[[#This Row],[Forest]]</f>
        <v>2</v>
      </c>
      <c r="D82" s="200" t="n">
        <f aca="false">TblConstr[[#This Row],[Mountain]]</f>
        <v>3</v>
      </c>
      <c r="E82" s="201" t="n">
        <f aca="false">TblConstr[[#This Row],[Hill]]</f>
        <v>4</v>
      </c>
      <c r="F82" s="202" t="n">
        <f aca="false">TblConstr[[#This Row],[Swamp]]</f>
        <v>5</v>
      </c>
      <c r="G82" s="197" t="n">
        <f aca="false">TblConstr[[#This Row],[Cavern]]</f>
        <v>6</v>
      </c>
      <c r="H82" s="198" t="n">
        <f aca="false">TblConstr[[#This Row],[Water]]</f>
        <v>7</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1998257</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488</v>
      </c>
      <c r="Y82" s="69" t="n">
        <f aca="false">TblRezone[[#This Row],[Total acres]]*TblRezone[[#This Row],[Plat/acre]]</f>
        <v>0</v>
      </c>
      <c r="Z82" s="245"/>
      <c r="AA82" s="69" t="n">
        <f aca="false">250+0.6*(TblRezone[[#This Row],[Land]]-250)</f>
        <v>487.6</v>
      </c>
      <c r="AB82" s="245"/>
      <c r="AC82" s="150" t="n">
        <f aca="false">TblConstr[[#This Row],[Facs DB]]</f>
        <v>0</v>
      </c>
    </row>
    <row r="83" customFormat="false" ht="12.75" hidden="false" customHeight="false" outlineLevel="0" collapsed="false">
      <c r="A83" s="181" t="n">
        <f aca="false">TblConstr[[#This Row],[Land]]</f>
        <v>646</v>
      </c>
      <c r="B83" s="246" t="n">
        <f aca="false">TblConstr[[#This Row],[Plain]]</f>
        <v>-81</v>
      </c>
      <c r="C83" s="193" t="n">
        <f aca="false">TblConstr[[#This Row],[Forest]]</f>
        <v>2</v>
      </c>
      <c r="D83" s="200" t="n">
        <f aca="false">TblConstr[[#This Row],[Mountain]]</f>
        <v>3</v>
      </c>
      <c r="E83" s="201" t="n">
        <f aca="false">TblConstr[[#This Row],[Hill]]</f>
        <v>4</v>
      </c>
      <c r="F83" s="202" t="n">
        <f aca="false">TblConstr[[#This Row],[Swamp]]</f>
        <v>5</v>
      </c>
      <c r="G83" s="197" t="n">
        <f aca="false">TblConstr[[#This Row],[Cavern]]</f>
        <v>6</v>
      </c>
      <c r="H83" s="198" t="n">
        <f aca="false">TblConstr[[#This Row],[Water]]</f>
        <v>7</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2108317</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488</v>
      </c>
      <c r="Y83" s="69" t="n">
        <f aca="false">TblRezone[[#This Row],[Total acres]]*TblRezone[[#This Row],[Plat/acre]]</f>
        <v>0</v>
      </c>
      <c r="Z83" s="245"/>
      <c r="AA83" s="69" t="n">
        <f aca="false">250+0.6*(TblRezone[[#This Row],[Land]]-250)</f>
        <v>487.6</v>
      </c>
      <c r="AB83" s="245"/>
      <c r="AC83" s="150" t="n">
        <f aca="false">TblConstr[[#This Row],[Facs DB]]</f>
        <v>0</v>
      </c>
    </row>
    <row r="84" customFormat="false" ht="12.75" hidden="false" customHeight="false" outlineLevel="0" collapsed="false">
      <c r="A84" s="181" t="n">
        <f aca="false">TblConstr[[#This Row],[Land]]</f>
        <v>646</v>
      </c>
      <c r="B84" s="246" t="n">
        <f aca="false">TblConstr[[#This Row],[Plain]]</f>
        <v>-81</v>
      </c>
      <c r="C84" s="193" t="n">
        <f aca="false">TblConstr[[#This Row],[Forest]]</f>
        <v>2</v>
      </c>
      <c r="D84" s="200" t="n">
        <f aca="false">TblConstr[[#This Row],[Mountain]]</f>
        <v>3</v>
      </c>
      <c r="E84" s="201" t="n">
        <f aca="false">TblConstr[[#This Row],[Hill]]</f>
        <v>4</v>
      </c>
      <c r="F84" s="202" t="n">
        <f aca="false">TblConstr[[#This Row],[Swamp]]</f>
        <v>5</v>
      </c>
      <c r="G84" s="197" t="n">
        <f aca="false">TblConstr[[#This Row],[Cavern]]</f>
        <v>6</v>
      </c>
      <c r="H84" s="198" t="n">
        <f aca="false">TblConstr[[#This Row],[Water]]</f>
        <v>7</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2218104</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488</v>
      </c>
      <c r="Y84" s="69" t="n">
        <f aca="false">TblRezone[[#This Row],[Total acres]]*TblRezone[[#This Row],[Plat/acre]]</f>
        <v>0</v>
      </c>
      <c r="Z84" s="245"/>
      <c r="AA84" s="69" t="n">
        <f aca="false">250+0.6*(TblRezone[[#This Row],[Land]]-250)</f>
        <v>487.6</v>
      </c>
      <c r="AB84" s="245"/>
      <c r="AC84" s="150" t="n">
        <f aca="false">TblConstr[[#This Row],[Facs DB]]</f>
        <v>0</v>
      </c>
    </row>
    <row r="85" customFormat="false" ht="12.75" hidden="false" customHeight="false" outlineLevel="0" collapsed="false">
      <c r="A85" s="181" t="n">
        <f aca="false">TblConstr[[#This Row],[Land]]</f>
        <v>646</v>
      </c>
      <c r="B85" s="246" t="n">
        <f aca="false">TblConstr[[#This Row],[Plain]]</f>
        <v>-81</v>
      </c>
      <c r="C85" s="193" t="n">
        <f aca="false">TblConstr[[#This Row],[Forest]]</f>
        <v>2</v>
      </c>
      <c r="D85" s="200" t="n">
        <f aca="false">TblConstr[[#This Row],[Mountain]]</f>
        <v>3</v>
      </c>
      <c r="E85" s="201" t="n">
        <f aca="false">TblConstr[[#This Row],[Hill]]</f>
        <v>4</v>
      </c>
      <c r="F85" s="202" t="n">
        <f aca="false">TblConstr[[#This Row],[Swamp]]</f>
        <v>5</v>
      </c>
      <c r="G85" s="197" t="n">
        <f aca="false">TblConstr[[#This Row],[Cavern]]</f>
        <v>6</v>
      </c>
      <c r="H85" s="198" t="n">
        <f aca="false">TblConstr[[#This Row],[Water]]</f>
        <v>7</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2327620</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488</v>
      </c>
      <c r="Y85" s="69" t="n">
        <f aca="false">TblRezone[[#This Row],[Total acres]]*TblRezone[[#This Row],[Plat/acre]]</f>
        <v>0</v>
      </c>
      <c r="Z85" s="245"/>
      <c r="AA85" s="69" t="n">
        <f aca="false">250+0.6*(TblRezone[[#This Row],[Land]]-250)</f>
        <v>487.6</v>
      </c>
      <c r="AB85" s="245"/>
      <c r="AC85" s="150" t="n">
        <f aca="false">TblConstr[[#This Row],[Facs DB]]</f>
        <v>0</v>
      </c>
    </row>
    <row r="86" customFormat="false" ht="12.75" hidden="false" customHeight="false" outlineLevel="0" collapsed="false">
      <c r="A86" s="181" t="n">
        <f aca="false">TblConstr[[#This Row],[Land]]</f>
        <v>646</v>
      </c>
      <c r="B86" s="246" t="n">
        <f aca="false">TblConstr[[#This Row],[Plain]]</f>
        <v>-81</v>
      </c>
      <c r="C86" s="193" t="n">
        <f aca="false">TblConstr[[#This Row],[Forest]]</f>
        <v>2</v>
      </c>
      <c r="D86" s="200" t="n">
        <f aca="false">TblConstr[[#This Row],[Mountain]]</f>
        <v>3</v>
      </c>
      <c r="E86" s="201" t="n">
        <f aca="false">TblConstr[[#This Row],[Hill]]</f>
        <v>4</v>
      </c>
      <c r="F86" s="202" t="n">
        <f aca="false">TblConstr[[#This Row],[Swamp]]</f>
        <v>5</v>
      </c>
      <c r="G86" s="197" t="n">
        <f aca="false">TblConstr[[#This Row],[Cavern]]</f>
        <v>6</v>
      </c>
      <c r="H86" s="198" t="n">
        <f aca="false">TblConstr[[#This Row],[Water]]</f>
        <v>7</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2436869</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488</v>
      </c>
      <c r="Y86" s="69" t="n">
        <f aca="false">TblRezone[[#This Row],[Total acres]]*TblRezone[[#This Row],[Plat/acre]]</f>
        <v>0</v>
      </c>
      <c r="Z86" s="245"/>
      <c r="AA86" s="69" t="n">
        <f aca="false">250+0.6*(TblRezone[[#This Row],[Land]]-250)</f>
        <v>487.6</v>
      </c>
      <c r="AB86" s="245"/>
      <c r="AC86" s="150" t="n">
        <f aca="false">TblConstr[[#This Row],[Facs DB]]</f>
        <v>0</v>
      </c>
    </row>
    <row r="87" customFormat="false" ht="12.75" hidden="false" customHeight="false" outlineLevel="0" collapsed="false">
      <c r="A87" s="181" t="n">
        <f aca="false">TblConstr[[#This Row],[Land]]</f>
        <v>646</v>
      </c>
      <c r="B87" s="246" t="n">
        <f aca="false">TblConstr[[#This Row],[Plain]]</f>
        <v>-81</v>
      </c>
      <c r="C87" s="193" t="n">
        <f aca="false">TblConstr[[#This Row],[Forest]]</f>
        <v>2</v>
      </c>
      <c r="D87" s="200" t="n">
        <f aca="false">TblConstr[[#This Row],[Mountain]]</f>
        <v>3</v>
      </c>
      <c r="E87" s="201" t="n">
        <f aca="false">TblConstr[[#This Row],[Hill]]</f>
        <v>4</v>
      </c>
      <c r="F87" s="202" t="n">
        <f aca="false">TblConstr[[#This Row],[Swamp]]</f>
        <v>5</v>
      </c>
      <c r="G87" s="197" t="n">
        <f aca="false">TblConstr[[#This Row],[Cavern]]</f>
        <v>6</v>
      </c>
      <c r="H87" s="198" t="n">
        <f aca="false">TblConstr[[#This Row],[Water]]</f>
        <v>7</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2545854</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488</v>
      </c>
      <c r="Y87" s="69" t="n">
        <f aca="false">TblRezone[[#This Row],[Total acres]]*TblRezone[[#This Row],[Plat/acre]]</f>
        <v>0</v>
      </c>
      <c r="Z87" s="245"/>
      <c r="AA87" s="69" t="n">
        <f aca="false">250+0.6*(TblRezone[[#This Row],[Land]]-250)</f>
        <v>487.6</v>
      </c>
      <c r="AB87" s="245"/>
      <c r="AC87" s="150" t="n">
        <f aca="false">TblConstr[[#This Row],[Facs DB]]</f>
        <v>0</v>
      </c>
    </row>
    <row r="88" customFormat="false" ht="12.75" hidden="false" customHeight="false" outlineLevel="0" collapsed="false">
      <c r="A88" s="181" t="n">
        <f aca="false">TblConstr[[#This Row],[Land]]</f>
        <v>646</v>
      </c>
      <c r="B88" s="246" t="n">
        <f aca="false">TblConstr[[#This Row],[Plain]]</f>
        <v>-81</v>
      </c>
      <c r="C88" s="193" t="n">
        <f aca="false">TblConstr[[#This Row],[Forest]]</f>
        <v>2</v>
      </c>
      <c r="D88" s="200" t="n">
        <f aca="false">TblConstr[[#This Row],[Mountain]]</f>
        <v>3</v>
      </c>
      <c r="E88" s="201" t="n">
        <f aca="false">TblConstr[[#This Row],[Hill]]</f>
        <v>4</v>
      </c>
      <c r="F88" s="202" t="n">
        <f aca="false">TblConstr[[#This Row],[Swamp]]</f>
        <v>5</v>
      </c>
      <c r="G88" s="197" t="n">
        <f aca="false">TblConstr[[#This Row],[Cavern]]</f>
        <v>6</v>
      </c>
      <c r="H88" s="198" t="n">
        <f aca="false">TblConstr[[#This Row],[Water]]</f>
        <v>7</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2654578</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488</v>
      </c>
      <c r="Y88" s="69" t="n">
        <f aca="false">TblRezone[[#This Row],[Total acres]]*TblRezone[[#This Row],[Plat/acre]]</f>
        <v>0</v>
      </c>
      <c r="Z88" s="245"/>
      <c r="AA88" s="69" t="n">
        <f aca="false">250+0.6*(TblRezone[[#This Row],[Land]]-250)</f>
        <v>487.6</v>
      </c>
      <c r="AB88" s="245"/>
      <c r="AC88" s="150" t="n">
        <f aca="false">TblConstr[[#This Row],[Facs DB]]</f>
        <v>0</v>
      </c>
    </row>
    <row r="89" customFormat="false" ht="12.75" hidden="false" customHeight="false" outlineLevel="0" collapsed="false">
      <c r="A89" s="181" t="n">
        <f aca="false">TblConstr[[#This Row],[Land]]</f>
        <v>646</v>
      </c>
      <c r="B89" s="246" t="n">
        <f aca="false">TblConstr[[#This Row],[Plain]]</f>
        <v>-81</v>
      </c>
      <c r="C89" s="193" t="n">
        <f aca="false">TblConstr[[#This Row],[Forest]]</f>
        <v>2</v>
      </c>
      <c r="D89" s="200" t="n">
        <f aca="false">TblConstr[[#This Row],[Mountain]]</f>
        <v>3</v>
      </c>
      <c r="E89" s="201" t="n">
        <f aca="false">TblConstr[[#This Row],[Hill]]</f>
        <v>4</v>
      </c>
      <c r="F89" s="202" t="n">
        <f aca="false">TblConstr[[#This Row],[Swamp]]</f>
        <v>5</v>
      </c>
      <c r="G89" s="197" t="n">
        <f aca="false">TblConstr[[#This Row],[Cavern]]</f>
        <v>6</v>
      </c>
      <c r="H89" s="198" t="n">
        <f aca="false">TblConstr[[#This Row],[Water]]</f>
        <v>7</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2763043</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488</v>
      </c>
      <c r="Y89" s="69" t="n">
        <f aca="false">TblRezone[[#This Row],[Total acres]]*TblRezone[[#This Row],[Plat/acre]]</f>
        <v>0</v>
      </c>
      <c r="Z89" s="245"/>
      <c r="AA89" s="69" t="n">
        <f aca="false">250+0.6*(TblRezone[[#This Row],[Land]]-250)</f>
        <v>487.6</v>
      </c>
      <c r="AB89" s="245"/>
      <c r="AC89" s="150" t="n">
        <f aca="false">TblConstr[[#This Row],[Facs DB]]</f>
        <v>0</v>
      </c>
    </row>
    <row r="90" customFormat="false" ht="12.75" hidden="false" customHeight="false" outlineLevel="0" collapsed="false">
      <c r="A90" s="181" t="n">
        <f aca="false">TblConstr[[#This Row],[Land]]</f>
        <v>646</v>
      </c>
      <c r="B90" s="246" t="n">
        <f aca="false">TblConstr[[#This Row],[Plain]]</f>
        <v>-81</v>
      </c>
      <c r="C90" s="193" t="n">
        <f aca="false">TblConstr[[#This Row],[Forest]]</f>
        <v>2</v>
      </c>
      <c r="D90" s="200" t="n">
        <f aca="false">TblConstr[[#This Row],[Mountain]]</f>
        <v>3</v>
      </c>
      <c r="E90" s="201" t="n">
        <f aca="false">TblConstr[[#This Row],[Hill]]</f>
        <v>4</v>
      </c>
      <c r="F90" s="202" t="n">
        <f aca="false">TblConstr[[#This Row],[Swamp]]</f>
        <v>5</v>
      </c>
      <c r="G90" s="197" t="n">
        <f aca="false">TblConstr[[#This Row],[Cavern]]</f>
        <v>6</v>
      </c>
      <c r="H90" s="198" t="n">
        <f aca="false">TblConstr[[#This Row],[Water]]</f>
        <v>7</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2871253</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488</v>
      </c>
      <c r="Y90" s="69" t="n">
        <f aca="false">TblRezone[[#This Row],[Total acres]]*TblRezone[[#This Row],[Plat/acre]]</f>
        <v>0</v>
      </c>
      <c r="Z90" s="245"/>
      <c r="AA90" s="69" t="n">
        <f aca="false">250+0.6*(TblRezone[[#This Row],[Land]]-250)</f>
        <v>487.6</v>
      </c>
      <c r="AB90" s="245"/>
      <c r="AC90" s="150" t="n">
        <f aca="false">TblConstr[[#This Row],[Facs DB]]</f>
        <v>0</v>
      </c>
    </row>
    <row r="91" customFormat="false" ht="12.75" hidden="false" customHeight="false" outlineLevel="0" collapsed="false">
      <c r="A91" s="181" t="n">
        <f aca="false">TblConstr[[#This Row],[Land]]</f>
        <v>646</v>
      </c>
      <c r="B91" s="246" t="n">
        <f aca="false">TblConstr[[#This Row],[Plain]]</f>
        <v>-81</v>
      </c>
      <c r="C91" s="193" t="n">
        <f aca="false">TblConstr[[#This Row],[Forest]]</f>
        <v>2</v>
      </c>
      <c r="D91" s="200" t="n">
        <f aca="false">TblConstr[[#This Row],[Mountain]]</f>
        <v>3</v>
      </c>
      <c r="E91" s="201" t="n">
        <f aca="false">TblConstr[[#This Row],[Hill]]</f>
        <v>4</v>
      </c>
      <c r="F91" s="202" t="n">
        <f aca="false">TblConstr[[#This Row],[Swamp]]</f>
        <v>5</v>
      </c>
      <c r="G91" s="197" t="n">
        <f aca="false">TblConstr[[#This Row],[Cavern]]</f>
        <v>6</v>
      </c>
      <c r="H91" s="198" t="n">
        <f aca="false">TblConstr[[#This Row],[Water]]</f>
        <v>7</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2979210</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488</v>
      </c>
      <c r="Y91" s="69" t="n">
        <f aca="false">TblRezone[[#This Row],[Total acres]]*TblRezone[[#This Row],[Plat/acre]]</f>
        <v>0</v>
      </c>
      <c r="Z91" s="245"/>
      <c r="AA91" s="69" t="n">
        <f aca="false">250+0.6*(TblRezone[[#This Row],[Land]]-250)</f>
        <v>487.6</v>
      </c>
      <c r="AB91" s="245"/>
      <c r="AC91" s="150" t="n">
        <f aca="false">TblConstr[[#This Row],[Facs DB]]</f>
        <v>0</v>
      </c>
    </row>
    <row r="92" customFormat="false" ht="12.75" hidden="false" customHeight="false" outlineLevel="0" collapsed="false">
      <c r="A92" s="181" t="n">
        <f aca="false">TblConstr[[#This Row],[Land]]</f>
        <v>646</v>
      </c>
      <c r="B92" s="246" t="n">
        <f aca="false">TblConstr[[#This Row],[Plain]]</f>
        <v>-81</v>
      </c>
      <c r="C92" s="193" t="n">
        <f aca="false">TblConstr[[#This Row],[Forest]]</f>
        <v>2</v>
      </c>
      <c r="D92" s="200" t="n">
        <f aca="false">TblConstr[[#This Row],[Mountain]]</f>
        <v>3</v>
      </c>
      <c r="E92" s="201" t="n">
        <f aca="false">TblConstr[[#This Row],[Hill]]</f>
        <v>4</v>
      </c>
      <c r="F92" s="202" t="n">
        <f aca="false">TblConstr[[#This Row],[Swamp]]</f>
        <v>5</v>
      </c>
      <c r="G92" s="197" t="n">
        <f aca="false">TblConstr[[#This Row],[Cavern]]</f>
        <v>6</v>
      </c>
      <c r="H92" s="198" t="n">
        <f aca="false">TblConstr[[#This Row],[Water]]</f>
        <v>7</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3086918</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488</v>
      </c>
      <c r="Y92" s="69" t="n">
        <f aca="false">TblRezone[[#This Row],[Total acres]]*TblRezone[[#This Row],[Plat/acre]]</f>
        <v>0</v>
      </c>
      <c r="Z92" s="245"/>
      <c r="AA92" s="69" t="n">
        <f aca="false">250+0.6*(TblRezone[[#This Row],[Land]]-250)</f>
        <v>487.6</v>
      </c>
      <c r="AB92" s="245"/>
      <c r="AC92" s="150" t="n">
        <f aca="false">TblConstr[[#This Row],[Facs DB]]</f>
        <v>0</v>
      </c>
    </row>
    <row r="93" customFormat="false" ht="12.75" hidden="false" customHeight="false" outlineLevel="0" collapsed="false">
      <c r="A93" s="181" t="n">
        <f aca="false">TblConstr[[#This Row],[Land]]</f>
        <v>646</v>
      </c>
      <c r="B93" s="246" t="n">
        <f aca="false">TblConstr[[#This Row],[Plain]]</f>
        <v>-81</v>
      </c>
      <c r="C93" s="193" t="n">
        <f aca="false">TblConstr[[#This Row],[Forest]]</f>
        <v>2</v>
      </c>
      <c r="D93" s="200" t="n">
        <f aca="false">TblConstr[[#This Row],[Mountain]]</f>
        <v>3</v>
      </c>
      <c r="E93" s="201" t="n">
        <f aca="false">TblConstr[[#This Row],[Hill]]</f>
        <v>4</v>
      </c>
      <c r="F93" s="202" t="n">
        <f aca="false">TblConstr[[#This Row],[Swamp]]</f>
        <v>5</v>
      </c>
      <c r="G93" s="197" t="n">
        <f aca="false">TblConstr[[#This Row],[Cavern]]</f>
        <v>6</v>
      </c>
      <c r="H93" s="198" t="n">
        <f aca="false">TblConstr[[#This Row],[Water]]</f>
        <v>7</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3194376</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488</v>
      </c>
      <c r="Y93" s="69" t="n">
        <f aca="false">TblRezone[[#This Row],[Total acres]]*TblRezone[[#This Row],[Plat/acre]]</f>
        <v>0</v>
      </c>
      <c r="Z93" s="245"/>
      <c r="AA93" s="69" t="n">
        <f aca="false">250+0.6*(TblRezone[[#This Row],[Land]]-250)</f>
        <v>487.6</v>
      </c>
      <c r="AB93" s="245"/>
      <c r="AC93" s="150" t="n">
        <f aca="false">TblConstr[[#This Row],[Facs DB]]</f>
        <v>0</v>
      </c>
    </row>
    <row r="94" customFormat="false" ht="12.75" hidden="false" customHeight="false" outlineLevel="0" collapsed="false">
      <c r="A94" s="181" t="n">
        <f aca="false">TblConstr[[#This Row],[Land]]</f>
        <v>646</v>
      </c>
      <c r="B94" s="246" t="n">
        <f aca="false">TblConstr[[#This Row],[Plain]]</f>
        <v>-81</v>
      </c>
      <c r="C94" s="193" t="n">
        <f aca="false">TblConstr[[#This Row],[Forest]]</f>
        <v>2</v>
      </c>
      <c r="D94" s="200" t="n">
        <f aca="false">TblConstr[[#This Row],[Mountain]]</f>
        <v>3</v>
      </c>
      <c r="E94" s="201" t="n">
        <f aca="false">TblConstr[[#This Row],[Hill]]</f>
        <v>4</v>
      </c>
      <c r="F94" s="202" t="n">
        <f aca="false">TblConstr[[#This Row],[Swamp]]</f>
        <v>5</v>
      </c>
      <c r="G94" s="197" t="n">
        <f aca="false">TblConstr[[#This Row],[Cavern]]</f>
        <v>6</v>
      </c>
      <c r="H94" s="198" t="n">
        <f aca="false">TblConstr[[#This Row],[Water]]</f>
        <v>7</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3301588</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488</v>
      </c>
      <c r="Y94" s="69" t="n">
        <f aca="false">TblRezone[[#This Row],[Total acres]]*TblRezone[[#This Row],[Plat/acre]]</f>
        <v>0</v>
      </c>
      <c r="Z94" s="245"/>
      <c r="AA94" s="69" t="n">
        <f aca="false">250+0.6*(TblRezone[[#This Row],[Land]]-250)</f>
        <v>487.6</v>
      </c>
      <c r="AB94" s="245"/>
      <c r="AC94" s="150" t="n">
        <f aca="false">TblConstr[[#This Row],[Facs DB]]</f>
        <v>0</v>
      </c>
    </row>
    <row r="95" customFormat="false" ht="12.75" hidden="false" customHeight="false" outlineLevel="0" collapsed="false">
      <c r="A95" s="181" t="n">
        <f aca="false">TblConstr[[#This Row],[Land]]</f>
        <v>646</v>
      </c>
      <c r="B95" s="246" t="n">
        <f aca="false">TblConstr[[#This Row],[Plain]]</f>
        <v>-81</v>
      </c>
      <c r="C95" s="193" t="n">
        <f aca="false">TblConstr[[#This Row],[Forest]]</f>
        <v>2</v>
      </c>
      <c r="D95" s="200" t="n">
        <f aca="false">TblConstr[[#This Row],[Mountain]]</f>
        <v>3</v>
      </c>
      <c r="E95" s="201" t="n">
        <f aca="false">TblConstr[[#This Row],[Hill]]</f>
        <v>4</v>
      </c>
      <c r="F95" s="202" t="n">
        <f aca="false">TblConstr[[#This Row],[Swamp]]</f>
        <v>5</v>
      </c>
      <c r="G95" s="197" t="n">
        <f aca="false">TblConstr[[#This Row],[Cavern]]</f>
        <v>6</v>
      </c>
      <c r="H95" s="198" t="n">
        <f aca="false">TblConstr[[#This Row],[Water]]</f>
        <v>7</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3408556</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488</v>
      </c>
      <c r="Y95" s="69" t="n">
        <f aca="false">TblRezone[[#This Row],[Total acres]]*TblRezone[[#This Row],[Plat/acre]]</f>
        <v>0</v>
      </c>
      <c r="Z95" s="245"/>
      <c r="AA95" s="69" t="n">
        <f aca="false">250+0.6*(TblRezone[[#This Row],[Land]]-250)</f>
        <v>487.6</v>
      </c>
      <c r="AB95" s="245"/>
      <c r="AC95" s="150" t="n">
        <f aca="false">TblConstr[[#This Row],[Facs DB]]</f>
        <v>0</v>
      </c>
    </row>
    <row r="96" customFormat="false" ht="12.75" hidden="false" customHeight="false" outlineLevel="0" collapsed="false">
      <c r="A96" s="181" t="n">
        <f aca="false">TblConstr[[#This Row],[Land]]</f>
        <v>646</v>
      </c>
      <c r="B96" s="246" t="n">
        <f aca="false">TblConstr[[#This Row],[Plain]]</f>
        <v>-81</v>
      </c>
      <c r="C96" s="193" t="n">
        <f aca="false">TblConstr[[#This Row],[Forest]]</f>
        <v>2</v>
      </c>
      <c r="D96" s="200" t="n">
        <f aca="false">TblConstr[[#This Row],[Mountain]]</f>
        <v>3</v>
      </c>
      <c r="E96" s="201" t="n">
        <f aca="false">TblConstr[[#This Row],[Hill]]</f>
        <v>4</v>
      </c>
      <c r="F96" s="202" t="n">
        <f aca="false">TblConstr[[#This Row],[Swamp]]</f>
        <v>5</v>
      </c>
      <c r="G96" s="197" t="n">
        <f aca="false">TblConstr[[#This Row],[Cavern]]</f>
        <v>6</v>
      </c>
      <c r="H96" s="198" t="n">
        <f aca="false">TblConstr[[#This Row],[Water]]</f>
        <v>7</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3515284</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488</v>
      </c>
      <c r="Y96" s="69" t="n">
        <f aca="false">TblRezone[[#This Row],[Total acres]]*TblRezone[[#This Row],[Plat/acre]]</f>
        <v>0</v>
      </c>
      <c r="Z96" s="245"/>
      <c r="AA96" s="69" t="n">
        <f aca="false">250+0.6*(TblRezone[[#This Row],[Land]]-250)</f>
        <v>487.6</v>
      </c>
      <c r="AB96" s="245"/>
      <c r="AC96" s="150" t="n">
        <f aca="false">TblConstr[[#This Row],[Facs DB]]</f>
        <v>0</v>
      </c>
    </row>
    <row r="97" customFormat="false" ht="12.75" hidden="false" customHeight="false" outlineLevel="0" collapsed="false">
      <c r="A97" s="181" t="n">
        <f aca="false">TblConstr[[#This Row],[Land]]</f>
        <v>646</v>
      </c>
      <c r="B97" s="246" t="n">
        <f aca="false">TblConstr[[#This Row],[Plain]]</f>
        <v>-81</v>
      </c>
      <c r="C97" s="193" t="n">
        <f aca="false">TblConstr[[#This Row],[Forest]]</f>
        <v>2</v>
      </c>
      <c r="D97" s="200" t="n">
        <f aca="false">TblConstr[[#This Row],[Mountain]]</f>
        <v>3</v>
      </c>
      <c r="E97" s="201" t="n">
        <f aca="false">TblConstr[[#This Row],[Hill]]</f>
        <v>4</v>
      </c>
      <c r="F97" s="202" t="n">
        <f aca="false">TblConstr[[#This Row],[Swamp]]</f>
        <v>5</v>
      </c>
      <c r="G97" s="197" t="n">
        <f aca="false">TblConstr[[#This Row],[Cavern]]</f>
        <v>6</v>
      </c>
      <c r="H97" s="198" t="n">
        <f aca="false">TblConstr[[#This Row],[Water]]</f>
        <v>7</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3621774</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488</v>
      </c>
      <c r="Y97" s="69" t="n">
        <f aca="false">TblRezone[[#This Row],[Total acres]]*TblRezone[[#This Row],[Plat/acre]]</f>
        <v>0</v>
      </c>
      <c r="Z97" s="245"/>
      <c r="AA97" s="69" t="n">
        <f aca="false">250+0.6*(TblRezone[[#This Row],[Land]]-250)</f>
        <v>487.6</v>
      </c>
      <c r="AB97" s="245"/>
      <c r="AC97" s="150" t="n">
        <f aca="false">TblConstr[[#This Row],[Facs DB]]</f>
        <v>0</v>
      </c>
    </row>
    <row r="98" customFormat="false" ht="12.75" hidden="false" customHeight="false" outlineLevel="0" collapsed="false">
      <c r="A98" s="181" t="n">
        <f aca="false">TblConstr[[#This Row],[Land]]</f>
        <v>646</v>
      </c>
      <c r="B98" s="246" t="n">
        <f aca="false">TblConstr[[#This Row],[Plain]]</f>
        <v>-81</v>
      </c>
      <c r="C98" s="193" t="n">
        <f aca="false">TblConstr[[#This Row],[Forest]]</f>
        <v>2</v>
      </c>
      <c r="D98" s="200" t="n">
        <f aca="false">TblConstr[[#This Row],[Mountain]]</f>
        <v>3</v>
      </c>
      <c r="E98" s="201" t="n">
        <f aca="false">TblConstr[[#This Row],[Hill]]</f>
        <v>4</v>
      </c>
      <c r="F98" s="202" t="n">
        <f aca="false">TblConstr[[#This Row],[Swamp]]</f>
        <v>5</v>
      </c>
      <c r="G98" s="197" t="n">
        <f aca="false">TblConstr[[#This Row],[Cavern]]</f>
        <v>6</v>
      </c>
      <c r="H98" s="198" t="n">
        <f aca="false">TblConstr[[#This Row],[Water]]</f>
        <v>7</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3728029</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488</v>
      </c>
      <c r="Y98" s="69" t="n">
        <f aca="false">TblRezone[[#This Row],[Total acres]]*TblRezone[[#This Row],[Plat/acre]]</f>
        <v>0</v>
      </c>
      <c r="Z98" s="245"/>
      <c r="AA98" s="69" t="n">
        <f aca="false">250+0.6*(TblRezone[[#This Row],[Land]]-250)</f>
        <v>487.6</v>
      </c>
      <c r="AB98" s="245"/>
      <c r="AC98" s="150" t="n">
        <f aca="false">TblConstr[[#This Row],[Facs DB]]</f>
        <v>0</v>
      </c>
    </row>
    <row r="99" customFormat="false" ht="12.75" hidden="false" customHeight="false" outlineLevel="0" collapsed="false">
      <c r="A99" s="181" t="n">
        <f aca="false">TblConstr[[#This Row],[Land]]</f>
        <v>646</v>
      </c>
      <c r="B99" s="246" t="n">
        <f aca="false">TblConstr[[#This Row],[Plain]]</f>
        <v>-81</v>
      </c>
      <c r="C99" s="193" t="n">
        <f aca="false">TblConstr[[#This Row],[Forest]]</f>
        <v>2</v>
      </c>
      <c r="D99" s="200" t="n">
        <f aca="false">TblConstr[[#This Row],[Mountain]]</f>
        <v>3</v>
      </c>
      <c r="E99" s="201" t="n">
        <f aca="false">TblConstr[[#This Row],[Hill]]</f>
        <v>4</v>
      </c>
      <c r="F99" s="202" t="n">
        <f aca="false">TblConstr[[#This Row],[Swamp]]</f>
        <v>5</v>
      </c>
      <c r="G99" s="197" t="n">
        <f aca="false">TblConstr[[#This Row],[Cavern]]</f>
        <v>6</v>
      </c>
      <c r="H99" s="198" t="n">
        <f aca="false">TblConstr[[#This Row],[Water]]</f>
        <v>7</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3834050</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488</v>
      </c>
      <c r="Y99" s="69" t="n">
        <f aca="false">TblRezone[[#This Row],[Total acres]]*TblRezone[[#This Row],[Plat/acre]]</f>
        <v>0</v>
      </c>
      <c r="Z99" s="245"/>
      <c r="AA99" s="69" t="n">
        <f aca="false">250+0.6*(TblRezone[[#This Row],[Land]]-250)</f>
        <v>487.6</v>
      </c>
      <c r="AB99" s="245"/>
      <c r="AC99" s="150" t="n">
        <f aca="false">TblConstr[[#This Row],[Facs DB]]</f>
        <v>0</v>
      </c>
    </row>
    <row r="100" customFormat="false" ht="12.75" hidden="false" customHeight="false" outlineLevel="0" collapsed="false">
      <c r="A100" s="181" t="n">
        <f aca="false">TblConstr[[#This Row],[Land]]</f>
        <v>646</v>
      </c>
      <c r="B100" s="246" t="n">
        <f aca="false">TblConstr[[#This Row],[Plain]]</f>
        <v>-81</v>
      </c>
      <c r="C100" s="193" t="n">
        <f aca="false">TblConstr[[#This Row],[Forest]]</f>
        <v>2</v>
      </c>
      <c r="D100" s="200" t="n">
        <f aca="false">TblConstr[[#This Row],[Mountain]]</f>
        <v>3</v>
      </c>
      <c r="E100" s="201" t="n">
        <f aca="false">TblConstr[[#This Row],[Hill]]</f>
        <v>4</v>
      </c>
      <c r="F100" s="202" t="n">
        <f aca="false">TblConstr[[#This Row],[Swamp]]</f>
        <v>5</v>
      </c>
      <c r="G100" s="197" t="n">
        <f aca="false">TblConstr[[#This Row],[Cavern]]</f>
        <v>6</v>
      </c>
      <c r="H100" s="198" t="n">
        <f aca="false">TblConstr[[#This Row],[Water]]</f>
        <v>7</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3939839</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488</v>
      </c>
      <c r="Y100" s="69" t="n">
        <f aca="false">TblRezone[[#This Row],[Total acres]]*TblRezone[[#This Row],[Plat/acre]]</f>
        <v>0</v>
      </c>
      <c r="Z100" s="245"/>
      <c r="AA100" s="69" t="n">
        <f aca="false">250+0.6*(TblRezone[[#This Row],[Land]]-250)</f>
        <v>487.6</v>
      </c>
      <c r="AB100" s="245"/>
      <c r="AC100" s="150" t="n">
        <f aca="false">TblConstr[[#This Row],[Facs DB]]</f>
        <v>0</v>
      </c>
    </row>
    <row r="101" customFormat="false" ht="12.75" hidden="false" customHeight="false" outlineLevel="0" collapsed="false">
      <c r="A101" s="181" t="n">
        <f aca="false">TblConstr[[#This Row],[Land]]</f>
        <v>646</v>
      </c>
      <c r="B101" s="246" t="n">
        <f aca="false">TblConstr[[#This Row],[Plain]]</f>
        <v>-81</v>
      </c>
      <c r="C101" s="193" t="n">
        <f aca="false">TblConstr[[#This Row],[Forest]]</f>
        <v>2</v>
      </c>
      <c r="D101" s="200" t="n">
        <f aca="false">TblConstr[[#This Row],[Mountain]]</f>
        <v>3</v>
      </c>
      <c r="E101" s="201" t="n">
        <f aca="false">TblConstr[[#This Row],[Hill]]</f>
        <v>4</v>
      </c>
      <c r="F101" s="202" t="n">
        <f aca="false">TblConstr[[#This Row],[Swamp]]</f>
        <v>5</v>
      </c>
      <c r="G101" s="197" t="n">
        <f aca="false">TblConstr[[#This Row],[Cavern]]</f>
        <v>6</v>
      </c>
      <c r="H101" s="198" t="n">
        <f aca="false">TblConstr[[#This Row],[Water]]</f>
        <v>7</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4045399</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488</v>
      </c>
      <c r="Y101" s="69" t="n">
        <f aca="false">TblRezone[[#This Row],[Total acres]]*TblRezone[[#This Row],[Plat/acre]]</f>
        <v>0</v>
      </c>
      <c r="Z101" s="245"/>
      <c r="AA101" s="69" t="n">
        <f aca="false">250+0.6*(TblRezone[[#This Row],[Land]]-250)</f>
        <v>487.6</v>
      </c>
      <c r="AB101" s="245"/>
      <c r="AC101" s="150" t="n">
        <f aca="false">TblConstr[[#This Row],[Facs DB]]</f>
        <v>0</v>
      </c>
    </row>
    <row r="102" customFormat="false" ht="12.75" hidden="false" customHeight="false" outlineLevel="0" collapsed="false">
      <c r="A102" s="181" t="n">
        <f aca="false">TblConstr[[#This Row],[Land]]</f>
        <v>646</v>
      </c>
      <c r="B102" s="246" t="n">
        <f aca="false">TblConstr[[#This Row],[Plain]]</f>
        <v>-81</v>
      </c>
      <c r="C102" s="193" t="n">
        <f aca="false">TblConstr[[#This Row],[Forest]]</f>
        <v>2</v>
      </c>
      <c r="D102" s="200" t="n">
        <f aca="false">TblConstr[[#This Row],[Mountain]]</f>
        <v>3</v>
      </c>
      <c r="E102" s="201" t="n">
        <f aca="false">TblConstr[[#This Row],[Hill]]</f>
        <v>4</v>
      </c>
      <c r="F102" s="202" t="n">
        <f aca="false">TblConstr[[#This Row],[Swamp]]</f>
        <v>5</v>
      </c>
      <c r="G102" s="197" t="n">
        <f aca="false">TblConstr[[#This Row],[Cavern]]</f>
        <v>6</v>
      </c>
      <c r="H102" s="198" t="n">
        <f aca="false">TblConstr[[#This Row],[Water]]</f>
        <v>7</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4150734</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488</v>
      </c>
      <c r="Y102" s="69" t="n">
        <f aca="false">TblRezone[[#This Row],[Total acres]]*TblRezone[[#This Row],[Plat/acre]]</f>
        <v>0</v>
      </c>
      <c r="Z102" s="245"/>
      <c r="AA102" s="69" t="n">
        <f aca="false">250+0.6*(TblRezone[[#This Row],[Land]]-250)</f>
        <v>487.6</v>
      </c>
      <c r="AB102" s="245"/>
      <c r="AC102" s="150" t="n">
        <f aca="false">TblConstr[[#This Row],[Facs DB]]</f>
        <v>0</v>
      </c>
    </row>
    <row r="103" customFormat="false" ht="12.75" hidden="false" customHeight="false" outlineLevel="0" collapsed="false">
      <c r="A103" s="181" t="n">
        <f aca="false">TblConstr[[#This Row],[Land]]</f>
        <v>646</v>
      </c>
      <c r="B103" s="246" t="n">
        <f aca="false">TblConstr[[#This Row],[Plain]]</f>
        <v>-81</v>
      </c>
      <c r="C103" s="193" t="n">
        <f aca="false">TblConstr[[#This Row],[Forest]]</f>
        <v>2</v>
      </c>
      <c r="D103" s="200" t="n">
        <f aca="false">TblConstr[[#This Row],[Mountain]]</f>
        <v>3</v>
      </c>
      <c r="E103" s="201" t="n">
        <f aca="false">TblConstr[[#This Row],[Hill]]</f>
        <v>4</v>
      </c>
      <c r="F103" s="202" t="n">
        <f aca="false">TblConstr[[#This Row],[Swamp]]</f>
        <v>5</v>
      </c>
      <c r="G103" s="197" t="n">
        <f aca="false">TblConstr[[#This Row],[Cavern]]</f>
        <v>6</v>
      </c>
      <c r="H103" s="198" t="n">
        <f aca="false">TblConstr[[#This Row],[Water]]</f>
        <v>7</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4255843</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488</v>
      </c>
      <c r="Y103" s="69" t="n">
        <f aca="false">TblRezone[[#This Row],[Total acres]]*TblRezone[[#This Row],[Plat/acre]]</f>
        <v>0</v>
      </c>
      <c r="Z103" s="245"/>
      <c r="AA103" s="69" t="n">
        <f aca="false">250+0.6*(TblRezone[[#This Row],[Land]]-250)</f>
        <v>487.6</v>
      </c>
      <c r="AB103" s="245"/>
      <c r="AC103" s="150" t="n">
        <f aca="false">TblConstr[[#This Row],[Facs DB]]</f>
        <v>0</v>
      </c>
    </row>
    <row r="104" customFormat="false" ht="12.75" hidden="false" customHeight="false" outlineLevel="0" collapsed="false">
      <c r="A104" s="181" t="n">
        <f aca="false">TblConstr[[#This Row],[Land]]</f>
        <v>646</v>
      </c>
      <c r="B104" s="246" t="n">
        <f aca="false">TblConstr[[#This Row],[Plain]]</f>
        <v>-81</v>
      </c>
      <c r="C104" s="193" t="n">
        <f aca="false">TblConstr[[#This Row],[Forest]]</f>
        <v>2</v>
      </c>
      <c r="D104" s="200" t="n">
        <f aca="false">TblConstr[[#This Row],[Mountain]]</f>
        <v>3</v>
      </c>
      <c r="E104" s="201" t="n">
        <f aca="false">TblConstr[[#This Row],[Hill]]</f>
        <v>4</v>
      </c>
      <c r="F104" s="202" t="n">
        <f aca="false">TblConstr[[#This Row],[Swamp]]</f>
        <v>5</v>
      </c>
      <c r="G104" s="197" t="n">
        <f aca="false">TblConstr[[#This Row],[Cavern]]</f>
        <v>6</v>
      </c>
      <c r="H104" s="198" t="n">
        <f aca="false">TblConstr[[#This Row],[Water]]</f>
        <v>7</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4360729</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488</v>
      </c>
      <c r="Y104" s="69" t="n">
        <f aca="false">TblRezone[[#This Row],[Total acres]]*TblRezone[[#This Row],[Plat/acre]]</f>
        <v>0</v>
      </c>
      <c r="Z104" s="245"/>
      <c r="AA104" s="69" t="n">
        <f aca="false">250+0.6*(TblRezone[[#This Row],[Land]]-250)</f>
        <v>487.6</v>
      </c>
      <c r="AB104" s="245"/>
      <c r="AC104" s="150" t="n">
        <f aca="false">TblConstr[[#This Row],[Facs DB]]</f>
        <v>0</v>
      </c>
    </row>
    <row r="105" customFormat="false" ht="12.75" hidden="false" customHeight="false" outlineLevel="0" collapsed="false">
      <c r="A105" s="181" t="n">
        <f aca="false">TblConstr[[#This Row],[Land]]</f>
        <v>646</v>
      </c>
      <c r="B105" s="246" t="n">
        <f aca="false">TblConstr[[#This Row],[Plain]]</f>
        <v>-81</v>
      </c>
      <c r="C105" s="193" t="n">
        <f aca="false">TblConstr[[#This Row],[Forest]]</f>
        <v>2</v>
      </c>
      <c r="D105" s="200" t="n">
        <f aca="false">TblConstr[[#This Row],[Mountain]]</f>
        <v>3</v>
      </c>
      <c r="E105" s="201" t="n">
        <f aca="false">TblConstr[[#This Row],[Hill]]</f>
        <v>4</v>
      </c>
      <c r="F105" s="202" t="n">
        <f aca="false">TblConstr[[#This Row],[Swamp]]</f>
        <v>5</v>
      </c>
      <c r="G105" s="197" t="n">
        <f aca="false">TblConstr[[#This Row],[Cavern]]</f>
        <v>6</v>
      </c>
      <c r="H105" s="198" t="n">
        <f aca="false">TblConstr[[#This Row],[Water]]</f>
        <v>7</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4465395</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488</v>
      </c>
      <c r="Y105" s="69" t="n">
        <f aca="false">TblRezone[[#This Row],[Total acres]]*TblRezone[[#This Row],[Plat/acre]]</f>
        <v>0</v>
      </c>
      <c r="Z105" s="245"/>
      <c r="AA105" s="69" t="n">
        <f aca="false">250+0.6*(TblRezone[[#This Row],[Land]]-250)</f>
        <v>487.6</v>
      </c>
      <c r="AB105" s="245"/>
      <c r="AC105" s="150" t="n">
        <f aca="false">TblConstr[[#This Row],[Facs DB]]</f>
        <v>0</v>
      </c>
    </row>
    <row r="106" customFormat="false" ht="12.75" hidden="false" customHeight="false" outlineLevel="0" collapsed="false">
      <c r="A106" s="181" t="n">
        <f aca="false">TblConstr[[#This Row],[Land]]</f>
        <v>646</v>
      </c>
      <c r="B106" s="246" t="n">
        <f aca="false">TblConstr[[#This Row],[Plain]]</f>
        <v>-81</v>
      </c>
      <c r="C106" s="193" t="n">
        <f aca="false">TblConstr[[#This Row],[Forest]]</f>
        <v>2</v>
      </c>
      <c r="D106" s="200" t="n">
        <f aca="false">TblConstr[[#This Row],[Mountain]]</f>
        <v>3</v>
      </c>
      <c r="E106" s="201" t="n">
        <f aca="false">TblConstr[[#This Row],[Hill]]</f>
        <v>4</v>
      </c>
      <c r="F106" s="202" t="n">
        <f aca="false">TblConstr[[#This Row],[Swamp]]</f>
        <v>5</v>
      </c>
      <c r="G106" s="197" t="n">
        <f aca="false">TblConstr[[#This Row],[Cavern]]</f>
        <v>6</v>
      </c>
      <c r="H106" s="198" t="n">
        <f aca="false">TblConstr[[#This Row],[Water]]</f>
        <v>7</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4569845</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488</v>
      </c>
      <c r="Y106" s="69" t="n">
        <f aca="false">TblRezone[[#This Row],[Total acres]]*TblRezone[[#This Row],[Plat/acre]]</f>
        <v>0</v>
      </c>
      <c r="Z106" s="245"/>
      <c r="AA106" s="69" t="n">
        <f aca="false">250+0.6*(TblRezone[[#This Row],[Land]]-250)</f>
        <v>487.6</v>
      </c>
      <c r="AB106" s="245"/>
      <c r="AC106" s="150" t="n">
        <f aca="false">TblConstr[[#This Row],[Facs DB]]</f>
        <v>0</v>
      </c>
    </row>
    <row r="107" customFormat="false" ht="12.75" hidden="false" customHeight="false" outlineLevel="0" collapsed="false">
      <c r="A107" s="181" t="n">
        <f aca="false">TblConstr[[#This Row],[Land]]</f>
        <v>646</v>
      </c>
      <c r="B107" s="246" t="n">
        <f aca="false">TblConstr[[#This Row],[Plain]]</f>
        <v>-81</v>
      </c>
      <c r="C107" s="193" t="n">
        <f aca="false">TblConstr[[#This Row],[Forest]]</f>
        <v>2</v>
      </c>
      <c r="D107" s="200" t="n">
        <f aca="false">TblConstr[[#This Row],[Mountain]]</f>
        <v>3</v>
      </c>
      <c r="E107" s="201" t="n">
        <f aca="false">TblConstr[[#This Row],[Hill]]</f>
        <v>4</v>
      </c>
      <c r="F107" s="202" t="n">
        <f aca="false">TblConstr[[#This Row],[Swamp]]</f>
        <v>5</v>
      </c>
      <c r="G107" s="197" t="n">
        <f aca="false">TblConstr[[#This Row],[Cavern]]</f>
        <v>6</v>
      </c>
      <c r="H107" s="198" t="n">
        <f aca="false">TblConstr[[#This Row],[Water]]</f>
        <v>7</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4674078</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488</v>
      </c>
      <c r="Y107" s="69" t="n">
        <f aca="false">TblRezone[[#This Row],[Total acres]]*TblRezone[[#This Row],[Plat/acre]]</f>
        <v>0</v>
      </c>
      <c r="Z107" s="245"/>
      <c r="AA107" s="69" t="n">
        <f aca="false">250+0.6*(TblRezone[[#This Row],[Land]]-250)</f>
        <v>487.6</v>
      </c>
      <c r="AB107" s="245"/>
      <c r="AC107" s="150" t="n">
        <f aca="false">TblConstr[[#This Row],[Facs DB]]</f>
        <v>0</v>
      </c>
    </row>
    <row r="108" customFormat="false" ht="12.75" hidden="false" customHeight="false" outlineLevel="0" collapsed="false">
      <c r="A108" s="181" t="n">
        <f aca="false">TblConstr[[#This Row],[Land]]</f>
        <v>646</v>
      </c>
      <c r="B108" s="246" t="n">
        <f aca="false">TblConstr[[#This Row],[Plain]]</f>
        <v>-81</v>
      </c>
      <c r="C108" s="193" t="n">
        <f aca="false">TblConstr[[#This Row],[Forest]]</f>
        <v>2</v>
      </c>
      <c r="D108" s="200" t="n">
        <f aca="false">TblConstr[[#This Row],[Mountain]]</f>
        <v>3</v>
      </c>
      <c r="E108" s="201" t="n">
        <f aca="false">TblConstr[[#This Row],[Hill]]</f>
        <v>4</v>
      </c>
      <c r="F108" s="202" t="n">
        <f aca="false">TblConstr[[#This Row],[Swamp]]</f>
        <v>5</v>
      </c>
      <c r="G108" s="197" t="n">
        <f aca="false">TblConstr[[#This Row],[Cavern]]</f>
        <v>6</v>
      </c>
      <c r="H108" s="198" t="n">
        <f aca="false">TblConstr[[#This Row],[Water]]</f>
        <v>7</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4778097</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488</v>
      </c>
      <c r="Y108" s="69" t="n">
        <f aca="false">TblRezone[[#This Row],[Total acres]]*TblRezone[[#This Row],[Plat/acre]]</f>
        <v>0</v>
      </c>
      <c r="Z108" s="245"/>
      <c r="AA108" s="69" t="n">
        <f aca="false">250+0.6*(TblRezone[[#This Row],[Land]]-250)</f>
        <v>487.6</v>
      </c>
      <c r="AB108" s="245"/>
      <c r="AC108" s="150" t="n">
        <f aca="false">TblConstr[[#This Row],[Facs DB]]</f>
        <v>0</v>
      </c>
    </row>
    <row r="109" customFormat="false" ht="12.75" hidden="false" customHeight="false" outlineLevel="0" collapsed="false">
      <c r="A109" s="181" t="n">
        <f aca="false">TblConstr[[#This Row],[Land]]</f>
        <v>646</v>
      </c>
      <c r="B109" s="246" t="n">
        <f aca="false">TblConstr[[#This Row],[Plain]]</f>
        <v>-81</v>
      </c>
      <c r="C109" s="193" t="n">
        <f aca="false">TblConstr[[#This Row],[Forest]]</f>
        <v>2</v>
      </c>
      <c r="D109" s="200" t="n">
        <f aca="false">TblConstr[[#This Row],[Mountain]]</f>
        <v>3</v>
      </c>
      <c r="E109" s="201" t="n">
        <f aca="false">TblConstr[[#This Row],[Hill]]</f>
        <v>4</v>
      </c>
      <c r="F109" s="202" t="n">
        <f aca="false">TblConstr[[#This Row],[Swamp]]</f>
        <v>5</v>
      </c>
      <c r="G109" s="197" t="n">
        <f aca="false">TblConstr[[#This Row],[Cavern]]</f>
        <v>6</v>
      </c>
      <c r="H109" s="198" t="n">
        <f aca="false">TblConstr[[#This Row],[Water]]</f>
        <v>7</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4881905</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488</v>
      </c>
      <c r="Y109" s="69" t="n">
        <f aca="false">TblRezone[[#This Row],[Total acres]]*TblRezone[[#This Row],[Plat/acre]]</f>
        <v>0</v>
      </c>
      <c r="Z109" s="245"/>
      <c r="AA109" s="69" t="n">
        <f aca="false">250+0.6*(TblRezone[[#This Row],[Land]]-250)</f>
        <v>487.6</v>
      </c>
      <c r="AB109" s="245"/>
      <c r="AC109" s="150" t="n">
        <f aca="false">TblConstr[[#This Row],[Facs DB]]</f>
        <v>0</v>
      </c>
    </row>
    <row r="110" customFormat="false" ht="12.75" hidden="false" customHeight="false" outlineLevel="0" collapsed="false">
      <c r="A110" s="181" t="n">
        <f aca="false">TblConstr[[#This Row],[Land]]</f>
        <v>646</v>
      </c>
      <c r="B110" s="246" t="n">
        <f aca="false">TblConstr[[#This Row],[Plain]]</f>
        <v>-81</v>
      </c>
      <c r="C110" s="193" t="n">
        <f aca="false">TblConstr[[#This Row],[Forest]]</f>
        <v>2</v>
      </c>
      <c r="D110" s="200" t="n">
        <f aca="false">TblConstr[[#This Row],[Mountain]]</f>
        <v>3</v>
      </c>
      <c r="E110" s="201" t="n">
        <f aca="false">TblConstr[[#This Row],[Hill]]</f>
        <v>4</v>
      </c>
      <c r="F110" s="202" t="n">
        <f aca="false">TblConstr[[#This Row],[Swamp]]</f>
        <v>5</v>
      </c>
      <c r="G110" s="197" t="n">
        <f aca="false">TblConstr[[#This Row],[Cavern]]</f>
        <v>6</v>
      </c>
      <c r="H110" s="198" t="n">
        <f aca="false">TblConstr[[#This Row],[Water]]</f>
        <v>7</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4985505</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488</v>
      </c>
      <c r="Y110" s="69" t="n">
        <f aca="false">TblRezone[[#This Row],[Total acres]]*TblRezone[[#This Row],[Plat/acre]]</f>
        <v>0</v>
      </c>
      <c r="Z110" s="245"/>
      <c r="AA110" s="69" t="n">
        <f aca="false">250+0.6*(TblRezone[[#This Row],[Land]]-250)</f>
        <v>487.6</v>
      </c>
      <c r="AB110" s="245"/>
      <c r="AC110" s="150" t="n">
        <f aca="false">TblConstr[[#This Row],[Facs DB]]</f>
        <v>0</v>
      </c>
    </row>
    <row r="111" customFormat="false" ht="12.75" hidden="false" customHeight="false" outlineLevel="0" collapsed="false">
      <c r="A111" s="181" t="n">
        <f aca="false">TblConstr[[#This Row],[Land]]</f>
        <v>646</v>
      </c>
      <c r="B111" s="246" t="n">
        <f aca="false">TblConstr[[#This Row],[Plain]]</f>
        <v>-81</v>
      </c>
      <c r="C111" s="193" t="n">
        <f aca="false">TblConstr[[#This Row],[Forest]]</f>
        <v>2</v>
      </c>
      <c r="D111" s="200" t="n">
        <f aca="false">TblConstr[[#This Row],[Mountain]]</f>
        <v>3</v>
      </c>
      <c r="E111" s="201" t="n">
        <f aca="false">TblConstr[[#This Row],[Hill]]</f>
        <v>4</v>
      </c>
      <c r="F111" s="202" t="n">
        <f aca="false">TblConstr[[#This Row],[Swamp]]</f>
        <v>5</v>
      </c>
      <c r="G111" s="197" t="n">
        <f aca="false">TblConstr[[#This Row],[Cavern]]</f>
        <v>6</v>
      </c>
      <c r="H111" s="198" t="n">
        <f aca="false">TblConstr[[#This Row],[Water]]</f>
        <v>7</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5088897</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488</v>
      </c>
      <c r="Y111" s="69" t="n">
        <f aca="false">TblRezone[[#This Row],[Total acres]]*TblRezone[[#This Row],[Plat/acre]]</f>
        <v>0</v>
      </c>
      <c r="Z111" s="245"/>
      <c r="AA111" s="69" t="n">
        <f aca="false">250+0.6*(TblRezone[[#This Row],[Land]]-250)</f>
        <v>487.6</v>
      </c>
      <c r="AB111" s="245"/>
      <c r="AC111" s="150" t="n">
        <f aca="false">TblConstr[[#This Row],[Facs DB]]</f>
        <v>0</v>
      </c>
    </row>
    <row r="112" customFormat="false" ht="12.75" hidden="false" customHeight="false" outlineLevel="0" collapsed="false">
      <c r="A112" s="181" t="n">
        <f aca="false">TblConstr[[#This Row],[Land]]</f>
        <v>646</v>
      </c>
      <c r="B112" s="246" t="n">
        <f aca="false">TblConstr[[#This Row],[Plain]]</f>
        <v>-81</v>
      </c>
      <c r="C112" s="193" t="n">
        <f aca="false">TblConstr[[#This Row],[Forest]]</f>
        <v>2</v>
      </c>
      <c r="D112" s="200" t="n">
        <f aca="false">TblConstr[[#This Row],[Mountain]]</f>
        <v>3</v>
      </c>
      <c r="E112" s="201" t="n">
        <f aca="false">TblConstr[[#This Row],[Hill]]</f>
        <v>4</v>
      </c>
      <c r="F112" s="202" t="n">
        <f aca="false">TblConstr[[#This Row],[Swamp]]</f>
        <v>5</v>
      </c>
      <c r="G112" s="197" t="n">
        <f aca="false">TblConstr[[#This Row],[Cavern]]</f>
        <v>6</v>
      </c>
      <c r="H112" s="198" t="n">
        <f aca="false">TblConstr[[#This Row],[Water]]</f>
        <v>7</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5192084</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488</v>
      </c>
      <c r="Y112" s="69" t="n">
        <f aca="false">TblRezone[[#This Row],[Total acres]]*TblRezone[[#This Row],[Plat/acre]]</f>
        <v>0</v>
      </c>
      <c r="Z112" s="245"/>
      <c r="AA112" s="69" t="n">
        <f aca="false">250+0.6*(TblRezone[[#This Row],[Land]]-250)</f>
        <v>487.6</v>
      </c>
      <c r="AB112" s="245"/>
      <c r="AC112" s="150" t="n">
        <f aca="false">TblConstr[[#This Row],[Facs DB]]</f>
        <v>0</v>
      </c>
    </row>
    <row r="113" customFormat="false" ht="12.75" hidden="false" customHeight="false" outlineLevel="0" collapsed="false">
      <c r="A113" s="181" t="n">
        <f aca="false">TblConstr[[#This Row],[Land]]</f>
        <v>646</v>
      </c>
      <c r="B113" s="246" t="n">
        <f aca="false">TblConstr[[#This Row],[Plain]]</f>
        <v>-81</v>
      </c>
      <c r="C113" s="193" t="n">
        <f aca="false">TblConstr[[#This Row],[Forest]]</f>
        <v>2</v>
      </c>
      <c r="D113" s="200" t="n">
        <f aca="false">TblConstr[[#This Row],[Mountain]]</f>
        <v>3</v>
      </c>
      <c r="E113" s="201" t="n">
        <f aca="false">TblConstr[[#This Row],[Hill]]</f>
        <v>4</v>
      </c>
      <c r="F113" s="202" t="n">
        <f aca="false">TblConstr[[#This Row],[Swamp]]</f>
        <v>5</v>
      </c>
      <c r="G113" s="197" t="n">
        <f aca="false">TblConstr[[#This Row],[Cavern]]</f>
        <v>6</v>
      </c>
      <c r="H113" s="198" t="n">
        <f aca="false">TblConstr[[#This Row],[Water]]</f>
        <v>7</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5288072</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488</v>
      </c>
      <c r="Y113" s="69" t="n">
        <f aca="false">TblRezone[[#This Row],[Total acres]]*TblRezone[[#This Row],[Plat/acre]]</f>
        <v>0</v>
      </c>
      <c r="Z113" s="245"/>
      <c r="AA113" s="69" t="n">
        <f aca="false">250+0.6*(TblRezone[[#This Row],[Land]]-250)</f>
        <v>487.6</v>
      </c>
      <c r="AB113" s="245"/>
      <c r="AC113" s="150" t="n">
        <f aca="false">TblConstr[[#This Row],[Facs DB]]</f>
        <v>0</v>
      </c>
    </row>
    <row r="114" customFormat="false" ht="12.75" hidden="false" customHeight="false" outlineLevel="0" collapsed="false">
      <c r="A114" s="181" t="n">
        <f aca="false">TblConstr[[#This Row],[Land]]</f>
        <v>646</v>
      </c>
      <c r="B114" s="246" t="n">
        <f aca="false">TblConstr[[#This Row],[Plain]]</f>
        <v>-81</v>
      </c>
      <c r="C114" s="193" t="n">
        <f aca="false">TblConstr[[#This Row],[Forest]]</f>
        <v>2</v>
      </c>
      <c r="D114" s="200" t="n">
        <f aca="false">TblConstr[[#This Row],[Mountain]]</f>
        <v>3</v>
      </c>
      <c r="E114" s="201" t="n">
        <f aca="false">TblConstr[[#This Row],[Hill]]</f>
        <v>4</v>
      </c>
      <c r="F114" s="202" t="n">
        <f aca="false">TblConstr[[#This Row],[Swamp]]</f>
        <v>5</v>
      </c>
      <c r="G114" s="197" t="n">
        <f aca="false">TblConstr[[#This Row],[Cavern]]</f>
        <v>6</v>
      </c>
      <c r="H114" s="198" t="n">
        <f aca="false">TblConstr[[#This Row],[Water]]</f>
        <v>7</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5383877</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488</v>
      </c>
      <c r="Y114" s="69" t="n">
        <f aca="false">TblRezone[[#This Row],[Total acres]]*TblRezone[[#This Row],[Plat/acre]]</f>
        <v>0</v>
      </c>
      <c r="Z114" s="245"/>
      <c r="AA114" s="69" t="n">
        <f aca="false">250+0.6*(TblRezone[[#This Row],[Land]]-250)</f>
        <v>487.6</v>
      </c>
      <c r="AB114" s="245"/>
      <c r="AC114" s="150" t="n">
        <f aca="false">TblConstr[[#This Row],[Facs DB]]</f>
        <v>0</v>
      </c>
    </row>
    <row r="115" customFormat="false" ht="12.75" hidden="false" customHeight="false" outlineLevel="0" collapsed="false">
      <c r="A115" s="181" t="n">
        <f aca="false">TblConstr[[#This Row],[Land]]</f>
        <v>646</v>
      </c>
      <c r="B115" s="246" t="n">
        <f aca="false">TblConstr[[#This Row],[Plain]]</f>
        <v>-81</v>
      </c>
      <c r="C115" s="193" t="n">
        <f aca="false">TblConstr[[#This Row],[Forest]]</f>
        <v>2</v>
      </c>
      <c r="D115" s="200" t="n">
        <f aca="false">TblConstr[[#This Row],[Mountain]]</f>
        <v>3</v>
      </c>
      <c r="E115" s="201" t="n">
        <f aca="false">TblConstr[[#This Row],[Hill]]</f>
        <v>4</v>
      </c>
      <c r="F115" s="202" t="n">
        <f aca="false">TblConstr[[#This Row],[Swamp]]</f>
        <v>5</v>
      </c>
      <c r="G115" s="197" t="n">
        <f aca="false">TblConstr[[#This Row],[Cavern]]</f>
        <v>6</v>
      </c>
      <c r="H115" s="198" t="n">
        <f aca="false">TblConstr[[#This Row],[Water]]</f>
        <v>7</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5479501</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488</v>
      </c>
      <c r="Y115" s="69" t="n">
        <f aca="false">TblRezone[[#This Row],[Total acres]]*TblRezone[[#This Row],[Plat/acre]]</f>
        <v>0</v>
      </c>
      <c r="Z115" s="245"/>
      <c r="AA115" s="69" t="n">
        <f aca="false">250+0.6*(TblRezone[[#This Row],[Land]]-250)</f>
        <v>487.6</v>
      </c>
      <c r="AB115" s="245"/>
      <c r="AC115" s="150" t="n">
        <f aca="false">TblConstr[[#This Row],[Facs DB]]</f>
        <v>0</v>
      </c>
    </row>
    <row r="116" customFormat="false" ht="12.75" hidden="false" customHeight="false" outlineLevel="0" collapsed="false">
      <c r="A116" s="181" t="n">
        <f aca="false">TblConstr[[#This Row],[Land]]</f>
        <v>646</v>
      </c>
      <c r="B116" s="246" t="n">
        <f aca="false">TblConstr[[#This Row],[Plain]]</f>
        <v>-81</v>
      </c>
      <c r="C116" s="193" t="n">
        <f aca="false">TblConstr[[#This Row],[Forest]]</f>
        <v>2</v>
      </c>
      <c r="D116" s="200" t="n">
        <f aca="false">TblConstr[[#This Row],[Mountain]]</f>
        <v>3</v>
      </c>
      <c r="E116" s="201" t="n">
        <f aca="false">TblConstr[[#This Row],[Hill]]</f>
        <v>4</v>
      </c>
      <c r="F116" s="202" t="n">
        <f aca="false">TblConstr[[#This Row],[Swamp]]</f>
        <v>5</v>
      </c>
      <c r="G116" s="197" t="n">
        <f aca="false">TblConstr[[#This Row],[Cavern]]</f>
        <v>6</v>
      </c>
      <c r="H116" s="198" t="n">
        <f aca="false">TblConstr[[#This Row],[Water]]</f>
        <v>7</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5574946</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488</v>
      </c>
      <c r="Y116" s="69" t="n">
        <f aca="false">TblRezone[[#This Row],[Total acres]]*TblRezone[[#This Row],[Plat/acre]]</f>
        <v>0</v>
      </c>
      <c r="Z116" s="245"/>
      <c r="AA116" s="69" t="n">
        <f aca="false">250+0.6*(TblRezone[[#This Row],[Land]]-250)</f>
        <v>487.6</v>
      </c>
      <c r="AB116" s="245"/>
      <c r="AC116" s="150" t="n">
        <f aca="false">TblConstr[[#This Row],[Facs DB]]</f>
        <v>0</v>
      </c>
    </row>
    <row r="117" customFormat="false" ht="12.75" hidden="false" customHeight="false" outlineLevel="0" collapsed="false">
      <c r="A117" s="181" t="n">
        <f aca="false">TblConstr[[#This Row],[Land]]</f>
        <v>646</v>
      </c>
      <c r="B117" s="246" t="n">
        <f aca="false">TblConstr[[#This Row],[Plain]]</f>
        <v>-81</v>
      </c>
      <c r="C117" s="193" t="n">
        <f aca="false">TblConstr[[#This Row],[Forest]]</f>
        <v>2</v>
      </c>
      <c r="D117" s="200" t="n">
        <f aca="false">TblConstr[[#This Row],[Mountain]]</f>
        <v>3</v>
      </c>
      <c r="E117" s="201" t="n">
        <f aca="false">TblConstr[[#This Row],[Hill]]</f>
        <v>4</v>
      </c>
      <c r="F117" s="202" t="n">
        <f aca="false">TblConstr[[#This Row],[Swamp]]</f>
        <v>5</v>
      </c>
      <c r="G117" s="197" t="n">
        <f aca="false">TblConstr[[#This Row],[Cavern]]</f>
        <v>6</v>
      </c>
      <c r="H117" s="198" t="n">
        <f aca="false">TblConstr[[#This Row],[Water]]</f>
        <v>7</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5670213</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488</v>
      </c>
      <c r="Y117" s="69" t="n">
        <f aca="false">TblRezone[[#This Row],[Total acres]]*TblRezone[[#This Row],[Plat/acre]]</f>
        <v>0</v>
      </c>
      <c r="Z117" s="245"/>
      <c r="AA117" s="69" t="n">
        <f aca="false">250+0.6*(TblRezone[[#This Row],[Land]]-250)</f>
        <v>487.6</v>
      </c>
      <c r="AB117" s="245"/>
      <c r="AC117" s="150" t="n">
        <f aca="false">TblConstr[[#This Row],[Facs DB]]</f>
        <v>0</v>
      </c>
    </row>
    <row r="118" customFormat="false" ht="12.75" hidden="false" customHeight="false" outlineLevel="0" collapsed="false">
      <c r="A118" s="181" t="n">
        <f aca="false">TblConstr[[#This Row],[Land]]</f>
        <v>646</v>
      </c>
      <c r="B118" s="246" t="n">
        <f aca="false">TblConstr[[#This Row],[Plain]]</f>
        <v>-81</v>
      </c>
      <c r="C118" s="193" t="n">
        <f aca="false">TblConstr[[#This Row],[Forest]]</f>
        <v>2</v>
      </c>
      <c r="D118" s="200" t="n">
        <f aca="false">TblConstr[[#This Row],[Mountain]]</f>
        <v>3</v>
      </c>
      <c r="E118" s="201" t="n">
        <f aca="false">TblConstr[[#This Row],[Hill]]</f>
        <v>4</v>
      </c>
      <c r="F118" s="202" t="n">
        <f aca="false">TblConstr[[#This Row],[Swamp]]</f>
        <v>5</v>
      </c>
      <c r="G118" s="197" t="n">
        <f aca="false">TblConstr[[#This Row],[Cavern]]</f>
        <v>6</v>
      </c>
      <c r="H118" s="198" t="n">
        <f aca="false">TblConstr[[#This Row],[Water]]</f>
        <v>7</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5765305</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488</v>
      </c>
      <c r="Y118" s="69" t="n">
        <f aca="false">TblRezone[[#This Row],[Total acres]]*TblRezone[[#This Row],[Plat/acre]]</f>
        <v>0</v>
      </c>
      <c r="Z118" s="245"/>
      <c r="AA118" s="69" t="n">
        <f aca="false">250+0.6*(TblRezone[[#This Row],[Land]]-250)</f>
        <v>487.6</v>
      </c>
      <c r="AB118" s="245"/>
      <c r="AC118" s="150" t="n">
        <f aca="false">TblConstr[[#This Row],[Facs DB]]</f>
        <v>0</v>
      </c>
    </row>
    <row r="119" customFormat="false" ht="12.75" hidden="false" customHeight="false" outlineLevel="0" collapsed="false">
      <c r="A119" s="181" t="n">
        <f aca="false">TblConstr[[#This Row],[Land]]</f>
        <v>646</v>
      </c>
      <c r="B119" s="246" t="n">
        <f aca="false">TblConstr[[#This Row],[Plain]]</f>
        <v>-81</v>
      </c>
      <c r="C119" s="193" t="n">
        <f aca="false">TblConstr[[#This Row],[Forest]]</f>
        <v>2</v>
      </c>
      <c r="D119" s="200" t="n">
        <f aca="false">TblConstr[[#This Row],[Mountain]]</f>
        <v>3</v>
      </c>
      <c r="E119" s="201" t="n">
        <f aca="false">TblConstr[[#This Row],[Hill]]</f>
        <v>4</v>
      </c>
      <c r="F119" s="202" t="n">
        <f aca="false">TblConstr[[#This Row],[Swamp]]</f>
        <v>5</v>
      </c>
      <c r="G119" s="197" t="n">
        <f aca="false">TblConstr[[#This Row],[Cavern]]</f>
        <v>6</v>
      </c>
      <c r="H119" s="198" t="n">
        <f aca="false">TblConstr[[#This Row],[Water]]</f>
        <v>7</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5860224</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488</v>
      </c>
      <c r="Y119" s="69" t="n">
        <f aca="false">TblRezone[[#This Row],[Total acres]]*TblRezone[[#This Row],[Plat/acre]]</f>
        <v>0</v>
      </c>
      <c r="Z119" s="245"/>
      <c r="AA119" s="69" t="n">
        <f aca="false">250+0.6*(TblRezone[[#This Row],[Land]]-250)</f>
        <v>487.6</v>
      </c>
      <c r="AB119" s="245"/>
      <c r="AC119" s="150" t="n">
        <f aca="false">TblConstr[[#This Row],[Facs DB]]</f>
        <v>0</v>
      </c>
    </row>
    <row r="120" customFormat="false" ht="12.75" hidden="false" customHeight="false" outlineLevel="0" collapsed="false">
      <c r="A120" s="181" t="n">
        <f aca="false">TblConstr[[#This Row],[Land]]</f>
        <v>646</v>
      </c>
      <c r="B120" s="246" t="n">
        <f aca="false">TblConstr[[#This Row],[Plain]]</f>
        <v>-81</v>
      </c>
      <c r="C120" s="193" t="n">
        <f aca="false">TblConstr[[#This Row],[Forest]]</f>
        <v>2</v>
      </c>
      <c r="D120" s="200" t="n">
        <f aca="false">TblConstr[[#This Row],[Mountain]]</f>
        <v>3</v>
      </c>
      <c r="E120" s="201" t="n">
        <f aca="false">TblConstr[[#This Row],[Hill]]</f>
        <v>4</v>
      </c>
      <c r="F120" s="202" t="n">
        <f aca="false">TblConstr[[#This Row],[Swamp]]</f>
        <v>5</v>
      </c>
      <c r="G120" s="197" t="n">
        <f aca="false">TblConstr[[#This Row],[Cavern]]</f>
        <v>6</v>
      </c>
      <c r="H120" s="198" t="n">
        <f aca="false">TblConstr[[#This Row],[Water]]</f>
        <v>7</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5954970</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488</v>
      </c>
      <c r="Y120" s="69" t="n">
        <f aca="false">TblRezone[[#This Row],[Total acres]]*TblRezone[[#This Row],[Plat/acre]]</f>
        <v>0</v>
      </c>
      <c r="Z120" s="245"/>
      <c r="AA120" s="69" t="n">
        <f aca="false">250+0.6*(TblRezone[[#This Row],[Land]]-250)</f>
        <v>487.6</v>
      </c>
      <c r="AB120" s="245"/>
      <c r="AC120" s="150" t="n">
        <f aca="false">TblConstr[[#This Row],[Facs DB]]</f>
        <v>0</v>
      </c>
    </row>
    <row r="121" customFormat="false" ht="12.75" hidden="false" customHeight="false" outlineLevel="0" collapsed="false">
      <c r="A121" s="181" t="n">
        <f aca="false">TblConstr[[#This Row],[Land]]</f>
        <v>646</v>
      </c>
      <c r="B121" s="246" t="n">
        <f aca="false">TblConstr[[#This Row],[Plain]]</f>
        <v>-81</v>
      </c>
      <c r="C121" s="193" t="n">
        <f aca="false">TblConstr[[#This Row],[Forest]]</f>
        <v>2</v>
      </c>
      <c r="D121" s="200" t="n">
        <f aca="false">TblConstr[[#This Row],[Mountain]]</f>
        <v>3</v>
      </c>
      <c r="E121" s="201" t="n">
        <f aca="false">TblConstr[[#This Row],[Hill]]</f>
        <v>4</v>
      </c>
      <c r="F121" s="202" t="n">
        <f aca="false">TblConstr[[#This Row],[Swamp]]</f>
        <v>5</v>
      </c>
      <c r="G121" s="197" t="n">
        <f aca="false">TblConstr[[#This Row],[Cavern]]</f>
        <v>6</v>
      </c>
      <c r="H121" s="198" t="n">
        <f aca="false">TblConstr[[#This Row],[Water]]</f>
        <v>7</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6049546</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488</v>
      </c>
      <c r="Y121" s="69" t="n">
        <f aca="false">TblRezone[[#This Row],[Total acres]]*TblRezone[[#This Row],[Plat/acre]]</f>
        <v>0</v>
      </c>
      <c r="Z121" s="245"/>
      <c r="AA121" s="69" t="n">
        <f aca="false">250+0.6*(TblRezone[[#This Row],[Land]]-250)</f>
        <v>487.6</v>
      </c>
      <c r="AB121" s="245"/>
      <c r="AC121" s="150" t="n">
        <f aca="false">TblConstr[[#This Row],[Facs DB]]</f>
        <v>0</v>
      </c>
    </row>
    <row r="122" customFormat="false" ht="12.75" hidden="false" customHeight="false" outlineLevel="0" collapsed="false">
      <c r="A122" s="181" t="n">
        <f aca="false">TblConstr[[#This Row],[Land]]</f>
        <v>646</v>
      </c>
      <c r="B122" s="246" t="n">
        <f aca="false">TblConstr[[#This Row],[Plain]]</f>
        <v>-81</v>
      </c>
      <c r="C122" s="193" t="n">
        <f aca="false">TblConstr[[#This Row],[Forest]]</f>
        <v>2</v>
      </c>
      <c r="D122" s="200" t="n">
        <f aca="false">TblConstr[[#This Row],[Mountain]]</f>
        <v>3</v>
      </c>
      <c r="E122" s="201" t="n">
        <f aca="false">TblConstr[[#This Row],[Hill]]</f>
        <v>4</v>
      </c>
      <c r="F122" s="202" t="n">
        <f aca="false">TblConstr[[#This Row],[Swamp]]</f>
        <v>5</v>
      </c>
      <c r="G122" s="197" t="n">
        <f aca="false">TblConstr[[#This Row],[Cavern]]</f>
        <v>6</v>
      </c>
      <c r="H122" s="198" t="n">
        <f aca="false">TblConstr[[#This Row],[Water]]</f>
        <v>7</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6143955</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488</v>
      </c>
      <c r="Y122" s="69" t="n">
        <f aca="false">TblRezone[[#This Row],[Total acres]]*TblRezone[[#This Row],[Plat/acre]]</f>
        <v>0</v>
      </c>
      <c r="Z122" s="245"/>
      <c r="AA122" s="69" t="n">
        <f aca="false">250+0.6*(TblRezone[[#This Row],[Land]]-250)</f>
        <v>487.6</v>
      </c>
      <c r="AB122" s="245"/>
      <c r="AC122" s="150" t="n">
        <f aca="false">TblConstr[[#This Row],[Facs DB]]</f>
        <v>0</v>
      </c>
    </row>
    <row r="123" customFormat="false" ht="12.75" hidden="false" customHeight="false" outlineLevel="0" collapsed="false">
      <c r="A123" s="181" t="n">
        <f aca="false">TblConstr[[#This Row],[Land]]</f>
        <v>646</v>
      </c>
      <c r="B123" s="246" t="n">
        <f aca="false">TblConstr[[#This Row],[Plain]]</f>
        <v>-81</v>
      </c>
      <c r="C123" s="193" t="n">
        <f aca="false">TblConstr[[#This Row],[Forest]]</f>
        <v>2</v>
      </c>
      <c r="D123" s="200" t="n">
        <f aca="false">TblConstr[[#This Row],[Mountain]]</f>
        <v>3</v>
      </c>
      <c r="E123" s="201" t="n">
        <f aca="false">TblConstr[[#This Row],[Hill]]</f>
        <v>4</v>
      </c>
      <c r="F123" s="202" t="n">
        <f aca="false">TblConstr[[#This Row],[Swamp]]</f>
        <v>5</v>
      </c>
      <c r="G123" s="197" t="n">
        <f aca="false">TblConstr[[#This Row],[Cavern]]</f>
        <v>6</v>
      </c>
      <c r="H123" s="198" t="n">
        <f aca="false">TblConstr[[#This Row],[Water]]</f>
        <v>7</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6238196</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488</v>
      </c>
      <c r="Y123" s="69" t="n">
        <f aca="false">TblRezone[[#This Row],[Total acres]]*TblRezone[[#This Row],[Plat/acre]]</f>
        <v>0</v>
      </c>
      <c r="Z123" s="245"/>
      <c r="AA123" s="69" t="n">
        <f aca="false">250+0.6*(TblRezone[[#This Row],[Land]]-250)</f>
        <v>487.6</v>
      </c>
      <c r="AB123" s="245"/>
      <c r="AC123" s="150" t="n">
        <f aca="false">TblConstr[[#This Row],[Facs DB]]</f>
        <v>0</v>
      </c>
    </row>
    <row r="124" customFormat="false" ht="12.75" hidden="false" customHeight="false" outlineLevel="0" collapsed="false">
      <c r="A124" s="181" t="n">
        <f aca="false">TblConstr[[#This Row],[Land]]</f>
        <v>646</v>
      </c>
      <c r="B124" s="246" t="n">
        <f aca="false">TblConstr[[#This Row],[Plain]]</f>
        <v>-81</v>
      </c>
      <c r="C124" s="193" t="n">
        <f aca="false">TblConstr[[#This Row],[Forest]]</f>
        <v>2</v>
      </c>
      <c r="D124" s="200" t="n">
        <f aca="false">TblConstr[[#This Row],[Mountain]]</f>
        <v>3</v>
      </c>
      <c r="E124" s="201" t="n">
        <f aca="false">TblConstr[[#This Row],[Hill]]</f>
        <v>4</v>
      </c>
      <c r="F124" s="202" t="n">
        <f aca="false">TblConstr[[#This Row],[Swamp]]</f>
        <v>5</v>
      </c>
      <c r="G124" s="197" t="n">
        <f aca="false">TblConstr[[#This Row],[Cavern]]</f>
        <v>6</v>
      </c>
      <c r="H124" s="198" t="n">
        <f aca="false">TblConstr[[#This Row],[Water]]</f>
        <v>7</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6332273</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488</v>
      </c>
      <c r="Y124" s="69" t="n">
        <f aca="false">TblRezone[[#This Row],[Total acres]]*TblRezone[[#This Row],[Plat/acre]]</f>
        <v>0</v>
      </c>
      <c r="Z124" s="245"/>
      <c r="AA124" s="69" t="n">
        <f aca="false">250+0.6*(TblRezone[[#This Row],[Land]]-250)</f>
        <v>487.6</v>
      </c>
      <c r="AB124" s="245"/>
      <c r="AC124" s="150" t="n">
        <f aca="false">TblConstr[[#This Row],[Facs DB]]</f>
        <v>0</v>
      </c>
    </row>
    <row r="125" customFormat="false" ht="12.75" hidden="false" customHeight="false" outlineLevel="0" collapsed="false">
      <c r="A125" s="181" t="n">
        <f aca="false">TblConstr[[#This Row],[Land]]</f>
        <v>646</v>
      </c>
      <c r="B125" s="246" t="n">
        <f aca="false">TblConstr[[#This Row],[Plain]]</f>
        <v>-81</v>
      </c>
      <c r="C125" s="193" t="n">
        <f aca="false">TblConstr[[#This Row],[Forest]]</f>
        <v>2</v>
      </c>
      <c r="D125" s="200" t="n">
        <f aca="false">TblConstr[[#This Row],[Mountain]]</f>
        <v>3</v>
      </c>
      <c r="E125" s="201" t="n">
        <f aca="false">TblConstr[[#This Row],[Hill]]</f>
        <v>4</v>
      </c>
      <c r="F125" s="202" t="n">
        <f aca="false">TblConstr[[#This Row],[Swamp]]</f>
        <v>5</v>
      </c>
      <c r="G125" s="197" t="n">
        <f aca="false">TblConstr[[#This Row],[Cavern]]</f>
        <v>6</v>
      </c>
      <c r="H125" s="198" t="n">
        <f aca="false">TblConstr[[#This Row],[Water]]</f>
        <v>7</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6426185</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488</v>
      </c>
      <c r="Y125" s="69" t="n">
        <f aca="false">TblRezone[[#This Row],[Total acres]]*TblRezone[[#This Row],[Plat/acre]]</f>
        <v>0</v>
      </c>
      <c r="Z125" s="245"/>
      <c r="AA125" s="69" t="n">
        <f aca="false">250+0.6*(TblRezone[[#This Row],[Land]]-250)</f>
        <v>487.6</v>
      </c>
      <c r="AB125" s="245"/>
      <c r="AC125" s="150" t="n">
        <f aca="false">TblConstr[[#This Row],[Facs DB]]</f>
        <v>0</v>
      </c>
    </row>
    <row r="126" customFormat="false" ht="12.75" hidden="false" customHeight="false" outlineLevel="0" collapsed="false">
      <c r="A126" s="181" t="n">
        <f aca="false">TblConstr[[#This Row],[Land]]</f>
        <v>646</v>
      </c>
      <c r="B126" s="246" t="n">
        <f aca="false">TblConstr[[#This Row],[Plain]]</f>
        <v>-81</v>
      </c>
      <c r="C126" s="193" t="n">
        <f aca="false">TblConstr[[#This Row],[Forest]]</f>
        <v>2</v>
      </c>
      <c r="D126" s="200" t="n">
        <f aca="false">TblConstr[[#This Row],[Mountain]]</f>
        <v>3</v>
      </c>
      <c r="E126" s="201" t="n">
        <f aca="false">TblConstr[[#This Row],[Hill]]</f>
        <v>4</v>
      </c>
      <c r="F126" s="202" t="n">
        <f aca="false">TblConstr[[#This Row],[Swamp]]</f>
        <v>5</v>
      </c>
      <c r="G126" s="197" t="n">
        <f aca="false">TblConstr[[#This Row],[Cavern]]</f>
        <v>6</v>
      </c>
      <c r="H126" s="198" t="n">
        <f aca="false">TblConstr[[#This Row],[Water]]</f>
        <v>7</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6519935</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488</v>
      </c>
      <c r="Y126" s="69" t="n">
        <f aca="false">TblRezone[[#This Row],[Total acres]]*TblRezone[[#This Row],[Plat/acre]]</f>
        <v>0</v>
      </c>
      <c r="Z126" s="245"/>
      <c r="AA126" s="69" t="n">
        <f aca="false">250+0.6*(TblRezone[[#This Row],[Land]]-250)</f>
        <v>487.6</v>
      </c>
      <c r="AB126" s="245"/>
      <c r="AC126" s="150" t="n">
        <f aca="false">TblConstr[[#This Row],[Facs DB]]</f>
        <v>0</v>
      </c>
    </row>
    <row r="127" customFormat="false" ht="12.75" hidden="false" customHeight="false" outlineLevel="0" collapsed="false">
      <c r="A127" s="181" t="n">
        <f aca="false">TblConstr[[#This Row],[Land]]</f>
        <v>646</v>
      </c>
      <c r="B127" s="246" t="n">
        <f aca="false">TblConstr[[#This Row],[Plain]]</f>
        <v>-81</v>
      </c>
      <c r="C127" s="193" t="n">
        <f aca="false">TblConstr[[#This Row],[Forest]]</f>
        <v>2</v>
      </c>
      <c r="D127" s="200" t="n">
        <f aca="false">TblConstr[[#This Row],[Mountain]]</f>
        <v>3</v>
      </c>
      <c r="E127" s="201" t="n">
        <f aca="false">TblConstr[[#This Row],[Hill]]</f>
        <v>4</v>
      </c>
      <c r="F127" s="202" t="n">
        <f aca="false">TblConstr[[#This Row],[Swamp]]</f>
        <v>5</v>
      </c>
      <c r="G127" s="197" t="n">
        <f aca="false">TblConstr[[#This Row],[Cavern]]</f>
        <v>6</v>
      </c>
      <c r="H127" s="198" t="n">
        <f aca="false">TblConstr[[#This Row],[Water]]</f>
        <v>7</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6613526</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488</v>
      </c>
      <c r="Y127" s="69" t="n">
        <f aca="false">TblRezone[[#This Row],[Total acres]]*TblRezone[[#This Row],[Plat/acre]]</f>
        <v>0</v>
      </c>
      <c r="Z127" s="245"/>
      <c r="AA127" s="69" t="n">
        <f aca="false">250+0.6*(TblRezone[[#This Row],[Land]]-250)</f>
        <v>487.6</v>
      </c>
      <c r="AB127" s="245"/>
      <c r="AC127" s="150" t="n">
        <f aca="false">TblConstr[[#This Row],[Facs DB]]</f>
        <v>0</v>
      </c>
    </row>
    <row r="128" customFormat="false" ht="12.75" hidden="false" customHeight="false" outlineLevel="0" collapsed="false">
      <c r="A128" s="181" t="n">
        <f aca="false">TblConstr[[#This Row],[Land]]</f>
        <v>646</v>
      </c>
      <c r="B128" s="246" t="n">
        <f aca="false">TblConstr[[#This Row],[Plain]]</f>
        <v>-81</v>
      </c>
      <c r="C128" s="193" t="n">
        <f aca="false">TblConstr[[#This Row],[Forest]]</f>
        <v>2</v>
      </c>
      <c r="D128" s="200" t="n">
        <f aca="false">TblConstr[[#This Row],[Mountain]]</f>
        <v>3</v>
      </c>
      <c r="E128" s="201" t="n">
        <f aca="false">TblConstr[[#This Row],[Hill]]</f>
        <v>4</v>
      </c>
      <c r="F128" s="202" t="n">
        <f aca="false">TblConstr[[#This Row],[Swamp]]</f>
        <v>5</v>
      </c>
      <c r="G128" s="197" t="n">
        <f aca="false">TblConstr[[#This Row],[Cavern]]</f>
        <v>6</v>
      </c>
      <c r="H128" s="198" t="n">
        <f aca="false">TblConstr[[#This Row],[Water]]</f>
        <v>7</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6706957</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488</v>
      </c>
      <c r="Y128" s="69" t="n">
        <f aca="false">TblRezone[[#This Row],[Total acres]]*TblRezone[[#This Row],[Plat/acre]]</f>
        <v>0</v>
      </c>
      <c r="Z128" s="245"/>
      <c r="AA128" s="69" t="n">
        <f aca="false">250+0.6*(TblRezone[[#This Row],[Land]]-250)</f>
        <v>487.6</v>
      </c>
      <c r="AB128" s="245"/>
      <c r="AC128" s="150" t="n">
        <f aca="false">TblConstr[[#This Row],[Facs DB]]</f>
        <v>0</v>
      </c>
    </row>
    <row r="129" customFormat="false" ht="12.75" hidden="false" customHeight="false" outlineLevel="0" collapsed="false">
      <c r="A129" s="181" t="n">
        <f aca="false">TblConstr[[#This Row],[Land]]</f>
        <v>646</v>
      </c>
      <c r="B129" s="246" t="n">
        <f aca="false">TblConstr[[#This Row],[Plain]]</f>
        <v>-81</v>
      </c>
      <c r="C129" s="193" t="n">
        <f aca="false">TblConstr[[#This Row],[Forest]]</f>
        <v>2</v>
      </c>
      <c r="D129" s="200" t="n">
        <f aca="false">TblConstr[[#This Row],[Mountain]]</f>
        <v>3</v>
      </c>
      <c r="E129" s="201" t="n">
        <f aca="false">TblConstr[[#This Row],[Hill]]</f>
        <v>4</v>
      </c>
      <c r="F129" s="202" t="n">
        <f aca="false">TblConstr[[#This Row],[Swamp]]</f>
        <v>5</v>
      </c>
      <c r="G129" s="197" t="n">
        <f aca="false">TblConstr[[#This Row],[Cavern]]</f>
        <v>6</v>
      </c>
      <c r="H129" s="198" t="n">
        <f aca="false">TblConstr[[#This Row],[Water]]</f>
        <v>7</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6800232</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488</v>
      </c>
      <c r="Y129" s="69" t="n">
        <f aca="false">TblRezone[[#This Row],[Total acres]]*TblRezone[[#This Row],[Plat/acre]]</f>
        <v>0</v>
      </c>
      <c r="Z129" s="245"/>
      <c r="AA129" s="69" t="n">
        <f aca="false">250+0.6*(TblRezone[[#This Row],[Land]]-250)</f>
        <v>487.6</v>
      </c>
      <c r="AB129" s="245"/>
      <c r="AC129" s="150" t="n">
        <f aca="false">TblConstr[[#This Row],[Facs DB]]</f>
        <v>0</v>
      </c>
    </row>
    <row r="130" customFormat="false" ht="12.75" hidden="false" customHeight="false" outlineLevel="0" collapsed="false">
      <c r="A130" s="181" t="n">
        <f aca="false">TblConstr[[#This Row],[Land]]</f>
        <v>646</v>
      </c>
      <c r="B130" s="246" t="n">
        <f aca="false">TblConstr[[#This Row],[Plain]]</f>
        <v>-81</v>
      </c>
      <c r="C130" s="193" t="n">
        <f aca="false">TblConstr[[#This Row],[Forest]]</f>
        <v>2</v>
      </c>
      <c r="D130" s="200" t="n">
        <f aca="false">TblConstr[[#This Row],[Mountain]]</f>
        <v>3</v>
      </c>
      <c r="E130" s="201" t="n">
        <f aca="false">TblConstr[[#This Row],[Hill]]</f>
        <v>4</v>
      </c>
      <c r="F130" s="202" t="n">
        <f aca="false">TblConstr[[#This Row],[Swamp]]</f>
        <v>5</v>
      </c>
      <c r="G130" s="197" t="n">
        <f aca="false">TblConstr[[#This Row],[Cavern]]</f>
        <v>6</v>
      </c>
      <c r="H130" s="198" t="n">
        <f aca="false">TblConstr[[#This Row],[Water]]</f>
        <v>7</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6893350</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488</v>
      </c>
      <c r="Y130" s="69" t="n">
        <f aca="false">TblRezone[[#This Row],[Total acres]]*TblRezone[[#This Row],[Plat/acre]]</f>
        <v>0</v>
      </c>
      <c r="Z130" s="245"/>
      <c r="AA130" s="69" t="n">
        <f aca="false">250+0.6*(TblRezone[[#This Row],[Land]]-250)</f>
        <v>487.6</v>
      </c>
      <c r="AB130" s="245"/>
      <c r="AC130" s="150" t="n">
        <f aca="false">TblConstr[[#This Row],[Facs DB]]</f>
        <v>0</v>
      </c>
    </row>
    <row r="131" customFormat="false" ht="12.75" hidden="false" customHeight="false" outlineLevel="0" collapsed="false">
      <c r="A131" s="181" t="n">
        <f aca="false">TblConstr[[#This Row],[Land]]</f>
        <v>646</v>
      </c>
      <c r="B131" s="246" t="n">
        <f aca="false">TblConstr[[#This Row],[Plain]]</f>
        <v>-81</v>
      </c>
      <c r="C131" s="193" t="n">
        <f aca="false">TblConstr[[#This Row],[Forest]]</f>
        <v>2</v>
      </c>
      <c r="D131" s="200" t="n">
        <f aca="false">TblConstr[[#This Row],[Mountain]]</f>
        <v>3</v>
      </c>
      <c r="E131" s="201" t="n">
        <f aca="false">TblConstr[[#This Row],[Hill]]</f>
        <v>4</v>
      </c>
      <c r="F131" s="202" t="n">
        <f aca="false">TblConstr[[#This Row],[Swamp]]</f>
        <v>5</v>
      </c>
      <c r="G131" s="197" t="n">
        <f aca="false">TblConstr[[#This Row],[Cavern]]</f>
        <v>6</v>
      </c>
      <c r="H131" s="198" t="n">
        <f aca="false">TblConstr[[#This Row],[Water]]</f>
        <v>7</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6986314</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488</v>
      </c>
      <c r="Y131" s="69" t="n">
        <f aca="false">TblRezone[[#This Row],[Total acres]]*TblRezone[[#This Row],[Plat/acre]]</f>
        <v>0</v>
      </c>
      <c r="Z131" s="245"/>
      <c r="AA131" s="69" t="n">
        <f aca="false">250+0.6*(TblRezone[[#This Row],[Land]]-250)</f>
        <v>487.6</v>
      </c>
      <c r="AB131" s="245"/>
      <c r="AC131" s="150" t="n">
        <f aca="false">TblConstr[[#This Row],[Facs DB]]</f>
        <v>0</v>
      </c>
    </row>
    <row r="132" customFormat="false" ht="12.75" hidden="false" customHeight="false" outlineLevel="0" collapsed="false">
      <c r="A132" s="181" t="n">
        <f aca="false">TblConstr[[#This Row],[Land]]</f>
        <v>646</v>
      </c>
      <c r="B132" s="246" t="n">
        <f aca="false">TblConstr[[#This Row],[Plain]]</f>
        <v>-81</v>
      </c>
      <c r="C132" s="193" t="n">
        <f aca="false">TblConstr[[#This Row],[Forest]]</f>
        <v>2</v>
      </c>
      <c r="D132" s="200" t="n">
        <f aca="false">TblConstr[[#This Row],[Mountain]]</f>
        <v>3</v>
      </c>
      <c r="E132" s="201" t="n">
        <f aca="false">TblConstr[[#This Row],[Hill]]</f>
        <v>4</v>
      </c>
      <c r="F132" s="202" t="n">
        <f aca="false">TblConstr[[#This Row],[Swamp]]</f>
        <v>5</v>
      </c>
      <c r="G132" s="197" t="n">
        <f aca="false">TblConstr[[#This Row],[Cavern]]</f>
        <v>6</v>
      </c>
      <c r="H132" s="198" t="n">
        <f aca="false">TblConstr[[#This Row],[Water]]</f>
        <v>7</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7079127</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488</v>
      </c>
      <c r="Y132" s="69" t="n">
        <f aca="false">TblRezone[[#This Row],[Total acres]]*TblRezone[[#This Row],[Plat/acre]]</f>
        <v>0</v>
      </c>
      <c r="Z132" s="245"/>
      <c r="AA132" s="69" t="n">
        <f aca="false">250+0.6*(TblRezone[[#This Row],[Land]]-250)</f>
        <v>487.6</v>
      </c>
      <c r="AB132" s="245"/>
      <c r="AC132" s="150" t="n">
        <f aca="false">TblConstr[[#This Row],[Facs DB]]</f>
        <v>0</v>
      </c>
    </row>
    <row r="133" customFormat="false" ht="12.75" hidden="false" customHeight="false" outlineLevel="0" collapsed="false">
      <c r="A133" s="181" t="n">
        <f aca="false">TblConstr[[#This Row],[Land]]</f>
        <v>646</v>
      </c>
      <c r="B133" s="246" t="n">
        <f aca="false">TblConstr[[#This Row],[Plain]]</f>
        <v>-81</v>
      </c>
      <c r="C133" s="193" t="n">
        <f aca="false">TblConstr[[#This Row],[Forest]]</f>
        <v>2</v>
      </c>
      <c r="D133" s="200" t="n">
        <f aca="false">TblConstr[[#This Row],[Mountain]]</f>
        <v>3</v>
      </c>
      <c r="E133" s="201" t="n">
        <f aca="false">TblConstr[[#This Row],[Hill]]</f>
        <v>4</v>
      </c>
      <c r="F133" s="202" t="n">
        <f aca="false">TblConstr[[#This Row],[Swamp]]</f>
        <v>5</v>
      </c>
      <c r="G133" s="197" t="n">
        <f aca="false">TblConstr[[#This Row],[Cavern]]</f>
        <v>6</v>
      </c>
      <c r="H133" s="198" t="n">
        <f aca="false">TblConstr[[#This Row],[Water]]</f>
        <v>7</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7171789</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488</v>
      </c>
      <c r="Y133" s="69" t="n">
        <f aca="false">TblRezone[[#This Row],[Total acres]]*TblRezone[[#This Row],[Plat/acre]]</f>
        <v>0</v>
      </c>
      <c r="Z133" s="245"/>
      <c r="AA133" s="69" t="n">
        <f aca="false">250+0.6*(TblRezone[[#This Row],[Land]]-250)</f>
        <v>487.6</v>
      </c>
      <c r="AB133" s="245"/>
      <c r="AC133" s="150" t="n">
        <f aca="false">TblConstr[[#This Row],[Facs DB]]</f>
        <v>0</v>
      </c>
    </row>
    <row r="134" customFormat="false" ht="12.75" hidden="false" customHeight="false" outlineLevel="0" collapsed="false">
      <c r="A134" s="181" t="n">
        <f aca="false">TblConstr[[#This Row],[Land]]</f>
        <v>646</v>
      </c>
      <c r="B134" s="246" t="n">
        <f aca="false">TblConstr[[#This Row],[Plain]]</f>
        <v>-81</v>
      </c>
      <c r="C134" s="193" t="n">
        <f aca="false">TblConstr[[#This Row],[Forest]]</f>
        <v>2</v>
      </c>
      <c r="D134" s="200" t="n">
        <f aca="false">TblConstr[[#This Row],[Mountain]]</f>
        <v>3</v>
      </c>
      <c r="E134" s="201" t="n">
        <f aca="false">TblConstr[[#This Row],[Hill]]</f>
        <v>4</v>
      </c>
      <c r="F134" s="202" t="n">
        <f aca="false">TblConstr[[#This Row],[Swamp]]</f>
        <v>5</v>
      </c>
      <c r="G134" s="197" t="n">
        <f aca="false">TblConstr[[#This Row],[Cavern]]</f>
        <v>6</v>
      </c>
      <c r="H134" s="198" t="n">
        <f aca="false">TblConstr[[#This Row],[Water]]</f>
        <v>7</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7264302</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488</v>
      </c>
      <c r="Y134" s="69" t="n">
        <f aca="false">TblRezone[[#This Row],[Total acres]]*TblRezone[[#This Row],[Plat/acre]]</f>
        <v>0</v>
      </c>
      <c r="Z134" s="245"/>
      <c r="AA134" s="69" t="n">
        <f aca="false">250+0.6*(TblRezone[[#This Row],[Land]]-250)</f>
        <v>487.6</v>
      </c>
      <c r="AB134" s="245"/>
      <c r="AC134" s="150" t="n">
        <f aca="false">TblConstr[[#This Row],[Facs DB]]</f>
        <v>0</v>
      </c>
    </row>
    <row r="135" customFormat="false" ht="12.75" hidden="false" customHeight="false" outlineLevel="0" collapsed="false">
      <c r="A135" s="181" t="n">
        <f aca="false">TblConstr[[#This Row],[Land]]</f>
        <v>646</v>
      </c>
      <c r="B135" s="246" t="n">
        <f aca="false">TblConstr[[#This Row],[Plain]]</f>
        <v>-81</v>
      </c>
      <c r="C135" s="193" t="n">
        <f aca="false">TblConstr[[#This Row],[Forest]]</f>
        <v>2</v>
      </c>
      <c r="D135" s="200" t="n">
        <f aca="false">TblConstr[[#This Row],[Mountain]]</f>
        <v>3</v>
      </c>
      <c r="E135" s="201" t="n">
        <f aca="false">TblConstr[[#This Row],[Hill]]</f>
        <v>4</v>
      </c>
      <c r="F135" s="202" t="n">
        <f aca="false">TblConstr[[#This Row],[Swamp]]</f>
        <v>5</v>
      </c>
      <c r="G135" s="197" t="n">
        <f aca="false">TblConstr[[#This Row],[Cavern]]</f>
        <v>6</v>
      </c>
      <c r="H135" s="198" t="n">
        <f aca="false">TblConstr[[#This Row],[Water]]</f>
        <v>7</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7356667</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488</v>
      </c>
      <c r="Y135" s="69" t="n">
        <f aca="false">TblRezone[[#This Row],[Total acres]]*TblRezone[[#This Row],[Plat/acre]]</f>
        <v>0</v>
      </c>
      <c r="Z135" s="245"/>
      <c r="AA135" s="69" t="n">
        <f aca="false">250+0.6*(TblRezone[[#This Row],[Land]]-250)</f>
        <v>487.6</v>
      </c>
      <c r="AB135" s="245"/>
      <c r="AC135" s="150" t="n">
        <f aca="false">TblConstr[[#This Row],[Facs DB]]</f>
        <v>0</v>
      </c>
    </row>
    <row r="136" customFormat="false" ht="12.75" hidden="false" customHeight="false" outlineLevel="0" collapsed="false">
      <c r="A136" s="181" t="n">
        <f aca="false">TblConstr[[#This Row],[Land]]</f>
        <v>646</v>
      </c>
      <c r="B136" s="246" t="n">
        <f aca="false">TblConstr[[#This Row],[Plain]]</f>
        <v>-81</v>
      </c>
      <c r="C136" s="193" t="n">
        <f aca="false">TblConstr[[#This Row],[Forest]]</f>
        <v>2</v>
      </c>
      <c r="D136" s="200" t="n">
        <f aca="false">TblConstr[[#This Row],[Mountain]]</f>
        <v>3</v>
      </c>
      <c r="E136" s="201" t="n">
        <f aca="false">TblConstr[[#This Row],[Hill]]</f>
        <v>4</v>
      </c>
      <c r="F136" s="202" t="n">
        <f aca="false">TblConstr[[#This Row],[Swamp]]</f>
        <v>5</v>
      </c>
      <c r="G136" s="197" t="n">
        <f aca="false">TblConstr[[#This Row],[Cavern]]</f>
        <v>6</v>
      </c>
      <c r="H136" s="198" t="n">
        <f aca="false">TblConstr[[#This Row],[Water]]</f>
        <v>7</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7448886</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488</v>
      </c>
      <c r="Y136" s="69" t="n">
        <f aca="false">TblRezone[[#This Row],[Total acres]]*TblRezone[[#This Row],[Plat/acre]]</f>
        <v>0</v>
      </c>
      <c r="Z136" s="245"/>
      <c r="AA136" s="69" t="n">
        <f aca="false">250+0.6*(TblRezone[[#This Row],[Land]]-250)</f>
        <v>487.6</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true" showOutlineSymbols="true" defaultGridColor="true" view="normal" topLeftCell="Y1" colorId="64" zoomScale="85" zoomScaleNormal="85" zoomScalePageLayoutView="100" workbookViewId="0">
      <pane xSplit="0" ySplit="3" topLeftCell="A47" activePane="bottomLeft" state="frozen"/>
      <selection pane="topLeft" activeCell="Y1" activeCellId="0" sqref="Y1"/>
      <selection pane="bottomLeft" activeCell="AN64" activeCellId="0" sqref="AN64"/>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0.1</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0.1</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0.1</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32177</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0.1</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38394</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0.1</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44502.5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0.1</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53587</v>
      </c>
      <c r="AQ15" s="69" t="n">
        <f aca="false">INDEX(TblProd[[#Headers],[Lumber]]:TblProd[[#This Row],[Ore]],COUNTA(TblProd[[#Headers],[Lumber]]:TblProd[[#This Row],[Lumber]]),MATCH(Military!$AQ$2,TblProd[[#Headers],[Lumber]:[Ore]],0))</f>
        <v>-357</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0.1</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39408</v>
      </c>
      <c r="AQ16" s="69" t="n">
        <f aca="false">INDEX(TblProd[[#Headers],[Lumber]]:TblProd[[#This Row],[Ore]],COUNTA(TblProd[[#Headers],[Lumber]]:TblProd[[#This Row],[Lumber]]),MATCH(Military!$AQ$2,TblProd[[#Headers],[Lumber]:[Ore]],0))</f>
        <v>-357</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0.1</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49346</v>
      </c>
      <c r="AQ17" s="69" t="n">
        <f aca="false">INDEX(TblProd[[#Headers],[Lumber]]:TblProd[[#This Row],[Ore]],COUNTA(TblProd[[#Headers],[Lumber]]:TblProd[[#This Row],[Lumber]]),MATCH(Military!$AQ$2,TblProd[[#Headers],[Lumber]:[Ore]],0))</f>
        <v>-357</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0.1</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59563</v>
      </c>
      <c r="AQ18" s="69" t="n">
        <f aca="false">INDEX(TblProd[[#Headers],[Lumber]]:TblProd[[#This Row],[Ore]],COUNTA(TblProd[[#Headers],[Lumber]]:TblProd[[#This Row],[Lumber]]),MATCH(Military!$AQ$2,TblProd[[#Headers],[Lumber]:[Ore]],0))</f>
        <v>-357</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0.1</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70075</v>
      </c>
      <c r="AQ19" s="69" t="n">
        <f aca="false">INDEX(TblProd[[#Headers],[Lumber]]:TblProd[[#This Row],[Ore]],COUNTA(TblProd[[#Headers],[Lumber]]:TblProd[[#This Row],[Lumber]]),MATCH(Military!$AQ$2,TblProd[[#Headers],[Lumber]:[Ore]],0))</f>
        <v>-357</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0.1</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80898</v>
      </c>
      <c r="AQ20" s="69" t="n">
        <f aca="false">INDEX(TblProd[[#Headers],[Lumber]]:TblProd[[#This Row],[Ore]],COUNTA(TblProd[[#Headers],[Lumber]]:TblProd[[#This Row],[Lumber]]),MATCH(Military!$AQ$2,TblProd[[#Headers],[Lumber]:[Ore]],0))</f>
        <v>-357</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0.125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0.1</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21929</v>
      </c>
      <c r="AQ21" s="69" t="n">
        <f aca="false">INDEX(TblProd[[#Headers],[Lumber]]:TblProd[[#This Row],[Ore]],COUNTA(TblProd[[#Headers],[Lumber]]:TblProd[[#This Row],[Lumber]]),MATCH(Military!$AQ$2,TblProd[[#Headers],[Lumber]:[Ore]],0))</f>
        <v>-357</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23317</v>
      </c>
      <c r="AQ22" s="69" t="n">
        <f aca="false">INDEX(TblProd[[#Headers],[Lumber]]:TblProd[[#This Row],[Ore]],COUNTA(TblProd[[#Headers],[Lumber]]:TblProd[[#This Row],[Lumber]]),MATCH(Military!$AQ$2,TblProd[[#Headers],[Lumber]:[Ore]],0))</f>
        <v>-357</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24112</v>
      </c>
      <c r="AQ23" s="69" t="n">
        <f aca="false">INDEX(TblProd[[#Headers],[Lumber]]:TblProd[[#This Row],[Ore]],COUNTA(TblProd[[#Headers],[Lumber]]:TblProd[[#This Row],[Lumber]]),MATCH(Military!$AQ$2,TblProd[[#Headers],[Lumber]:[Ore]],0))</f>
        <v>-357</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0.075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23628</v>
      </c>
      <c r="AQ24" s="69" t="n">
        <f aca="false">INDEX(TblProd[[#Headers],[Lumber]]:TblProd[[#This Row],[Ore]],COUNTA(TblProd[[#Headers],[Lumber]]:TblProd[[#This Row],[Lumber]]),MATCH(Military!$AQ$2,TblProd[[#Headers],[Lumber]:[Ore]],0))</f>
        <v>-357</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30585</v>
      </c>
      <c r="AQ25" s="69" t="n">
        <f aca="false">INDEX(TblProd[[#Headers],[Lumber]]:TblProd[[#This Row],[Ore]],COUNTA(TblProd[[#Headers],[Lumber]]:TblProd[[#This Row],[Lumber]]),MATCH(Military!$AQ$2,TblProd[[#Headers],[Lumber]:[Ore]],0))</f>
        <v>-357</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38772</v>
      </c>
      <c r="AQ26" s="69" t="n">
        <f aca="false">INDEX(TblProd[[#Headers],[Lumber]]:TblProd[[#This Row],[Ore]],COUNTA(TblProd[[#Headers],[Lumber]]:TblProd[[#This Row],[Lumber]]),MATCH(Military!$AQ$2,TblProd[[#Headers],[Lumber]:[Ore]],0))</f>
        <v>-357</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41357</v>
      </c>
      <c r="AQ27" s="69" t="n">
        <f aca="false">INDEX(TblProd[[#Headers],[Lumber]]:TblProd[[#This Row],[Ore]],COUNTA(TblProd[[#Headers],[Lumber]]:TblProd[[#This Row],[Lumber]]),MATCH(Military!$AQ$2,TblProd[[#Headers],[Lumber]:[Ore]],0))</f>
        <v>-357</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54909</v>
      </c>
      <c r="AQ28" s="69" t="n">
        <f aca="false">INDEX(TblProd[[#Headers],[Lumber]]:TblProd[[#This Row],[Ore]],COUNTA(TblProd[[#Headers],[Lumber]]:TblProd[[#This Row],[Lumber]]),MATCH(Military!$AQ$2,TblProd[[#Headers],[Lumber]:[Ore]],0))</f>
        <v>-357</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68958</v>
      </c>
      <c r="AQ29" s="69" t="n">
        <f aca="false">INDEX(TblProd[[#Headers],[Lumber]]:TblProd[[#This Row],[Ore]],COUNTA(TblProd[[#Headers],[Lumber]]:TblProd[[#This Row],[Lumber]]),MATCH(Military!$AQ$2,TblProd[[#Headers],[Lumber]:[Ore]],0))</f>
        <v>-357</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85158</v>
      </c>
      <c r="AQ30" s="69" t="n">
        <f aca="false">INDEX(TblProd[[#Headers],[Lumber]]:TblProd[[#This Row],[Ore]],COUNTA(TblProd[[#Headers],[Lumber]]:TblProd[[#This Row],[Lumber]]),MATCH(Military!$AQ$2,TblProd[[#Headers],[Lumber]:[Ore]],0))</f>
        <v>-357</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101920</v>
      </c>
      <c r="AQ31" s="69" t="n">
        <f aca="false">INDEX(TblProd[[#Headers],[Lumber]]:TblProd[[#This Row],[Ore]],COUNTA(TblProd[[#Headers],[Lumber]]:TblProd[[#This Row],[Lumber]]),MATCH(Military!$AQ$2,TblProd[[#Headers],[Lumber]:[Ore]],0))</f>
        <v>-357</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175</v>
      </c>
      <c r="C32" s="150" t="n">
        <f aca="false">TblPop[[#This Row],[Military%]]</f>
        <v>0.0421280693307655</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175</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93406</v>
      </c>
      <c r="AQ32" s="69" t="n">
        <f aca="false">INDEX(TblProd[[#Headers],[Lumber]]:TblProd[[#This Row],[Ore]],COUNTA(TblProd[[#Headers],[Lumber]]:TblProd[[#This Row],[Lumber]]),MATCH(Military!$AQ$2,TblProd[[#Headers],[Lumber]:[Ore]],0))</f>
        <v>-357</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175</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170</v>
      </c>
      <c r="C33" s="150" t="n">
        <f aca="false">TblPop[[#This Row],[Military%]]</f>
        <v>0.0388393877084761</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170</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74370</v>
      </c>
      <c r="AQ33" s="69" t="n">
        <f aca="false">INDEX(TblProd[[#Headers],[Lumber]]:TblProd[[#This Row],[Ore]],COUNTA(TblProd[[#Headers],[Lumber]]:TblProd[[#This Row],[Lumber]]),MATCH(Military!$AQ$2,TblProd[[#Headers],[Lumber]:[Ore]],0))</f>
        <v>-357</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170</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162</v>
      </c>
      <c r="C34" s="150" t="n">
        <f aca="false">TblPop[[#This Row],[Military%]]</f>
        <v>0.0351638810505752</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162</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77680</v>
      </c>
      <c r="AQ34" s="69" t="n">
        <f aca="false">INDEX(TblProd[[#Headers],[Lumber]]:TblProd[[#This Row],[Ore]],COUNTA(TblProd[[#Headers],[Lumber]]:TblProd[[#This Row],[Lumber]]),MATCH(Military!$AQ$2,TblProd[[#Headers],[Lumber]:[Ore]],0))</f>
        <v>-357</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162</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156</v>
      </c>
      <c r="C35" s="150" t="n">
        <f aca="false">TblPop[[#This Row],[Military%]]</f>
        <v>0.0321649484536083</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156</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80670</v>
      </c>
      <c r="AQ35" s="69" t="n">
        <f aca="false">INDEX(TblProd[[#Headers],[Lumber]]:TblProd[[#This Row],[Ore]],COUNTA(TblProd[[#Headers],[Lumber]]:TblProd[[#This Row],[Lumber]]),MATCH(Military!$AQ$2,TblProd[[#Headers],[Lumber]:[Ore]],0))</f>
        <v>-357</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156</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153</v>
      </c>
      <c r="C36" s="150" t="n">
        <f aca="false">TblPop[[#This Row],[Military%]]</f>
        <v>0.0299647473560517</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153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83767</v>
      </c>
      <c r="AQ36" s="69" t="n">
        <f aca="false">INDEX(TblProd[[#Headers],[Lumber]]:TblProd[[#This Row],[Ore]],COUNTA(TblProd[[#Headers],[Lumber]]:TblProd[[#This Row],[Lumber]]),MATCH(Military!$AQ$2,TblProd[[#Headers],[Lumber]:[Ore]],0))</f>
        <v>-357</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153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148</v>
      </c>
      <c r="C37" s="150" t="n">
        <f aca="false">TblPop[[#This Row],[Military%]]</f>
        <v>0.0275400074432453</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148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89772</v>
      </c>
      <c r="AQ37" s="69" t="n">
        <f aca="false">INDEX(TblProd[[#Headers],[Lumber]]:TblProd[[#This Row],[Ore]],COUNTA(TblProd[[#Headers],[Lumber]]:TblProd[[#This Row],[Lumber]]),MATCH(Military!$AQ$2,TblProd[[#Headers],[Lumber]:[Ore]],0))</f>
        <v>-357</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148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140</v>
      </c>
      <c r="C38" s="150" t="n">
        <f aca="false">TblPop[[#This Row],[Military%]]</f>
        <v>0.0247612309869119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140</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95411</v>
      </c>
      <c r="AQ38" s="69" t="n">
        <f aca="false">INDEX(TblProd[[#Headers],[Lumber]]:TblProd[[#This Row],[Ore]],COUNTA(TblProd[[#Headers],[Lumber]]:TblProd[[#This Row],[Lumber]]),MATCH(Military!$AQ$2,TblProd[[#Headers],[Lumber]:[Ore]],0))</f>
        <v>-357</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140</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130</v>
      </c>
      <c r="C39" s="150" t="n">
        <f aca="false">TblPop[[#This Row],[Military%]]</f>
        <v>0.0218671152228764</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130</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97049</v>
      </c>
      <c r="AQ39" s="69" t="n">
        <f aca="false">INDEX(TblProd[[#Headers],[Lumber]]:TblProd[[#This Row],[Ore]],COUNTA(TblProd[[#Headers],[Lumber]]:TblProd[[#This Row],[Lumber]]),MATCH(Military!$AQ$2,TblProd[[#Headers],[Lumber]:[Ore]],0))</f>
        <v>-357</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130</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123</v>
      </c>
      <c r="C40" s="150" t="n">
        <f aca="false">TblPop[[#This Row],[Military%]]</f>
        <v>0.0196642685851319</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123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103821</v>
      </c>
      <c r="AQ40" s="69" t="n">
        <f aca="false">INDEX(TblProd[[#Headers],[Lumber]]:TblProd[[#This Row],[Ore]],COUNTA(TblProd[[#Headers],[Lumber]]:TblProd[[#This Row],[Lumber]]),MATCH(Military!$AQ$2,TblProd[[#Headers],[Lumber]:[Ore]],0))</f>
        <v>-357</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123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119</v>
      </c>
      <c r="C41" s="150" t="n">
        <f aca="false">TblPop[[#This Row],[Military%]]</f>
        <v>0.018068630428181</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119</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111534</v>
      </c>
      <c r="AQ41" s="69" t="n">
        <f aca="false">INDEX(TblProd[[#Headers],[Lumber]]:TblProd[[#This Row],[Ore]],COUNTA(TblProd[[#Headers],[Lumber]]:TblProd[[#This Row],[Lumber]]),MATCH(Military!$AQ$2,TblProd[[#Headers],[Lumber]:[Ore]],0))</f>
        <v>-357</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119</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114</v>
      </c>
      <c r="C42" s="150" t="n">
        <f aca="false">TblPop[[#This Row],[Military%]]</f>
        <v>0.0170301762772632</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114</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118024</v>
      </c>
      <c r="AQ42" s="69" t="n">
        <f aca="false">INDEX(TblProd[[#Headers],[Lumber]]:TblProd[[#This Row],[Ore]],COUNTA(TblProd[[#Headers],[Lumber]]:TblProd[[#This Row],[Lumber]]),MATCH(Military!$AQ$2,TblProd[[#Headers],[Lumber]:[Ore]],0))</f>
        <v>-357</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114</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115</v>
      </c>
      <c r="C43" s="150" t="n">
        <f aca="false">TblPop[[#This Row],[Military%]]</f>
        <v>0.0171667413046723</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115</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126043</v>
      </c>
      <c r="AQ43" s="69" t="n">
        <f aca="false">INDEX(TblProd[[#Headers],[Lumber]]:TblProd[[#This Row],[Ore]],COUNTA(TblProd[[#Headers],[Lumber]]:TblProd[[#This Row],[Lumber]]),MATCH(Military!$AQ$2,TblProd[[#Headers],[Lumber]:[Ore]],0))</f>
        <v>-357</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115</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115</v>
      </c>
      <c r="C44" s="150" t="n">
        <f aca="false">TblPop[[#This Row],[Military%]]</f>
        <v>0.0167907723755293</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447</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115</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123382</v>
      </c>
      <c r="AQ44" s="69" t="n">
        <f aca="false">INDEX(TblProd[[#Headers],[Lumber]]:TblProd[[#This Row],[Ore]],COUNTA(TblProd[[#Headers],[Lumber]]:TblProd[[#This Row],[Lumber]]),MATCH(Military!$AQ$2,TblProd[[#Headers],[Lumber]:[Ore]],0))</f>
        <v>-357</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115</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-0.120805369127517</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110</v>
      </c>
      <c r="C45" s="150" t="n">
        <f aca="false">TblPop[[#This Row],[Military%]]</f>
        <v>0.0152756561588668</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456</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110</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155975</v>
      </c>
      <c r="AQ45" s="69" t="n">
        <f aca="false">INDEX(TblProd[[#Headers],[Lumber]]:TblProd[[#This Row],[Ore]],COUNTA(TblProd[[#Headers],[Lumber]]:TblProd[[#This Row],[Lumber]]),MATCH(Military!$AQ$2,TblProd[[#Headers],[Lumber]:[Ore]],0))</f>
        <v>-357</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110</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-0.118421052631579</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133</v>
      </c>
      <c r="C46" s="150" t="n">
        <f aca="false">TblPop[[#This Row],[Military%]]</f>
        <v>0.017509215376514</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466</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133</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196488</v>
      </c>
      <c r="AQ46" s="69" t="n">
        <f aca="false">INDEX(TblProd[[#Headers],[Lumber]]:TblProd[[#This Row],[Ore]],COUNTA(TblProd[[#Headers],[Lumber]]:TblProd[[#This Row],[Lumber]]),MATCH(Military!$AQ$2,TblProd[[#Headers],[Lumber]:[Ore]],0))</f>
        <v>-357</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133</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-0.11587982832618</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208</v>
      </c>
      <c r="C47" s="150" t="n">
        <f aca="false">TblPop[[#This Row],[Military%]]</f>
        <v>0.0258064516129032</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476</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208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253003</v>
      </c>
      <c r="AQ47" s="69" t="n">
        <f aca="false">INDEX(TblProd[[#Headers],[Lumber]]:TblProd[[#This Row],[Ore]],COUNTA(TblProd[[#Headers],[Lumber]]:TblProd[[#This Row],[Lumber]]),MATCH(Military!$AQ$2,TblProd[[#Headers],[Lumber]:[Ore]],0))</f>
        <v>-357</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208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-0.113445378151261</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287</v>
      </c>
      <c r="C48" s="150" t="n">
        <f aca="false">TblPop[[#This Row],[Military%]]</f>
        <v>0.0344993388628441</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486</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287</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310894</v>
      </c>
      <c r="AQ48" s="69" t="n">
        <f aca="false">INDEX(TblProd[[#Headers],[Lumber]]:TblProd[[#This Row],[Ore]],COUNTA(TblProd[[#Headers],[Lumber]]:TblProd[[#This Row],[Lumber]]),MATCH(Military!$AQ$2,TblProd[[#Headers],[Lumber]:[Ore]],0))</f>
        <v>-357</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287</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-0.111111111111111</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367</v>
      </c>
      <c r="C49" s="150" t="n">
        <f aca="false">TblPop[[#This Row],[Military%]]</f>
        <v>0.0432477020975725</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497</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367</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369076</v>
      </c>
      <c r="AQ49" s="69" t="n">
        <f aca="false">INDEX(TblProd[[#Headers],[Lumber]]:TblProd[[#This Row],[Ore]],COUNTA(TblProd[[#Headers],[Lumber]]:TblProd[[#This Row],[Lumber]]),MATCH(Military!$AQ$2,TblProd[[#Headers],[Lumber]:[Ore]],0))</f>
        <v>-357</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367</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-0.108651911468813</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448</v>
      </c>
      <c r="C50" s="150" t="n">
        <f aca="false">TblPop[[#This Row],[Military%]]</f>
        <v>0.0516783942784635</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509</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448</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427306</v>
      </c>
      <c r="AQ50" s="69" t="n">
        <f aca="false">INDEX(TblProd[[#Headers],[Lumber]]:TblProd[[#This Row],[Ore]],COUNTA(TblProd[[#Headers],[Lumber]]:TblProd[[#This Row],[Lumber]]),MATCH(Military!$AQ$2,TblProd[[#Headers],[Lumber]:[Ore]],0))</f>
        <v>-357</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448</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-0.106090373280943</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530</v>
      </c>
      <c r="C51" s="150" t="n">
        <f aca="false">TblPop[[#This Row],[Military%]]</f>
        <v>0.059765448804691</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542</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530</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509289</v>
      </c>
      <c r="AQ51" s="69" t="n">
        <f aca="false">INDEX(TblProd[[#Headers],[Lumber]]:TblProd[[#This Row],[Ore]],COUNTA(TblProd[[#Headers],[Lumber]]:TblProd[[#This Row],[Lumber]]),MATCH(Military!$AQ$2,TblProd[[#Headers],[Lumber]:[Ore]],0))</f>
        <v>-357</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530</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-0.0996309963099631</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613</v>
      </c>
      <c r="C52" s="150" t="n">
        <f aca="false">TblPop[[#This Row],[Military%]]</f>
        <v>0.0654564869193807</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575</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613</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558603</v>
      </c>
      <c r="AQ52" s="69" t="n">
        <f aca="false">INDEX(TblProd[[#Headers],[Lumber]]:TblProd[[#This Row],[Ore]],COUNTA(TblProd[[#Headers],[Lumber]]:TblProd[[#This Row],[Lumber]]),MATCH(Military!$AQ$2,TblProd[[#Headers],[Lumber]:[Ore]],0))</f>
        <v>-357</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613</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-0.0939130434782609</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701</v>
      </c>
      <c r="C53" s="150" t="n">
        <f aca="false">TblPop[[#This Row],[Military%]]</f>
        <v>0.0709514170040486</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588</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701</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619774</v>
      </c>
      <c r="AQ53" s="69" t="n">
        <f aca="false">INDEX(TblProd[[#Headers],[Lumber]]:TblProd[[#This Row],[Ore]],COUNTA(TblProd[[#Headers],[Lumber]]:TblProd[[#This Row],[Lumber]]),MATCH(Military!$AQ$2,TblProd[[#Headers],[Lumber]:[Ore]],0))</f>
        <v>-357</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701</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-0.0918367346938776</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793</v>
      </c>
      <c r="C54" s="150" t="n">
        <f aca="false">TblPop[[#This Row],[Military%]]</f>
        <v>0.0781357769238349</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602</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793</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680716</v>
      </c>
      <c r="AQ54" s="69" t="n">
        <f aca="false">INDEX(TblProd[[#Headers],[Lumber]]:TblProd[[#This Row],[Ore]],COUNTA(TblProd[[#Headers],[Lumber]]:TblProd[[#This Row],[Lumber]]),MATCH(Military!$AQ$2,TblProd[[#Headers],[Lumber]:[Ore]],0))</f>
        <v>-357</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793</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-0.0897009966777409</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887</v>
      </c>
      <c r="C55" s="150" t="n">
        <f aca="false">TblPop[[#This Row],[Military%]]</f>
        <v>0.0855351976856316</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615</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887</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742420</v>
      </c>
      <c r="AQ55" s="69" t="n">
        <f aca="false">INDEX(TblProd[[#Headers],[Lumber]]:TblProd[[#This Row],[Ore]],COUNTA(TblProd[[#Headers],[Lumber]]:TblProd[[#This Row],[Lumber]]),MATCH(Military!$AQ$2,TblProd[[#Headers],[Lumber]:[Ore]],0))</f>
        <v>-357</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887</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-0.0878048780487805</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982</v>
      </c>
      <c r="C56" s="150" t="n">
        <f aca="false">TblPop[[#This Row],[Military%]]</f>
        <v>0.0929132368246759</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626</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982</v>
      </c>
      <c r="AB56" s="146"/>
      <c r="AC56" s="130" t="n">
        <f aca="false">(TblConstr[[#This Row],[Tot Smi]]+TblConstr[[#This Row],[Dest Smi]])/(TblConstr[[#This Row],[Land]]-TblExplore[[#This Row],[Land Bonus]]*20)</f>
        <v>0.0750798722044729</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809940</v>
      </c>
      <c r="AQ56" s="69" t="n">
        <f aca="false">INDEX(TblProd[[#Headers],[Lumber]]:TblProd[[#This Row],[Ore]],COUNTA(TblProd[[#Headers],[Lumber]]:TblProd[[#This Row],[Lumber]]),MATCH(Military!$AQ$2,TblProd[[#Headers],[Lumber]:[Ore]],0))</f>
        <v>-357</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982</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255</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255</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787</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808</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-0.0862619808306709</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1078</v>
      </c>
      <c r="C57" s="150" t="n">
        <f aca="false">TblPop[[#This Row],[Military%]]</f>
        <v>0.100260416666667</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638</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1078</v>
      </c>
      <c r="AB57" s="146"/>
      <c r="AC57" s="130" t="n">
        <f aca="false">(TblConstr[[#This Row],[Tot Smi]]+TblConstr[[#This Row],[Dest Smi]])/(TblConstr[[#This Row],[Land]]-TblExplore[[#This Row],[Land Bonus]]*20)</f>
        <v>0.0862068965517241</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877556</v>
      </c>
      <c r="AQ57" s="69" t="n">
        <f aca="false">INDEX(TblProd[[#Headers],[Lumber]]:TblProd[[#This Row],[Ore]],COUNTA(TblProd[[#Headers],[Lumber]]:TblProd[[#This Row],[Lumber]]),MATCH(Military!$AQ$2,TblProd[[#Headers],[Lumber]:[Ore]],0))</f>
        <v>-357</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1078</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249</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249</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766</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787</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-0.0846394984326019</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1175</v>
      </c>
      <c r="C58" s="150" t="n">
        <f aca="false">TblPop[[#This Row],[Military%]]</f>
        <v>0.107561332845112</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646</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1175</v>
      </c>
      <c r="AB58" s="146"/>
      <c r="AC58" s="130" t="n">
        <f aca="false">(TblConstr[[#This Row],[Tot Smi]]+TblConstr[[#This Row],[Dest Smi]])/(TblConstr[[#This Row],[Land]]-TblExplore[[#This Row],[Land Bonus]]*20)</f>
        <v>0.0990712074303406</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947815</v>
      </c>
      <c r="AQ58" s="69" t="n">
        <f aca="false">INDEX(TblProd[[#Headers],[Lumber]]:TblProd[[#This Row],[Ore]],COUNTA(TblProd[[#Headers],[Lumber]]:TblProd[[#This Row],[Lumber]]),MATCH(Military!$AQ$2,TblProd[[#Headers],[Lumber]:[Ore]],0))</f>
        <v>-357</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1175</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241</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241</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742</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762</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-0.0835913312693498</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1272</v>
      </c>
      <c r="C59" s="150" t="n">
        <f aca="false">TblPop[[#This Row],[Military%]]</f>
        <v>0.115531335149864</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646</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1272</v>
      </c>
      <c r="AB59" s="146"/>
      <c r="AC59" s="130" t="n">
        <f aca="false">(TblConstr[[#This Row],[Tot Smi]]+TblConstr[[#This Row],[Dest Smi]])/(TblConstr[[#This Row],[Land]]-TblExplore[[#This Row],[Land Bonus]]*20)</f>
        <v>0.113003095975232</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1022126</v>
      </c>
      <c r="AQ59" s="69" t="n">
        <f aca="false">INDEX(TblProd[[#Headers],[Lumber]]:TblProd[[#This Row],[Ore]],COUNTA(TblProd[[#Headers],[Lumber]]:TblProd[[#This Row],[Lumber]]),MATCH(Military!$AQ$2,TblProd[[#Headers],[Lumber]:[Ore]],0))</f>
        <v>-357</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1272</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233</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233</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716</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736</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-0.0835913312693498</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1369</v>
      </c>
      <c r="C60" s="150" t="n">
        <f aca="false">TblPop[[#This Row],[Military%]]</f>
        <v>0.124341507720254</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646</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1369</v>
      </c>
      <c r="AB60" s="146"/>
      <c r="AC60" s="130" t="n">
        <f aca="false">(TblConstr[[#This Row],[Tot Smi]]+TblConstr[[#This Row],[Dest Smi]])/(TblConstr[[#This Row],[Land]]-TblExplore[[#This Row],[Land Bonus]]*20)</f>
        <v>0.126934984520124</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1096468</v>
      </c>
      <c r="AQ60" s="69" t="n">
        <f aca="false">INDEX(TblProd[[#Headers],[Lumber]]:TblProd[[#This Row],[Ore]],COUNTA(TblProd[[#Headers],[Lumber]]:TblProd[[#This Row],[Lumber]]),MATCH(Military!$AQ$2,TblProd[[#Headers],[Lumber]:[Ore]],0))</f>
        <v>-357</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1369</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224</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224</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691</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709</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-0.0835913312693498</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1465</v>
      </c>
      <c r="C61" s="150" t="n">
        <f aca="false">TblPop[[#This Row],[Military%]]</f>
        <v>0.133060853769301</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646</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1465</v>
      </c>
      <c r="AB61" s="146"/>
      <c r="AC61" s="130" t="n">
        <f aca="false">(TblConstr[[#This Row],[Tot Smi]]+TblConstr[[#This Row],[Dest Smi]])/(TblConstr[[#This Row],[Land]]-TblExplore[[#This Row],[Land Bonus]]*20)</f>
        <v>0.142414860681115</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1170586</v>
      </c>
      <c r="AQ61" s="69" t="n">
        <f aca="false">INDEX(TblProd[[#Headers],[Lumber]]:TblProd[[#This Row],[Ore]],COUNTA(TblProd[[#Headers],[Lumber]]:TblProd[[#This Row],[Lumber]]),MATCH(Military!$AQ$2,TblProd[[#Headers],[Lumber]:[Ore]],0))</f>
        <v>-357</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1465</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215</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215</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662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680</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-0.0835913312693498</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1560</v>
      </c>
      <c r="C62" s="150" t="n">
        <f aca="false">TblPop[[#This Row],[Military%]]</f>
        <v>0.141689373297003</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646</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1560</v>
      </c>
      <c r="AB62" s="146"/>
      <c r="AC62" s="130" t="n">
        <f aca="false">(TblConstr[[#This Row],[Tot Smi]]+TblConstr[[#This Row],[Dest Smi]])/(TblConstr[[#This Row],[Land]]-TblExplore[[#This Row],[Land Bonus]]*20)</f>
        <v>0.157894736842105</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1244865</v>
      </c>
      <c r="AQ62" s="69" t="n">
        <f aca="false">INDEX(TblProd[[#Headers],[Lumber]]:TblProd[[#This Row],[Ore]],COUNTA(TblProd[[#Headers],[Lumber]]:TblProd[[#This Row],[Lumber]]),MATCH(Military!$AQ$2,TblProd[[#Headers],[Lumber]:[Ore]],0))</f>
        <v>-357</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1560</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206</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206</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633</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650</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-0.0835913312693498</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1655</v>
      </c>
      <c r="C63" s="150" t="n">
        <f aca="false">TblPop[[#This Row],[Military%]]</f>
        <v>0.146033706873732</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646</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1655</v>
      </c>
      <c r="AB63" s="146"/>
      <c r="AC63" s="130" t="n">
        <f aca="false">(TblConstr[[#This Row],[Tot Smi]]+TblConstr[[#This Row],[Dest Smi]])/(TblConstr[[#This Row],[Land]]-TblExplore[[#This Row],[Land Bonus]]*20)</f>
        <v>0.176470588235294</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1319455</v>
      </c>
      <c r="AQ63" s="69" t="n">
        <f aca="false">INDEX(TblProd[[#Headers],[Lumber]]:TblProd[[#This Row],[Ore]],COUNTA(TblProd[[#Headers],[Lumber]]:TblProd[[#This Row],[Lumber]]),MATCH(Military!$AQ$2,TblProd[[#Headers],[Lumber]:[Ore]],0))</f>
        <v>-357</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1655</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195</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195</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599</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615</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-0.0835913312693498</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1752</v>
      </c>
      <c r="C64" s="150" t="n">
        <f aca="false">TblPop[[#This Row],[Military%]]</f>
        <v>0.150308853809197</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646</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409</v>
      </c>
      <c r="AB64" s="146"/>
      <c r="AC64" s="130" t="n">
        <f aca="false">(TblConstr[[#This Row],[Tot Smi]]+TblConstr[[#This Row],[Dest Smi]])/(TblConstr[[#This Row],[Land]]-TblExplore[[#This Row],[Land Bonus]]*20)</f>
        <v>0.195046439628483</v>
      </c>
      <c r="AD64" s="282"/>
      <c r="AE64" s="282" t="n">
        <f aca="false">TblMili[[#This Row],[Hour]]</f>
        <v>61</v>
      </c>
      <c r="AF64" s="129" t="n">
        <f aca="false">TblExplore[[#This Row],[Time]]</f>
        <v>45432.25</v>
      </c>
      <c r="AG64" s="182" t="n">
        <v>13</v>
      </c>
      <c r="AH64" s="152" t="n">
        <v>15</v>
      </c>
      <c r="AI64" s="182" t="n">
        <v>625</v>
      </c>
      <c r="AJ64" s="152" t="n">
        <v>638</v>
      </c>
      <c r="AK64" s="152" t="n">
        <v>25</v>
      </c>
      <c r="AL64" s="152"/>
      <c r="AM64" s="152" t="n">
        <v>27</v>
      </c>
      <c r="AN64" s="182"/>
      <c r="AO64" s="132"/>
      <c r="AP64" s="69" t="n">
        <f aca="false">TblProd[[#This Row],[Platinum]]</f>
        <v>618020</v>
      </c>
      <c r="AQ64" s="69" t="n">
        <f aca="false">INDEX(TblProd[[#Headers],[Lumber]]:TblProd[[#This Row],[Ore]],COUNTA(TblProd[[#Headers],[Lumber]]:TblProd[[#This Row],[Lumber]]),MATCH(Military!$AQ$2,TblProd[[#Headers],[Lumber]:[Ore]],0))</f>
        <v>-357</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789280</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409</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-0.0835913312693498</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1851</v>
      </c>
      <c r="C65" s="150" t="n">
        <f aca="false">TblPop[[#This Row],[Military%]]</f>
        <v>0.158802333562114</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646</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508</v>
      </c>
      <c r="AB65" s="146"/>
      <c r="AC65" s="130" t="n">
        <f aca="false">(TblConstr[[#This Row],[Tot Smi]]+TblConstr[[#This Row],[Dest Smi]])/(TblConstr[[#This Row],[Land]]-TblExplore[[#This Row],[Land Bonus]]*20)</f>
        <v>0.195046439628483</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718144</v>
      </c>
      <c r="AQ65" s="69" t="n">
        <f aca="false">INDEX(TblProd[[#Headers],[Lumber]]:TblProd[[#This Row],[Ore]],COUNTA(TblProd[[#Headers],[Lumber]]:TblProd[[#This Row],[Lumber]]),MATCH(Military!$AQ$2,TblProd[[#Headers],[Lumber]:[Ore]],0))</f>
        <v>-357</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508</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-0.0835913312693498</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1949</v>
      </c>
      <c r="C66" s="150" t="n">
        <f aca="false">TblPop[[#This Row],[Military%]]</f>
        <v>0.167210020590254</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646</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606</v>
      </c>
      <c r="AB66" s="146"/>
      <c r="AC66" s="130" t="n">
        <f aca="false">(TblConstr[[#This Row],[Tot Smi]]+TblConstr[[#This Row],[Dest Smi]])/(TblConstr[[#This Row],[Land]]-TblExplore[[#This Row],[Land Bonus]]*20)</f>
        <v>0.195046439628483</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820522</v>
      </c>
      <c r="AQ66" s="69" t="n">
        <f aca="false">INDEX(TblProd[[#Headers],[Lumber]]:TblProd[[#This Row],[Ore]],COUNTA(TblProd[[#Headers],[Lumber]]:TblProd[[#This Row],[Lumber]]),MATCH(Military!$AQ$2,TblProd[[#Headers],[Lumber]:[Ore]],0))</f>
        <v>-357</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606</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-0.0835913312693498</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2046</v>
      </c>
      <c r="C67" s="150" t="n">
        <f aca="false">TblPop[[#This Row],[Military%]]</f>
        <v>0.172309247094492</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646</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4</v>
      </c>
      <c r="AB67" s="146"/>
      <c r="AC67" s="130" t="n">
        <f aca="false">(TblConstr[[#This Row],[Tot Smi]]+TblConstr[[#This Row],[Dest Smi]])/(TblConstr[[#This Row],[Land]]-TblExplore[[#This Row],[Land Bonus]]*20)</f>
        <v>0.195046439628483</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794516</v>
      </c>
      <c r="AQ67" s="69" t="n">
        <f aca="false">INDEX(TblProd[[#Headers],[Lumber]]:TblProd[[#This Row],[Ore]],COUNTA(TblProd[[#Headers],[Lumber]]:TblProd[[#This Row],[Lumber]]),MATCH(Military!$AQ$2,TblProd[[#Headers],[Lumber]:[Ore]],0))</f>
        <v>-357</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4</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-0.0835913312693498</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2144</v>
      </c>
      <c r="C68" s="150" t="n">
        <f aca="false">TblPop[[#This Row],[Military%]]</f>
        <v>0.177292648639709</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646</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3</v>
      </c>
      <c r="AB68" s="146"/>
      <c r="AC68" s="130" t="n">
        <f aca="false">(TblConstr[[#This Row],[Tot Smi]]+TblConstr[[#This Row],[Dest Smi]])/(TblConstr[[#This Row],[Land]]-TblExplore[[#This Row],[Land Bonus]]*20)</f>
        <v>0.195046439628483</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887582</v>
      </c>
      <c r="AQ68" s="69" t="n">
        <f aca="false">INDEX(TblProd[[#Headers],[Lumber]]:TblProd[[#This Row],[Ore]],COUNTA(TblProd[[#Headers],[Lumber]]:TblProd[[#This Row],[Lumber]]),MATCH(Military!$AQ$2,TblProd[[#Headers],[Lumber]:[Ore]],0))</f>
        <v>-357</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3</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-0.0835913312693498</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2243</v>
      </c>
      <c r="C69" s="150" t="n">
        <f aca="false">TblPop[[#This Row],[Military%]]</f>
        <v>0.18189927824183</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646</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2</v>
      </c>
      <c r="AB69" s="146"/>
      <c r="AC69" s="130" t="n">
        <f aca="false">(TblConstr[[#This Row],[Tot Smi]]+TblConstr[[#This Row],[Dest Smi]])/(TblConstr[[#This Row],[Land]]-TblExplore[[#This Row],[Land Bonus]]*20)</f>
        <v>0.195046439628483</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980815</v>
      </c>
      <c r="AQ69" s="69" t="n">
        <f aca="false">INDEX(TblProd[[#Headers],[Lumber]]:TblProd[[#This Row],[Ore]],COUNTA(TblProd[[#Headers],[Lumber]]:TblProd[[#This Row],[Lumber]]),MATCH(Military!$AQ$2,TblProd[[#Headers],[Lumber]:[Ore]],0))</f>
        <v>-357</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2</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-0.0835913312693498</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2344</v>
      </c>
      <c r="C70" s="150" t="n">
        <f aca="false">TblPop[[#This Row],[Military%]]</f>
        <v>0.188879935535858</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646</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-7</v>
      </c>
      <c r="AB70" s="146"/>
      <c r="AC70" s="130" t="n">
        <f aca="false">(TblConstr[[#This Row],[Tot Smi]]+TblConstr[[#This Row],[Dest Smi]])/(TblConstr[[#This Row],[Land]]-TblExplore[[#This Row],[Land Bonus]]*20)</f>
        <v>0.195046439628483</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1048413</v>
      </c>
      <c r="AQ70" s="69" t="n">
        <f aca="false">INDEX(TblProd[[#Headers],[Lumber]]:TblProd[[#This Row],[Ore]],COUNTA(TblProd[[#Headers],[Lumber]]:TblProd[[#This Row],[Lumber]]),MATCH(Military!$AQ$2,TblProd[[#Headers],[Lumber]:[Ore]],0))</f>
        <v>-357</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-7</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-0.0835913312693498</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2445</v>
      </c>
      <c r="C71" s="150" t="n">
        <f aca="false">TblPop[[#This Row],[Military%]]</f>
        <v>0.197018533440774</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0.0027</v>
      </c>
      <c r="V71" s="274" t="e">
        <f aca="false">TblMili[[#This Row],[Non Draft]] * (1 + TblMili[[#This Row],[Mods_Def]])</f>
        <v>#VALUE!</v>
      </c>
      <c r="W71" s="285" t="e">
        <f aca="false">TblMili[[#This Row],[Draft]] * (1 + TblMili[[#This Row],[Mods_Def]])</f>
        <v>#VALUE!</v>
      </c>
      <c r="X71" s="285" t="n">
        <f aca="false">TblConstr[[#This Row],[Land]]</f>
        <v>646</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-10</v>
      </c>
      <c r="AB71" s="146"/>
      <c r="AC71" s="130" t="n">
        <f aca="false">(TblConstr[[#This Row],[Tot Smi]]+TblConstr[[#This Row],[Dest Smi]])/(TblConstr[[#This Row],[Land]]-TblExplore[[#This Row],[Land Bonus]]*20)</f>
        <v>0.195046439628483</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1119594</v>
      </c>
      <c r="AQ71" s="69" t="n">
        <f aca="false">INDEX(TblProd[[#Headers],[Lumber]]:TblProd[[#This Row],[Ore]],COUNTA(TblProd[[#Headers],[Lumber]]:TblProd[[#This Row],[Lumber]]),MATCH(Military!$AQ$2,TblProd[[#Headers],[Lumber]:[Ore]],0))</f>
        <v>-357</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-10</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-0.0835913312693498</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2545</v>
      </c>
      <c r="C72" s="150" t="n">
        <f aca="false">TblPop[[#This Row],[Military%]]</f>
        <v>0.205076551168413</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0.0054</v>
      </c>
      <c r="V72" s="274" t="e">
        <f aca="false">TblMili[[#This Row],[Non Draft]] * (1 + TblMili[[#This Row],[Mods_Def]])</f>
        <v>#VALUE!</v>
      </c>
      <c r="W72" s="285" t="e">
        <f aca="false">TblMili[[#This Row],[Draft]] * (1 + TblMili[[#This Row],[Mods_Def]])</f>
        <v>#VALUE!</v>
      </c>
      <c r="X72" s="285" t="n">
        <f aca="false">TblConstr[[#This Row],[Land]]</f>
        <v>646</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-13</v>
      </c>
      <c r="AB72" s="146"/>
      <c r="AC72" s="130" t="n">
        <f aca="false">(TblConstr[[#This Row],[Tot Smi]]+TblConstr[[#This Row],[Dest Smi]])/(TblConstr[[#This Row],[Land]]-TblExplore[[#This Row],[Land Bonus]]*20)</f>
        <v>0.195046439628483</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1169451</v>
      </c>
      <c r="AQ72" s="69" t="n">
        <f aca="false">INDEX(TblProd[[#Headers],[Lumber]]:TblProd[[#This Row],[Ore]],COUNTA(TblProd[[#Headers],[Lumber]]:TblProd[[#This Row],[Lumber]]),MATCH(Military!$AQ$2,TblProd[[#Headers],[Lumber]:[Ore]],0))</f>
        <v>-357</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-13</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-0.0835913312693498</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2644</v>
      </c>
      <c r="C73" s="150" t="n">
        <f aca="false">TblPop[[#This Row],[Military%]]</f>
        <v>0.213053988718775</v>
      </c>
      <c r="D73" s="132"/>
      <c r="E73" s="151" t="n">
        <f aca="false">OFFSET(TblMili[[#This Row],[Unit 1]],-1,0) + OFFSET(TblMili[[#This Row],[Train Unit 1]],-9,0) - TblMili[[#This Row],[Release Unit 1]]</f>
        <v>13</v>
      </c>
      <c r="F73" s="151" t="n">
        <f aca="false">OFFSET(TblMili[[#This Row],[Unit 2]],-1,0) + OFFSET(TblMili[[#This Row],[Train Unit 2]],-9,0)-TblMili[[#This Row],[Release Unit 2]]</f>
        <v>15</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0.0081</v>
      </c>
      <c r="V73" s="274" t="e">
        <f aca="false">TblMili[[#This Row],[Non Draft]] * (1 + TblMili[[#This Row],[Mods_Def]])</f>
        <v>#VALUE!</v>
      </c>
      <c r="W73" s="285" t="e">
        <f aca="false">TblMili[[#This Row],[Draft]] * (1 + TblMili[[#This Row],[Mods_Def]])</f>
        <v>#VALUE!</v>
      </c>
      <c r="X73" s="285" t="n">
        <f aca="false">TblConstr[[#This Row],[Land]]</f>
        <v>646</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-16</v>
      </c>
      <c r="AB73" s="146"/>
      <c r="AC73" s="130" t="n">
        <f aca="false">(TblConstr[[#This Row],[Tot Smi]]+TblConstr[[#This Row],[Dest Smi]])/(TblConstr[[#This Row],[Land]]-TblExplore[[#This Row],[Land Bonus]]*20)</f>
        <v>0.195046439628483</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1219619</v>
      </c>
      <c r="AQ73" s="69" t="n">
        <f aca="false">INDEX(TblProd[[#Headers],[Lumber]]:TblProd[[#This Row],[Ore]],COUNTA(TblProd[[#Headers],[Lumber]]:TblProd[[#This Row],[Lumber]]),MATCH(Military!$AQ$2,TblProd[[#Headers],[Lumber]:[Ore]],0))</f>
        <v>-357</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-16</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-0.0835913312693498</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2742</v>
      </c>
      <c r="C74" s="150" t="n">
        <f aca="false">TblPop[[#This Row],[Military%]]</f>
        <v>0.220950846091861</v>
      </c>
      <c r="D74" s="132"/>
      <c r="E74" s="151" t="n">
        <f aca="false">OFFSET(TblMili[[#This Row],[Unit 1]],-1,0) + OFFSET(TblMili[[#This Row],[Train Unit 1]],-9,0) - TblMili[[#This Row],[Release Unit 1]]</f>
        <v>13</v>
      </c>
      <c r="F74" s="151" t="n">
        <f aca="false">OFFSET(TblMili[[#This Row],[Unit 2]],-1,0) + OFFSET(TblMili[[#This Row],[Train Unit 2]],-9,0)-TblMili[[#This Row],[Release Unit 2]]</f>
        <v>15</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0.0108</v>
      </c>
      <c r="V74" s="274" t="e">
        <f aca="false">TblMili[[#This Row],[Non Draft]] * (1 + TblMili[[#This Row],[Mods_Def]])</f>
        <v>#VALUE!</v>
      </c>
      <c r="W74" s="285" t="e">
        <f aca="false">TblMili[[#This Row],[Draft]] * (1 + TblMili[[#This Row],[Mods_Def]])</f>
        <v>#VALUE!</v>
      </c>
      <c r="X74" s="285" t="n">
        <f aca="false">TblConstr[[#This Row],[Land]]</f>
        <v>646</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-19</v>
      </c>
      <c r="AB74" s="146"/>
      <c r="AC74" s="130" t="n">
        <f aca="false">(TblConstr[[#This Row],[Tot Smi]]+TblConstr[[#This Row],[Dest Smi]])/(TblConstr[[#This Row],[Land]]-TblExplore[[#This Row],[Land Bonus]]*20)</f>
        <v>0.195046439628483</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1270101</v>
      </c>
      <c r="AQ74" s="69" t="n">
        <f aca="false">INDEX(TblProd[[#Headers],[Lumber]]:TblProd[[#This Row],[Ore]],COUNTA(TblProd[[#Headers],[Lumber]]:TblProd[[#This Row],[Lumber]]),MATCH(Military!$AQ$2,TblProd[[#Headers],[Lumber]:[Ore]],0))</f>
        <v>-357</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-19</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-0.0835913312693498</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2839</v>
      </c>
      <c r="C75" s="150" t="n">
        <f aca="false">TblPop[[#This Row],[Military%]]</f>
        <v>0.228767123287671</v>
      </c>
      <c r="D75" s="132"/>
      <c r="E75" s="151" t="n">
        <f aca="false">OFFSET(TblMili[[#This Row],[Unit 1]],-1,0) + OFFSET(TblMili[[#This Row],[Train Unit 1]],-9,0) - TblMili[[#This Row],[Release Unit 1]]</f>
        <v>13</v>
      </c>
      <c r="F75" s="151" t="n">
        <f aca="false">OFFSET(TblMili[[#This Row],[Unit 2]],-1,0) + OFFSET(TblMili[[#This Row],[Train Unit 2]],-9,0)-TblMili[[#This Row],[Release Unit 2]]</f>
        <v>15</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0.0135</v>
      </c>
      <c r="V75" s="274" t="e">
        <f aca="false">TblMili[[#This Row],[Non Draft]] * (1 + TblMili[[#This Row],[Mods_Def]])</f>
        <v>#VALUE!</v>
      </c>
      <c r="W75" s="285" t="e">
        <f aca="false">TblMili[[#This Row],[Draft]] * (1 + TblMili[[#This Row],[Mods_Def]])</f>
        <v>#VALUE!</v>
      </c>
      <c r="X75" s="285" t="n">
        <f aca="false">TblConstr[[#This Row],[Land]]</f>
        <v>646</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-22</v>
      </c>
      <c r="AB75" s="146"/>
      <c r="AC75" s="130" t="n">
        <f aca="false">(TblConstr[[#This Row],[Tot Smi]]+TblConstr[[#This Row],[Dest Smi]])/(TblConstr[[#This Row],[Land]]-TblExplore[[#This Row],[Land Bonus]]*20)</f>
        <v>0.195046439628483</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1320899</v>
      </c>
      <c r="AQ75" s="69" t="n">
        <f aca="false">INDEX(TblProd[[#Headers],[Lumber]]:TblProd[[#This Row],[Ore]],COUNTA(TblProd[[#Headers],[Lumber]]:TblProd[[#This Row],[Lumber]]),MATCH(Military!$AQ$2,TblProd[[#Headers],[Lumber]:[Ore]],0))</f>
        <v>-357</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-22</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-0.0835913312693498</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2935</v>
      </c>
      <c r="C76" s="272" t="n">
        <f aca="false">TblPop[[#This Row],[Military%]]</f>
        <v>0.236502820306205</v>
      </c>
      <c r="D76" s="138"/>
      <c r="E76" s="239" t="n">
        <f aca="false">OFFSET(TblMili[[#This Row],[Unit 1]],-1,0) + OFFSET(TblMili[[#This Row],[Train Unit 1]],-9,0) - TblMili[[#This Row],[Release Unit 1]]</f>
        <v>13</v>
      </c>
      <c r="F76" s="239" t="n">
        <f aca="false">OFFSET(TblMili[[#This Row],[Unit 2]],-1,0) + OFFSET(TblMili[[#This Row],[Train Unit 2]],-9,0)-TblMili[[#This Row],[Release Unit 2]]</f>
        <v>714</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27</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0.249</v>
      </c>
      <c r="V76" s="296" t="e">
        <f aca="false">TblMili[[#This Row],[Non Draft]] * (1 + TblMili[[#This Row],[Mods_Def]])</f>
        <v>#VALUE!</v>
      </c>
      <c r="W76" s="294" t="e">
        <f aca="false">TblMili[[#This Row],[Draft]] * (1 + TblMili[[#This Row],[Mods_Def]])</f>
        <v>#VALUE!</v>
      </c>
      <c r="X76" s="294" t="n">
        <f aca="false">TblConstr[[#This Row],[Land]]</f>
        <v>646</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-25</v>
      </c>
      <c r="AB76" s="157"/>
      <c r="AC76" s="225" t="n">
        <f aca="false">(TblConstr[[#This Row],[Tot Smi]]+TblConstr[[#This Row],[Dest Smi]])/(TblConstr[[#This Row],[Land]]-TblExplore[[#This Row],[Land Bonus]]*20)</f>
        <v>0.195046439628483</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1372417</v>
      </c>
      <c r="AQ76" s="226" t="n">
        <f aca="false">INDEX(TblProd[[#Headers],[Lumber]]:TblProd[[#This Row],[Ore]],COUNTA(TblProd[[#Headers],[Lumber]]:TblProd[[#This Row],[Lumber]]),MATCH(Military!$AQ$2,TblProd[[#Headers],[Lumber]:[Ore]],0))</f>
        <v>-357</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-25</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26</v>
      </c>
      <c r="CG76" s="299" t="e">
        <f aca="false">MIN(frost_mage_cap,TblMili[[#This Row],[Hill]]/frost_mage_bonus)</f>
        <v>#VALUE!</v>
      </c>
      <c r="CH76" s="239" t="n">
        <f aca="false">MIN(ice_elem_cap,TblMili[[#This Row],[Raw (2)]]*ice_elem_bonus)</f>
        <v>0.0417956656346749</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0.075232198142416</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-0.0835913312693498</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0.0417956656346749</v>
      </c>
      <c r="DF76" s="303" t="n">
        <f aca="false">TblMili[[#This Row],[Raw (2)]]*(1+race_wizard_strength+IF(TblMili[[#This Row],[Hour]]&gt;72,tech_magical_weaponry_wiz*TblTech[[#This Row],[3-5]],0))</f>
        <v>0.0417956656346749</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3030</v>
      </c>
      <c r="C77" s="150" t="n">
        <f aca="false">TblPop[[#This Row],[Military%]]</f>
        <v>0.24220623501199</v>
      </c>
      <c r="D77" s="132"/>
      <c r="E77" s="151" t="n">
        <f aca="false">OFFSET(TblMili[[#This Row],[Unit 1]],-1,0) + OFFSET(TblMili[[#This Row],[Train Unit 1]],-9,0) - TblMili[[#This Row],[Release Unit 1]]</f>
        <v>13</v>
      </c>
      <c r="F77" s="151" t="n">
        <f aca="false">OFFSET(TblMili[[#This Row],[Unit 2]],-1,0) + OFFSET(TblMili[[#This Row],[Train Unit 2]],-9,0)-TblMili[[#This Row],[Release Unit 2]]</f>
        <v>813</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27</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0.249</v>
      </c>
      <c r="V77" s="274" t="e">
        <f aca="false">TblMili[[#This Row],[Non Draft]] * (1 + TblMili[[#This Row],[Mods_Def]])</f>
        <v>#VALUE!</v>
      </c>
      <c r="W77" s="285" t="e">
        <f aca="false">TblMili[[#This Row],[Draft]] * (1 + TblMili[[#This Row],[Mods_Def]])</f>
        <v>#VALUE!</v>
      </c>
      <c r="X77" s="285" t="n">
        <f aca="false">TblConstr[[#This Row],[Land]]</f>
        <v>646</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-28</v>
      </c>
      <c r="AB77" s="146"/>
      <c r="AC77" s="130" t="n">
        <f aca="false">(TblConstr[[#This Row],[Tot Smi]]+TblConstr[[#This Row],[Dest Smi]])/(TblConstr[[#This Row],[Land]]-TblExplore[[#This Row],[Land Bonus]]*20)</f>
        <v>0.195046439628483</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1444626</v>
      </c>
      <c r="AQ77" s="69" t="n">
        <f aca="false">INDEX(TblProd[[#Headers],[Lumber]]:TblProd[[#This Row],[Ore]],COUNTA(TblProd[[#Headers],[Lumber]]:TblProd[[#This Row],[Lumber]]),MATCH(Military!$AQ$2,TblProd[[#Headers],[Lumber]:[Ore]],0))</f>
        <v>-357</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-28</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26</v>
      </c>
      <c r="CG77" s="288" t="e">
        <f aca="false">MIN(frost_mage_cap,TblMili[[#This Row],[Hill]]/frost_mage_bonus)</f>
        <v>#VALUE!</v>
      </c>
      <c r="CH77" s="151" t="n">
        <f aca="false">MIN(ice_elem_cap,TblMili[[#This Row],[Raw (2)]]*ice_elem_bonus)</f>
        <v>0.0417956656346749</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0.075232198142416</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-0.0835913312693498</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0.0417956656346749</v>
      </c>
      <c r="DF77" s="291" t="n">
        <f aca="false">TblMili[[#This Row],[Raw (2)]]*(1+race_wizard_strength+IF(TblMili[[#This Row],[Hour]]&gt;72,tech_magical_weaponry_wiz*TblTech[[#This Row],[3-5]],0))</f>
        <v>0.0417956656346749</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3125</v>
      </c>
      <c r="C78" s="150" t="n">
        <f aca="false">TblPop[[#This Row],[Military%]]</f>
        <v>0.247838845269252</v>
      </c>
      <c r="D78" s="132"/>
      <c r="E78" s="151" t="n">
        <f aca="false">OFFSET(TblMili[[#This Row],[Unit 1]],-1,0) + OFFSET(TblMili[[#This Row],[Train Unit 1]],-9,0) - TblMili[[#This Row],[Release Unit 1]]</f>
        <v>13</v>
      </c>
      <c r="F78" s="151" t="n">
        <f aca="false">OFFSET(TblMili[[#This Row],[Unit 2]],-1,0) + OFFSET(TblMili[[#This Row],[Train Unit 2]],-9,0)-TblMili[[#This Row],[Release Unit 2]]</f>
        <v>913</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27</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0.249</v>
      </c>
      <c r="V78" s="274" t="e">
        <f aca="false">TblMili[[#This Row],[Non Draft]] * (1 + TblMili[[#This Row],[Mods_Def]])</f>
        <v>#VALUE!</v>
      </c>
      <c r="W78" s="285" t="e">
        <f aca="false">TblMili[[#This Row],[Draft]] * (1 + TblMili[[#This Row],[Mods_Def]])</f>
        <v>#VALUE!</v>
      </c>
      <c r="X78" s="285" t="n">
        <f aca="false">TblConstr[[#This Row],[Land]]</f>
        <v>646</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-31</v>
      </c>
      <c r="AB78" s="146"/>
      <c r="AC78" s="130" t="n">
        <f aca="false">(TblConstr[[#This Row],[Tot Smi]]+TblConstr[[#This Row],[Dest Smi]])/(TblConstr[[#This Row],[Land]]-TblExplore[[#This Row],[Land Bonus]]*20)</f>
        <v>0.195046439628483</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1536850</v>
      </c>
      <c r="AQ78" s="69" t="n">
        <f aca="false">INDEX(TblProd[[#Headers],[Lumber]]:TblProd[[#This Row],[Ore]],COUNTA(TblProd[[#Headers],[Lumber]]:TblProd[[#This Row],[Lumber]]),MATCH(Military!$AQ$2,TblProd[[#Headers],[Lumber]:[Ore]],0))</f>
        <v>-357</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-31</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26</v>
      </c>
      <c r="CG78" s="288" t="e">
        <f aca="false">MIN(frost_mage_cap,TblMili[[#This Row],[Hill]]/frost_mage_bonus)</f>
        <v>#VALUE!</v>
      </c>
      <c r="CH78" s="151" t="n">
        <f aca="false">MIN(ice_elem_cap,TblMili[[#This Row],[Raw (2)]]*ice_elem_bonus)</f>
        <v>0.0417956656346749</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0.075232198142416</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-0.0835913312693498</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0.0417956656346749</v>
      </c>
      <c r="DF78" s="291" t="n">
        <f aca="false">TblMili[[#This Row],[Raw (2)]]*(1+race_wizard_strength+IF(TblMili[[#This Row],[Hour]]&gt;72,tech_magical_weaponry_wiz*TblTech[[#This Row],[3-5]],0))</f>
        <v>0.0417956656346749</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3220</v>
      </c>
      <c r="C79" s="150" t="n">
        <f aca="false">TblPop[[#This Row],[Military%]]</f>
        <v>0.254565578306586</v>
      </c>
      <c r="D79" s="132"/>
      <c r="E79" s="151" t="n">
        <f aca="false">OFFSET(TblMili[[#This Row],[Unit 1]],-1,0) + OFFSET(TblMili[[#This Row],[Train Unit 1]],-9,0) - TblMili[[#This Row],[Release Unit 1]]</f>
        <v>13</v>
      </c>
      <c r="F79" s="151" t="n">
        <f aca="false">OFFSET(TblMili[[#This Row],[Unit 2]],-1,0) + OFFSET(TblMili[[#This Row],[Train Unit 2]],-9,0)-TblMili[[#This Row],[Release Unit 2]]</f>
        <v>965</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27</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0.249</v>
      </c>
      <c r="V79" s="274" t="e">
        <f aca="false">TblMili[[#This Row],[Non Draft]] * (1 + TblMili[[#This Row],[Mods_Def]])</f>
        <v>#VALUE!</v>
      </c>
      <c r="W79" s="285" t="e">
        <f aca="false">TblMili[[#This Row],[Draft]] * (1 + TblMili[[#This Row],[Mods_Def]])</f>
        <v>#VALUE!</v>
      </c>
      <c r="X79" s="285" t="n">
        <f aca="false">TblConstr[[#This Row],[Land]]</f>
        <v>646</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-34</v>
      </c>
      <c r="AB79" s="146"/>
      <c r="AC79" s="130" t="n">
        <f aca="false">(TblConstr[[#This Row],[Tot Smi]]+TblConstr[[#This Row],[Dest Smi]])/(TblConstr[[#This Row],[Land]]-TblExplore[[#This Row],[Land Bonus]]*20)</f>
        <v>0.195046439628483</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1629086</v>
      </c>
      <c r="AQ79" s="69" t="n">
        <f aca="false">INDEX(TblProd[[#Headers],[Lumber]]:TblProd[[#This Row],[Ore]],COUNTA(TblProd[[#Headers],[Lumber]]:TblProd[[#This Row],[Lumber]]),MATCH(Military!$AQ$2,TblProd[[#Headers],[Lumber]:[Ore]],0))</f>
        <v>-357</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-34</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26</v>
      </c>
      <c r="CG79" s="288" t="e">
        <f aca="false">MIN(frost_mage_cap,TblMili[[#This Row],[Hill]]/frost_mage_bonus)</f>
        <v>#VALUE!</v>
      </c>
      <c r="CH79" s="151" t="n">
        <f aca="false">MIN(ice_elem_cap,TblMili[[#This Row],[Raw (2)]]*ice_elem_bonus)</f>
        <v>0.0417956656346749</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0.075232198142416</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-0.0835913312693498</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0.0417956656346749</v>
      </c>
      <c r="DF79" s="291" t="n">
        <f aca="false">TblMili[[#This Row],[Raw (2)]]*(1+race_wizard_strength+IF(TblMili[[#This Row],[Hour]]&gt;72,tech_magical_weaponry_wiz*TblTech[[#This Row],[3-5]],0))</f>
        <v>0.0417956656346749</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3314</v>
      </c>
      <c r="C80" s="150" t="n">
        <f aca="false">TblPop[[#This Row],[Military%]]</f>
        <v>0.261996995809945</v>
      </c>
      <c r="D80" s="132"/>
      <c r="E80" s="151" t="n">
        <f aca="false">OFFSET(TblMili[[#This Row],[Unit 1]],-1,0) + OFFSET(TblMili[[#This Row],[Train Unit 1]],-9,0) - TblMili[[#This Row],[Release Unit 1]]</f>
        <v>13</v>
      </c>
      <c r="F80" s="151" t="n">
        <f aca="false">OFFSET(TblMili[[#This Row],[Unit 2]],-1,0) + OFFSET(TblMili[[#This Row],[Train Unit 2]],-9,0)-TblMili[[#This Row],[Release Unit 2]]</f>
        <v>1017</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27</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0.249</v>
      </c>
      <c r="V80" s="274" t="e">
        <f aca="false">TblMili[[#This Row],[Non Draft]] * (1 + TblMili[[#This Row],[Mods_Def]])</f>
        <v>#VALUE!</v>
      </c>
      <c r="W80" s="285" t="e">
        <f aca="false">TblMili[[#This Row],[Draft]] * (1 + TblMili[[#This Row],[Mods_Def]])</f>
        <v>#VALUE!</v>
      </c>
      <c r="X80" s="285" t="n">
        <f aca="false">TblConstr[[#This Row],[Land]]</f>
        <v>646</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60</v>
      </c>
      <c r="AB80" s="146"/>
      <c r="AC80" s="130" t="n">
        <f aca="false">(TblConstr[[#This Row],[Tot Smi]]+TblConstr[[#This Row],[Dest Smi]])/(TblConstr[[#This Row],[Land]]-TblExplore[[#This Row],[Land Bonus]]*20)</f>
        <v>0.195046439628483</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1777315</v>
      </c>
      <c r="AQ80" s="69" t="n">
        <f aca="false">INDEX(TblProd[[#Headers],[Lumber]]:TblProd[[#This Row],[Ore]],COUNTA(TblProd[[#Headers],[Lumber]]:TblProd[[#This Row],[Lumber]]),MATCH(Military!$AQ$2,TblProd[[#Headers],[Lumber]:[Ore]],0))</f>
        <v>-357</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60</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26</v>
      </c>
      <c r="CG80" s="288" t="e">
        <f aca="false">MIN(frost_mage_cap,TblMili[[#This Row],[Hill]]/frost_mage_bonus)</f>
        <v>#VALUE!</v>
      </c>
      <c r="CH80" s="151" t="n">
        <f aca="false">MIN(ice_elem_cap,TblMili[[#This Row],[Raw (2)]]*ice_elem_bonus)</f>
        <v>0.0417956656346749</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0.075232198142416</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-0.0835913312693498</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0.0417956656346749</v>
      </c>
      <c r="DF80" s="291" t="n">
        <f aca="false">TblMili[[#This Row],[Raw (2)]]*(1+race_wizard_strength+IF(TblMili[[#This Row],[Hour]]&gt;72,tech_magical_weaponry_wiz*TblTech[[#This Row],[3-5]],0))</f>
        <v>0.0417956656346749</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3407</v>
      </c>
      <c r="C81" s="150" t="n">
        <f aca="false">TblPop[[#This Row],[Military%]]</f>
        <v>0.269349355680291</v>
      </c>
      <c r="D81" s="132"/>
      <c r="E81" s="151" t="n">
        <f aca="false">OFFSET(TblMili[[#This Row],[Unit 1]],-1,0) + OFFSET(TblMili[[#This Row],[Train Unit 1]],-9,0) - TblMili[[#This Row],[Release Unit 1]]</f>
        <v>13</v>
      </c>
      <c r="F81" s="151" t="n">
        <f aca="false">OFFSET(TblMili[[#This Row],[Unit 2]],-1,0) + OFFSET(TblMili[[#This Row],[Train Unit 2]],-9,0)-TblMili[[#This Row],[Release Unit 2]]</f>
        <v>1017</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27</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0.249</v>
      </c>
      <c r="V81" s="274" t="e">
        <f aca="false">TblMili[[#This Row],[Non Draft]] * (1 + TblMili[[#This Row],[Mods_Def]])</f>
        <v>#VALUE!</v>
      </c>
      <c r="W81" s="285" t="e">
        <f aca="false">TblMili[[#This Row],[Draft]] * (1 + TblMili[[#This Row],[Mods_Def]])</f>
        <v>#VALUE!</v>
      </c>
      <c r="X81" s="285" t="n">
        <f aca="false">TblConstr[[#This Row],[Land]]</f>
        <v>646</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153</v>
      </c>
      <c r="AB81" s="146"/>
      <c r="AC81" s="130" t="n">
        <f aca="false">(TblConstr[[#This Row],[Tot Smi]]+TblConstr[[#This Row],[Dest Smi]])/(TblConstr[[#This Row],[Land]]-TblExplore[[#This Row],[Land Bonus]]*20)</f>
        <v>0.195046439628483</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1887924</v>
      </c>
      <c r="AQ81" s="69" t="n">
        <f aca="false">INDEX(TblProd[[#Headers],[Lumber]]:TblProd[[#This Row],[Ore]],COUNTA(TblProd[[#Headers],[Lumber]]:TblProd[[#This Row],[Lumber]]),MATCH(Military!$AQ$2,TblProd[[#Headers],[Lumber]:[Ore]],0))</f>
        <v>-357</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153</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26</v>
      </c>
      <c r="CG81" s="288" t="e">
        <f aca="false">MIN(frost_mage_cap,TblMili[[#This Row],[Hill]]/frost_mage_bonus)</f>
        <v>#VALUE!</v>
      </c>
      <c r="CH81" s="151" t="n">
        <f aca="false">MIN(ice_elem_cap,TblMili[[#This Row],[Raw (2)]]*ice_elem_bonus)</f>
        <v>0.0417956656346749</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0.075232198142416</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-0.0835913312693498</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0.0417956656346749</v>
      </c>
      <c r="DF81" s="291" t="n">
        <f aca="false">TblMili[[#This Row],[Raw (2)]]*(1+race_wizard_strength+IF(TblMili[[#This Row],[Hour]]&gt;72,tech_magical_weaponry_wiz*TblTech[[#This Row],[3-5]],0))</f>
        <v>0.0417956656346749</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3499</v>
      </c>
      <c r="C82" s="150" t="n">
        <f aca="false">TblPop[[#This Row],[Military%]]</f>
        <v>0.276622657917622</v>
      </c>
      <c r="D82" s="132"/>
      <c r="E82" s="151" t="n">
        <f aca="false">OFFSET(TblMili[[#This Row],[Unit 1]],-1,0) + OFFSET(TblMili[[#This Row],[Train Unit 1]],-9,0) - TblMili[[#This Row],[Release Unit 1]]</f>
        <v>13</v>
      </c>
      <c r="F82" s="151" t="n">
        <f aca="false">OFFSET(TblMili[[#This Row],[Unit 2]],-1,0) + OFFSET(TblMili[[#This Row],[Train Unit 2]],-9,0)-TblMili[[#This Row],[Release Unit 2]]</f>
        <v>1017</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27</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0.249</v>
      </c>
      <c r="V82" s="274" t="e">
        <f aca="false">TblMili[[#This Row],[Non Draft]] * (1 + TblMili[[#This Row],[Mods_Def]])</f>
        <v>#VALUE!</v>
      </c>
      <c r="W82" s="285" t="e">
        <f aca="false">TblMili[[#This Row],[Draft]] * (1 + TblMili[[#This Row],[Mods_Def]])</f>
        <v>#VALUE!</v>
      </c>
      <c r="X82" s="285" t="n">
        <f aca="false">TblConstr[[#This Row],[Land]]</f>
        <v>646</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245</v>
      </c>
      <c r="AB82" s="146"/>
      <c r="AC82" s="130" t="n">
        <f aca="false">(TblConstr[[#This Row],[Tot Smi]]+TblConstr[[#This Row],[Dest Smi]])/(TblConstr[[#This Row],[Land]]-TblExplore[[#This Row],[Land Bonus]]*20)</f>
        <v>0.195046439628483</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1998257</v>
      </c>
      <c r="AQ82" s="69" t="n">
        <f aca="false">INDEX(TblProd[[#Headers],[Lumber]]:TblProd[[#This Row],[Ore]],COUNTA(TblProd[[#Headers],[Lumber]]:TblProd[[#This Row],[Lumber]]),MATCH(Military!$AQ$2,TblProd[[#Headers],[Lumber]:[Ore]],0))</f>
        <v>-357</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245</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26</v>
      </c>
      <c r="CG82" s="288" t="e">
        <f aca="false">MIN(frost_mage_cap,TblMili[[#This Row],[Hill]]/frost_mage_bonus)</f>
        <v>#VALUE!</v>
      </c>
      <c r="CH82" s="151" t="n">
        <f aca="false">MIN(ice_elem_cap,TblMili[[#This Row],[Raw (2)]]*ice_elem_bonus)</f>
        <v>0.0417956656346749</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0.075232198142416</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-0.0835913312693498</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0.0417956656346749</v>
      </c>
      <c r="DF82" s="291" t="n">
        <f aca="false">TblMili[[#This Row],[Raw (2)]]*(1+race_wizard_strength+IF(TblMili[[#This Row],[Hour]]&gt;72,tech_magical_weaponry_wiz*TblTech[[#This Row],[3-5]],0))</f>
        <v>0.0417956656346749</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3591</v>
      </c>
      <c r="C83" s="150" t="n">
        <f aca="false">TblPop[[#This Row],[Military%]]</f>
        <v>0.283895960154953</v>
      </c>
      <c r="D83" s="132"/>
      <c r="E83" s="151" t="n">
        <f aca="false">OFFSET(TblMili[[#This Row],[Unit 1]],-1,0) + OFFSET(TblMili[[#This Row],[Train Unit 1]],-9,0) - TblMili[[#This Row],[Release Unit 1]]</f>
        <v>13</v>
      </c>
      <c r="F83" s="151" t="n">
        <f aca="false">OFFSET(TblMili[[#This Row],[Unit 2]],-1,0) + OFFSET(TblMili[[#This Row],[Train Unit 2]],-9,0)-TblMili[[#This Row],[Release Unit 2]]</f>
        <v>1017</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27</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0.249</v>
      </c>
      <c r="V83" s="274" t="e">
        <f aca="false">TblMili[[#This Row],[Non Draft]] * (1 + TblMili[[#This Row],[Mods_Def]])</f>
        <v>#VALUE!</v>
      </c>
      <c r="W83" s="285" t="e">
        <f aca="false">TblMili[[#This Row],[Draft]] * (1 + TblMili[[#This Row],[Mods_Def]])</f>
        <v>#VALUE!</v>
      </c>
      <c r="X83" s="285" t="n">
        <f aca="false">TblConstr[[#This Row],[Land]]</f>
        <v>646</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337</v>
      </c>
      <c r="AB83" s="146"/>
      <c r="AC83" s="130" t="n">
        <f aca="false">(TblConstr[[#This Row],[Tot Smi]]+TblConstr[[#This Row],[Dest Smi]])/(TblConstr[[#This Row],[Land]]-TblExplore[[#This Row],[Land Bonus]]*20)</f>
        <v>0.195046439628483</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2108317</v>
      </c>
      <c r="AQ83" s="69" t="n">
        <f aca="false">INDEX(TblProd[[#Headers],[Lumber]]:TblProd[[#This Row],[Ore]],COUNTA(TblProd[[#Headers],[Lumber]]:TblProd[[#This Row],[Lumber]]),MATCH(Military!$AQ$2,TblProd[[#Headers],[Lumber]:[Ore]],0))</f>
        <v>-357</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337</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26</v>
      </c>
      <c r="CG83" s="288" t="e">
        <f aca="false">MIN(frost_mage_cap,TblMili[[#This Row],[Hill]]/frost_mage_bonus)</f>
        <v>#VALUE!</v>
      </c>
      <c r="CH83" s="151" t="n">
        <f aca="false">MIN(ice_elem_cap,TblMili[[#This Row],[Raw (2)]]*ice_elem_bonus)</f>
        <v>0.0417956656346749</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0.075232198142416</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-0.0835913312693498</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0.0417956656346749</v>
      </c>
      <c r="DF83" s="291" t="n">
        <f aca="false">TblMili[[#This Row],[Raw (2)]]*(1+race_wizard_strength+IF(TblMili[[#This Row],[Hour]]&gt;72,tech_magical_weaponry_wiz*TblTech[[#This Row],[3-5]],0))</f>
        <v>0.0417956656346749</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3682</v>
      </c>
      <c r="C84" s="150" t="n">
        <f aca="false">TblPop[[#This Row],[Military%]]</f>
        <v>0.29109020475927</v>
      </c>
      <c r="D84" s="132"/>
      <c r="E84" s="151" t="n">
        <f aca="false">OFFSET(TblMili[[#This Row],[Unit 1]],-1,0) + OFFSET(TblMili[[#This Row],[Train Unit 1]],-9,0) - TblMili[[#This Row],[Release Unit 1]]</f>
        <v>13</v>
      </c>
      <c r="F84" s="151" t="n">
        <f aca="false">OFFSET(TblMili[[#This Row],[Unit 2]],-1,0) + OFFSET(TblMili[[#This Row],[Train Unit 2]],-9,0)-TblMili[[#This Row],[Release Unit 2]]</f>
        <v>1017</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27</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0.249</v>
      </c>
      <c r="V84" s="274" t="e">
        <f aca="false">TblMili[[#This Row],[Non Draft]] * (1 + TblMili[[#This Row],[Mods_Def]])</f>
        <v>#VALUE!</v>
      </c>
      <c r="W84" s="285" t="e">
        <f aca="false">TblMili[[#This Row],[Draft]] * (1 + TblMili[[#This Row],[Mods_Def]])</f>
        <v>#VALUE!</v>
      </c>
      <c r="X84" s="285" t="n">
        <f aca="false">TblConstr[[#This Row],[Land]]</f>
        <v>646</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428</v>
      </c>
      <c r="AB84" s="146"/>
      <c r="AC84" s="130" t="n">
        <f aca="false">(TblConstr[[#This Row],[Tot Smi]]+TblConstr[[#This Row],[Dest Smi]])/(TblConstr[[#This Row],[Land]]-TblExplore[[#This Row],[Land Bonus]]*20)</f>
        <v>0.195046439628483</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2218104</v>
      </c>
      <c r="AQ84" s="69" t="n">
        <f aca="false">INDEX(TblProd[[#Headers],[Lumber]]:TblProd[[#This Row],[Ore]],COUNTA(TblProd[[#Headers],[Lumber]]:TblProd[[#This Row],[Lumber]]),MATCH(Military!$AQ$2,TblProd[[#Headers],[Lumber]:[Ore]],0))</f>
        <v>-357</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428</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26</v>
      </c>
      <c r="CG84" s="288" t="e">
        <f aca="false">MIN(frost_mage_cap,TblMili[[#This Row],[Hill]]/frost_mage_bonus)</f>
        <v>#VALUE!</v>
      </c>
      <c r="CH84" s="151" t="n">
        <f aca="false">MIN(ice_elem_cap,TblMili[[#This Row],[Raw (2)]]*ice_elem_bonus)</f>
        <v>0.0417956656346749</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0.075232198142416</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-0.0835913312693498</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0.0417956656346749</v>
      </c>
      <c r="DF84" s="291" t="n">
        <f aca="false">TblMili[[#This Row],[Raw (2)]]*(1+race_wizard_strength+IF(TblMili[[#This Row],[Hour]]&gt;72,tech_magical_weaponry_wiz*TblTech[[#This Row],[3-5]],0))</f>
        <v>0.0417956656346749</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3772</v>
      </c>
      <c r="C85" s="150" t="n">
        <f aca="false">TblPop[[#This Row],[Military%]]</f>
        <v>0.298205391730572</v>
      </c>
      <c r="D85" s="132"/>
      <c r="E85" s="151" t="n">
        <f aca="false">OFFSET(TblMili[[#This Row],[Unit 1]],-1,0) + OFFSET(TblMili[[#This Row],[Train Unit 1]],-9,0) - TblMili[[#This Row],[Release Unit 1]]</f>
        <v>13</v>
      </c>
      <c r="F85" s="151" t="n">
        <f aca="false">OFFSET(TblMili[[#This Row],[Unit 2]],-1,0) + OFFSET(TblMili[[#This Row],[Train Unit 2]],-9,0)-TblMili[[#This Row],[Release Unit 2]]</f>
        <v>1017</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27</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0.249</v>
      </c>
      <c r="V85" s="274" t="e">
        <f aca="false">TblMili[[#This Row],[Non Draft]] * (1 + TblMili[[#This Row],[Mods_Def]])</f>
        <v>#VALUE!</v>
      </c>
      <c r="W85" s="285" t="e">
        <f aca="false">TblMili[[#This Row],[Draft]] * (1 + TblMili[[#This Row],[Mods_Def]])</f>
        <v>#VALUE!</v>
      </c>
      <c r="X85" s="285" t="n">
        <f aca="false">TblConstr[[#This Row],[Land]]</f>
        <v>646</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518</v>
      </c>
      <c r="AB85" s="146"/>
      <c r="AC85" s="130" t="n">
        <f aca="false">(TblConstr[[#This Row],[Tot Smi]]+TblConstr[[#This Row],[Dest Smi]])/(TblConstr[[#This Row],[Land]]-TblExplore[[#This Row],[Land Bonus]]*20)</f>
        <v>0.195046439628483</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2327620</v>
      </c>
      <c r="AQ85" s="69" t="n">
        <f aca="false">INDEX(TblProd[[#Headers],[Lumber]]:TblProd[[#This Row],[Ore]],COUNTA(TblProd[[#Headers],[Lumber]]:TblProd[[#This Row],[Lumber]]),MATCH(Military!$AQ$2,TblProd[[#Headers],[Lumber]:[Ore]],0))</f>
        <v>-357</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518</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26</v>
      </c>
      <c r="CG85" s="288" t="e">
        <f aca="false">MIN(frost_mage_cap,TblMili[[#This Row],[Hill]]/frost_mage_bonus)</f>
        <v>#VALUE!</v>
      </c>
      <c r="CH85" s="151" t="n">
        <f aca="false">MIN(ice_elem_cap,TblMili[[#This Row],[Raw (2)]]*ice_elem_bonus)</f>
        <v>0.0417956656346749</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0.075232198142416</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-0.0835913312693498</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0.0417956656346749</v>
      </c>
      <c r="DF85" s="291" t="n">
        <f aca="false">TblMili[[#This Row],[Raw (2)]]*(1+race_wizard_strength+IF(TblMili[[#This Row],[Hour]]&gt;72,tech_magical_weaponry_wiz*TblTech[[#This Row],[3-5]],0))</f>
        <v>0.0417956656346749</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3861</v>
      </c>
      <c r="C86" s="150" t="n">
        <f aca="false">TblPop[[#This Row],[Military%]]</f>
        <v>0.305241521068859</v>
      </c>
      <c r="D86" s="132"/>
      <c r="E86" s="151" t="n">
        <f aca="false">OFFSET(TblMili[[#This Row],[Unit 1]],-1,0) + OFFSET(TblMili[[#This Row],[Train Unit 1]],-9,0) - TblMili[[#This Row],[Release Unit 1]]</f>
        <v>13</v>
      </c>
      <c r="F86" s="151" t="n">
        <f aca="false">OFFSET(TblMili[[#This Row],[Unit 2]],-1,0) + OFFSET(TblMili[[#This Row],[Train Unit 2]],-9,0)-TblMili[[#This Row],[Release Unit 2]]</f>
        <v>1065</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27</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0.249</v>
      </c>
      <c r="V86" s="274" t="e">
        <f aca="false">TblMili[[#This Row],[Non Draft]] * (1 + TblMili[[#This Row],[Mods_Def]])</f>
        <v>#VALUE!</v>
      </c>
      <c r="W86" s="285" t="e">
        <f aca="false">TblMili[[#This Row],[Draft]] * (1 + TblMili[[#This Row],[Mods_Def]])</f>
        <v>#VALUE!</v>
      </c>
      <c r="X86" s="285" t="n">
        <f aca="false">TblConstr[[#This Row],[Land]]</f>
        <v>646</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607</v>
      </c>
      <c r="AB86" s="146"/>
      <c r="AC86" s="130" t="n">
        <f aca="false">(TblConstr[[#This Row],[Tot Smi]]+TblConstr[[#This Row],[Dest Smi]])/(TblConstr[[#This Row],[Land]]-TblExplore[[#This Row],[Land Bonus]]*20)</f>
        <v>0.195046439628483</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2436869</v>
      </c>
      <c r="AQ86" s="69" t="n">
        <f aca="false">INDEX(TblProd[[#Headers],[Lumber]]:TblProd[[#This Row],[Ore]],COUNTA(TblProd[[#Headers],[Lumber]]:TblProd[[#This Row],[Lumber]]),MATCH(Military!$AQ$2,TblProd[[#Headers],[Lumber]:[Ore]],0))</f>
        <v>-357</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607</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26</v>
      </c>
      <c r="CG86" s="288" t="e">
        <f aca="false">MIN(frost_mage_cap,TblMili[[#This Row],[Hill]]/frost_mage_bonus)</f>
        <v>#VALUE!</v>
      </c>
      <c r="CH86" s="151" t="n">
        <f aca="false">MIN(ice_elem_cap,TblMili[[#This Row],[Raw (2)]]*ice_elem_bonus)</f>
        <v>0.0417956656346749</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0.075232198142416</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-0.0835913312693498</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0.0417956656346749</v>
      </c>
      <c r="DF86" s="291" t="n">
        <f aca="false">TblMili[[#This Row],[Raw (2)]]*(1+race_wizard_strength+IF(TblMili[[#This Row],[Hour]]&gt;72,tech_magical_weaponry_wiz*TblTech[[#This Row],[3-5]],0))</f>
        <v>0.0417956656346749</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3949</v>
      </c>
      <c r="C87" s="150" t="n">
        <f aca="false">TblPop[[#This Row],[Military%]]</f>
        <v>0.312198592774132</v>
      </c>
      <c r="D87" s="132"/>
      <c r="E87" s="151" t="n">
        <f aca="false">OFFSET(TblMili[[#This Row],[Unit 1]],-1,0) + OFFSET(TblMili[[#This Row],[Train Unit 1]],-9,0) - TblMili[[#This Row],[Release Unit 1]]</f>
        <v>13</v>
      </c>
      <c r="F87" s="151" t="n">
        <f aca="false">OFFSET(TblMili[[#This Row],[Unit 2]],-1,0) + OFFSET(TblMili[[#This Row],[Train Unit 2]],-9,0)-TblMili[[#This Row],[Release Unit 2]]</f>
        <v>1163</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27</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0.249</v>
      </c>
      <c r="V87" s="274" t="e">
        <f aca="false">TblMili[[#This Row],[Non Draft]] * (1 + TblMili[[#This Row],[Mods_Def]])</f>
        <v>#VALUE!</v>
      </c>
      <c r="W87" s="285" t="e">
        <f aca="false">TblMili[[#This Row],[Draft]] * (1 + TblMili[[#This Row],[Mods_Def]])</f>
        <v>#VALUE!</v>
      </c>
      <c r="X87" s="285" t="n">
        <f aca="false">TblConstr[[#This Row],[Land]]</f>
        <v>646</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695</v>
      </c>
      <c r="AB87" s="146"/>
      <c r="AC87" s="130" t="n">
        <f aca="false">(TblConstr[[#This Row],[Tot Smi]]+TblConstr[[#This Row],[Dest Smi]])/(TblConstr[[#This Row],[Land]]-TblExplore[[#This Row],[Land Bonus]]*20)</f>
        <v>0.195046439628483</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2545854</v>
      </c>
      <c r="AQ87" s="69" t="n">
        <f aca="false">INDEX(TblProd[[#Headers],[Lumber]]:TblProd[[#This Row],[Ore]],COUNTA(TblProd[[#Headers],[Lumber]]:TblProd[[#This Row],[Lumber]]),MATCH(Military!$AQ$2,TblProd[[#Headers],[Lumber]:[Ore]],0))</f>
        <v>-357</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695</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26</v>
      </c>
      <c r="CG87" s="288" t="e">
        <f aca="false">MIN(frost_mage_cap,TblMili[[#This Row],[Hill]]/frost_mage_bonus)</f>
        <v>#VALUE!</v>
      </c>
      <c r="CH87" s="151" t="n">
        <f aca="false">MIN(ice_elem_cap,TblMili[[#This Row],[Raw (2)]]*ice_elem_bonus)</f>
        <v>0.0417956656346749</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0.075232198142416</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-0.0835913312693498</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0.0417956656346749</v>
      </c>
      <c r="DF87" s="291" t="n">
        <f aca="false">TblMili[[#This Row],[Raw (2)]]*(1+race_wizard_strength+IF(TblMili[[#This Row],[Hour]]&gt;72,tech_magical_weaponry_wiz*TblTech[[#This Row],[3-5]],0))</f>
        <v>0.0417956656346749</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4036</v>
      </c>
      <c r="C88" s="150" t="n">
        <f aca="false">TblPop[[#This Row],[Military%]]</f>
        <v>0.319076606846391</v>
      </c>
      <c r="D88" s="132"/>
      <c r="E88" s="151" t="n">
        <f aca="false">OFFSET(TblMili[[#This Row],[Unit 1]],-1,0) + OFFSET(TblMili[[#This Row],[Train Unit 1]],-9,0) - TblMili[[#This Row],[Release Unit 1]]</f>
        <v>13</v>
      </c>
      <c r="F88" s="151" t="n">
        <f aca="false">OFFSET(TblMili[[#This Row],[Unit 2]],-1,0) + OFFSET(TblMili[[#This Row],[Train Unit 2]],-9,0)-TblMili[[#This Row],[Release Unit 2]]</f>
        <v>1261</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27</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0.249</v>
      </c>
      <c r="V88" s="274" t="e">
        <f aca="false">TblMili[[#This Row],[Non Draft]] * (1 + TblMili[[#This Row],[Mods_Def]])</f>
        <v>#VALUE!</v>
      </c>
      <c r="W88" s="285" t="e">
        <f aca="false">TblMili[[#This Row],[Draft]] * (1 + TblMili[[#This Row],[Mods_Def]])</f>
        <v>#VALUE!</v>
      </c>
      <c r="X88" s="285" t="n">
        <f aca="false">TblConstr[[#This Row],[Land]]</f>
        <v>646</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782</v>
      </c>
      <c r="AB88" s="146"/>
      <c r="AC88" s="130" t="n">
        <f aca="false">(TblConstr[[#This Row],[Tot Smi]]+TblConstr[[#This Row],[Dest Smi]])/(TblConstr[[#This Row],[Land]]-TblExplore[[#This Row],[Land Bonus]]*20)</f>
        <v>0.195046439628483</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2654578</v>
      </c>
      <c r="AQ88" s="69" t="n">
        <f aca="false">INDEX(TblProd[[#Headers],[Lumber]]:TblProd[[#This Row],[Ore]],COUNTA(TblProd[[#Headers],[Lumber]]:TblProd[[#This Row],[Lumber]]),MATCH(Military!$AQ$2,TblProd[[#Headers],[Lumber]:[Ore]],0))</f>
        <v>-357</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782</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26</v>
      </c>
      <c r="CG88" s="288" t="e">
        <f aca="false">MIN(frost_mage_cap,TblMili[[#This Row],[Hill]]/frost_mage_bonus)</f>
        <v>#VALUE!</v>
      </c>
      <c r="CH88" s="151" t="n">
        <f aca="false">MIN(ice_elem_cap,TblMili[[#This Row],[Raw (2)]]*ice_elem_bonus)</f>
        <v>0.0417956656346749</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0.075232198142416</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-0.0835913312693498</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0.0417956656346749</v>
      </c>
      <c r="DF88" s="291" t="n">
        <f aca="false">TblMili[[#This Row],[Raw (2)]]*(1+race_wizard_strength+IF(TblMili[[#This Row],[Hour]]&gt;72,tech_magical_weaponry_wiz*TblTech[[#This Row],[3-5]],0))</f>
        <v>0.0417956656346749</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4122</v>
      </c>
      <c r="C89" s="150" t="n">
        <f aca="false">TblPop[[#This Row],[Military%]]</f>
        <v>0.325875563285635</v>
      </c>
      <c r="D89" s="132"/>
      <c r="E89" s="151" t="n">
        <f aca="false">OFFSET(TblMili[[#This Row],[Unit 1]],-1,0) + OFFSET(TblMili[[#This Row],[Train Unit 1]],-9,0) - TblMili[[#This Row],[Release Unit 1]]</f>
        <v>13</v>
      </c>
      <c r="F89" s="151" t="n">
        <f aca="false">OFFSET(TblMili[[#This Row],[Unit 2]],-1,0) + OFFSET(TblMili[[#This Row],[Train Unit 2]],-9,0)-TblMili[[#This Row],[Release Unit 2]]</f>
        <v>1261</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27</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0.249</v>
      </c>
      <c r="V89" s="274" t="e">
        <f aca="false">TblMili[[#This Row],[Non Draft]] * (1 + TblMili[[#This Row],[Mods_Def]])</f>
        <v>#VALUE!</v>
      </c>
      <c r="W89" s="285" t="e">
        <f aca="false">TblMili[[#This Row],[Draft]] * (1 + TblMili[[#This Row],[Mods_Def]])</f>
        <v>#VALUE!</v>
      </c>
      <c r="X89" s="285" t="n">
        <f aca="false">TblConstr[[#This Row],[Land]]</f>
        <v>646</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868</v>
      </c>
      <c r="AB89" s="146"/>
      <c r="AC89" s="130" t="n">
        <f aca="false">(TblConstr[[#This Row],[Tot Smi]]+TblConstr[[#This Row],[Dest Smi]])/(TblConstr[[#This Row],[Land]]-TblExplore[[#This Row],[Land Bonus]]*20)</f>
        <v>0.195046439628483</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2763043</v>
      </c>
      <c r="AQ89" s="69" t="n">
        <f aca="false">INDEX(TblProd[[#Headers],[Lumber]]:TblProd[[#This Row],[Ore]],COUNTA(TblProd[[#Headers],[Lumber]]:TblProd[[#This Row],[Lumber]]),MATCH(Military!$AQ$2,TblProd[[#Headers],[Lumber]:[Ore]],0))</f>
        <v>-357</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868</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26</v>
      </c>
      <c r="CG89" s="288" t="e">
        <f aca="false">MIN(frost_mage_cap,TblMili[[#This Row],[Hill]]/frost_mage_bonus)</f>
        <v>#VALUE!</v>
      </c>
      <c r="CH89" s="151" t="n">
        <f aca="false">MIN(ice_elem_cap,TblMili[[#This Row],[Raw (2)]]*ice_elem_bonus)</f>
        <v>0.0417956656346749</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0.075232198142416</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-0.0835913312693498</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0.0417956656346749</v>
      </c>
      <c r="DF89" s="291" t="n">
        <f aca="false">TblMili[[#This Row],[Raw (2)]]*(1+race_wizard_strength+IF(TblMili[[#This Row],[Hour]]&gt;72,tech_magical_weaponry_wiz*TblTech[[#This Row],[3-5]],0))</f>
        <v>0.0417956656346749</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4207</v>
      </c>
      <c r="C90" s="150" t="n">
        <f aca="false">TblPop[[#This Row],[Military%]]</f>
        <v>0.332595462091865</v>
      </c>
      <c r="D90" s="132"/>
      <c r="E90" s="151" t="n">
        <f aca="false">OFFSET(TblMili[[#This Row],[Unit 1]],-1,0) + OFFSET(TblMili[[#This Row],[Train Unit 1]],-9,0) - TblMili[[#This Row],[Release Unit 1]]</f>
        <v>13</v>
      </c>
      <c r="F90" s="151" t="n">
        <f aca="false">OFFSET(TblMili[[#This Row],[Unit 2]],-1,0) + OFFSET(TblMili[[#This Row],[Train Unit 2]],-9,0)-TblMili[[#This Row],[Release Unit 2]]</f>
        <v>1261</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27</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0.249</v>
      </c>
      <c r="V90" s="274" t="e">
        <f aca="false">TblMili[[#This Row],[Non Draft]] * (1 + TblMili[[#This Row],[Mods_Def]])</f>
        <v>#VALUE!</v>
      </c>
      <c r="W90" s="285" t="e">
        <f aca="false">TblMili[[#This Row],[Draft]] * (1 + TblMili[[#This Row],[Mods_Def]])</f>
        <v>#VALUE!</v>
      </c>
      <c r="X90" s="285" t="n">
        <f aca="false">TblConstr[[#This Row],[Land]]</f>
        <v>646</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953</v>
      </c>
      <c r="AB90" s="146"/>
      <c r="AC90" s="130" t="n">
        <f aca="false">(TblConstr[[#This Row],[Tot Smi]]+TblConstr[[#This Row],[Dest Smi]])/(TblConstr[[#This Row],[Land]]-TblExplore[[#This Row],[Land Bonus]]*20)</f>
        <v>0.195046439628483</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2871253</v>
      </c>
      <c r="AQ90" s="69" t="n">
        <f aca="false">INDEX(TblProd[[#Headers],[Lumber]]:TblProd[[#This Row],[Ore]],COUNTA(TblProd[[#Headers],[Lumber]]:TblProd[[#This Row],[Lumber]]),MATCH(Military!$AQ$2,TblProd[[#Headers],[Lumber]:[Ore]],0))</f>
        <v>-357</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953</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26</v>
      </c>
      <c r="CG90" s="288" t="e">
        <f aca="false">MIN(frost_mage_cap,TblMili[[#This Row],[Hill]]/frost_mage_bonus)</f>
        <v>#VALUE!</v>
      </c>
      <c r="CH90" s="151" t="n">
        <f aca="false">MIN(ice_elem_cap,TblMili[[#This Row],[Raw (2)]]*ice_elem_bonus)</f>
        <v>0.0417956656346749</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0.075232198142416</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-0.0835913312693498</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0.0417956656346749</v>
      </c>
      <c r="DF90" s="291" t="n">
        <f aca="false">TblMili[[#This Row],[Raw (2)]]*(1+race_wizard_strength+IF(TblMili[[#This Row],[Hour]]&gt;72,tech_magical_weaponry_wiz*TblTech[[#This Row],[3-5]],0))</f>
        <v>0.0417956656346749</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4291</v>
      </c>
      <c r="C91" s="150" t="n">
        <f aca="false">TblPop[[#This Row],[Military%]]</f>
        <v>0.33923630326508</v>
      </c>
      <c r="D91" s="132"/>
      <c r="E91" s="151" t="n">
        <f aca="false">OFFSET(TblMili[[#This Row],[Unit 1]],-1,0) + OFFSET(TblMili[[#This Row],[Train Unit 1]],-9,0) - TblMili[[#This Row],[Release Unit 1]]</f>
        <v>13</v>
      </c>
      <c r="F91" s="151" t="n">
        <f aca="false">OFFSET(TblMili[[#This Row],[Unit 2]],-1,0) + OFFSET(TblMili[[#This Row],[Train Unit 2]],-9,0)-TblMili[[#This Row],[Release Unit 2]]</f>
        <v>1261</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27</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0.249</v>
      </c>
      <c r="V91" s="274" t="e">
        <f aca="false">TblMili[[#This Row],[Non Draft]] * (1 + TblMili[[#This Row],[Mods_Def]])</f>
        <v>#VALUE!</v>
      </c>
      <c r="W91" s="285" t="e">
        <f aca="false">TblMili[[#This Row],[Draft]] * (1 + TblMili[[#This Row],[Mods_Def]])</f>
        <v>#VALUE!</v>
      </c>
      <c r="X91" s="285" t="n">
        <f aca="false">TblConstr[[#This Row],[Land]]</f>
        <v>646</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1037</v>
      </c>
      <c r="AB91" s="146"/>
      <c r="AC91" s="130" t="n">
        <f aca="false">(TblConstr[[#This Row],[Tot Smi]]+TblConstr[[#This Row],[Dest Smi]])/(TblConstr[[#This Row],[Land]]-TblExplore[[#This Row],[Land Bonus]]*20)</f>
        <v>0.195046439628483</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2979210</v>
      </c>
      <c r="AQ91" s="69" t="n">
        <f aca="false">INDEX(TblProd[[#Headers],[Lumber]]:TblProd[[#This Row],[Ore]],COUNTA(TblProd[[#Headers],[Lumber]]:TblProd[[#This Row],[Lumber]]),MATCH(Military!$AQ$2,TblProd[[#Headers],[Lumber]:[Ore]],0))</f>
        <v>-357</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1037</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26</v>
      </c>
      <c r="CG91" s="288" t="e">
        <f aca="false">MIN(frost_mage_cap,TblMili[[#This Row],[Hill]]/frost_mage_bonus)</f>
        <v>#VALUE!</v>
      </c>
      <c r="CH91" s="151" t="n">
        <f aca="false">MIN(ice_elem_cap,TblMili[[#This Row],[Raw (2)]]*ice_elem_bonus)</f>
        <v>0.0417956656346749</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0.075232198142416</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-0.0835913312693498</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0.0417956656346749</v>
      </c>
      <c r="DF91" s="291" t="n">
        <f aca="false">TblMili[[#This Row],[Raw (2)]]*(1+race_wizard_strength+IF(TblMili[[#This Row],[Hour]]&gt;72,tech_magical_weaponry_wiz*TblTech[[#This Row],[3-5]],0))</f>
        <v>0.0417956656346749</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4375</v>
      </c>
      <c r="C92" s="150" t="n">
        <f aca="false">TblPop[[#This Row],[Military%]]</f>
        <v>0.345877144438296</v>
      </c>
      <c r="D92" s="132"/>
      <c r="E92" s="151" t="n">
        <f aca="false">OFFSET(TblMili[[#This Row],[Unit 1]],-1,0) + OFFSET(TblMili[[#This Row],[Train Unit 1]],-9,0) - TblMili[[#This Row],[Release Unit 1]]</f>
        <v>13</v>
      </c>
      <c r="F92" s="151" t="n">
        <f aca="false">OFFSET(TblMili[[#This Row],[Unit 2]],-1,0) + OFFSET(TblMili[[#This Row],[Train Unit 2]],-9,0)-TblMili[[#This Row],[Release Unit 2]]</f>
        <v>1261</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27</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0.249</v>
      </c>
      <c r="V92" s="274" t="e">
        <f aca="false">TblMili[[#This Row],[Non Draft]] * (1 + TblMili[[#This Row],[Mods_Def]])</f>
        <v>#VALUE!</v>
      </c>
      <c r="W92" s="285" t="e">
        <f aca="false">TblMili[[#This Row],[Draft]] * (1 + TblMili[[#This Row],[Mods_Def]])</f>
        <v>#VALUE!</v>
      </c>
      <c r="X92" s="285" t="n">
        <f aca="false">TblConstr[[#This Row],[Land]]</f>
        <v>646</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1121</v>
      </c>
      <c r="AB92" s="146"/>
      <c r="AC92" s="130" t="n">
        <f aca="false">(TblConstr[[#This Row],[Tot Smi]]+TblConstr[[#This Row],[Dest Smi]])/(TblConstr[[#This Row],[Land]]-TblExplore[[#This Row],[Land Bonus]]*20)</f>
        <v>0.195046439628483</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3086918</v>
      </c>
      <c r="AQ92" s="69" t="n">
        <f aca="false">INDEX(TblProd[[#Headers],[Lumber]]:TblProd[[#This Row],[Ore]],COUNTA(TblProd[[#Headers],[Lumber]]:TblProd[[#This Row],[Lumber]]),MATCH(Military!$AQ$2,TblProd[[#Headers],[Lumber]:[Ore]],0))</f>
        <v>-357</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1121</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26</v>
      </c>
      <c r="CG92" s="288" t="e">
        <f aca="false">MIN(frost_mage_cap,TblMili[[#This Row],[Hill]]/frost_mage_bonus)</f>
        <v>#VALUE!</v>
      </c>
      <c r="CH92" s="151" t="n">
        <f aca="false">MIN(ice_elem_cap,TblMili[[#This Row],[Raw (2)]]*ice_elem_bonus)</f>
        <v>0.0417956656346749</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0.075232198142416</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-0.0835913312693498</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0.0417956656346749</v>
      </c>
      <c r="DF92" s="291" t="n">
        <f aca="false">TblMili[[#This Row],[Raw (2)]]*(1+race_wizard_strength+IF(TblMili[[#This Row],[Hour]]&gt;72,tech_magical_weaponry_wiz*TblTech[[#This Row],[3-5]],0))</f>
        <v>0.0417956656346749</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4458</v>
      </c>
      <c r="C93" s="150" t="n">
        <f aca="false">TblPop[[#This Row],[Military%]]</f>
        <v>0.352438927978496</v>
      </c>
      <c r="D93" s="132"/>
      <c r="E93" s="151" t="n">
        <f aca="false">OFFSET(TblMili[[#This Row],[Unit 1]],-1,0) + OFFSET(TblMili[[#This Row],[Train Unit 1]],-9,0) - TblMili[[#This Row],[Release Unit 1]]</f>
        <v>13</v>
      </c>
      <c r="F93" s="151" t="n">
        <f aca="false">OFFSET(TblMili[[#This Row],[Unit 2]],-1,0) + OFFSET(TblMili[[#This Row],[Train Unit 2]],-9,0)-TblMili[[#This Row],[Release Unit 2]]</f>
        <v>1261</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27</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0.249</v>
      </c>
      <c r="V93" s="274" t="e">
        <f aca="false">TblMili[[#This Row],[Non Draft]] * (1 + TblMili[[#This Row],[Mods_Def]])</f>
        <v>#VALUE!</v>
      </c>
      <c r="W93" s="285" t="e">
        <f aca="false">TblMili[[#This Row],[Draft]] * (1 + TblMili[[#This Row],[Mods_Def]])</f>
        <v>#VALUE!</v>
      </c>
      <c r="X93" s="285" t="n">
        <f aca="false">TblConstr[[#This Row],[Land]]</f>
        <v>646</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1204</v>
      </c>
      <c r="AB93" s="146"/>
      <c r="AC93" s="130" t="n">
        <f aca="false">(TblConstr[[#This Row],[Tot Smi]]+TblConstr[[#This Row],[Dest Smi]])/(TblConstr[[#This Row],[Land]]-TblExplore[[#This Row],[Land Bonus]]*20)</f>
        <v>0.195046439628483</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3194376</v>
      </c>
      <c r="AQ93" s="69" t="n">
        <f aca="false">INDEX(TblProd[[#Headers],[Lumber]]:TblProd[[#This Row],[Ore]],COUNTA(TblProd[[#Headers],[Lumber]]:TblProd[[#This Row],[Lumber]]),MATCH(Military!$AQ$2,TblProd[[#Headers],[Lumber]:[Ore]],0))</f>
        <v>-357</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1204</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26</v>
      </c>
      <c r="CG93" s="288" t="e">
        <f aca="false">MIN(frost_mage_cap,TblMili[[#This Row],[Hill]]/frost_mage_bonus)</f>
        <v>#VALUE!</v>
      </c>
      <c r="CH93" s="151" t="n">
        <f aca="false">MIN(ice_elem_cap,TblMili[[#This Row],[Raw (2)]]*ice_elem_bonus)</f>
        <v>0.0417956656346749</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0.075232198142416</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-0.0835913312693498</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0.0417956656346749</v>
      </c>
      <c r="DF93" s="291" t="n">
        <f aca="false">TblMili[[#This Row],[Raw (2)]]*(1+race_wizard_strength+IF(TblMili[[#This Row],[Hour]]&gt;72,tech_magical_weaponry_wiz*TblTech[[#This Row],[3-5]],0))</f>
        <v>0.0417956656346749</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4540</v>
      </c>
      <c r="C94" s="150" t="n">
        <f aca="false">TblPop[[#This Row],[Military%]]</f>
        <v>0.358921653885683</v>
      </c>
      <c r="D94" s="132"/>
      <c r="E94" s="151" t="n">
        <f aca="false">OFFSET(TblMili[[#This Row],[Unit 1]],-1,0) + OFFSET(TblMili[[#This Row],[Train Unit 1]],-9,0) - TblMili[[#This Row],[Release Unit 1]]</f>
        <v>13</v>
      </c>
      <c r="F94" s="151" t="n">
        <f aca="false">OFFSET(TblMili[[#This Row],[Unit 2]],-1,0) + OFFSET(TblMili[[#This Row],[Train Unit 2]],-9,0)-TblMili[[#This Row],[Release Unit 2]]</f>
        <v>1261</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27</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0.249</v>
      </c>
      <c r="V94" s="274" t="e">
        <f aca="false">TblMili[[#This Row],[Non Draft]] * (1 + TblMili[[#This Row],[Mods_Def]])</f>
        <v>#VALUE!</v>
      </c>
      <c r="W94" s="285" t="e">
        <f aca="false">TblMili[[#This Row],[Draft]] * (1 + TblMili[[#This Row],[Mods_Def]])</f>
        <v>#VALUE!</v>
      </c>
      <c r="X94" s="285" t="n">
        <f aca="false">TblConstr[[#This Row],[Land]]</f>
        <v>646</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1286</v>
      </c>
      <c r="AB94" s="146"/>
      <c r="AC94" s="130" t="n">
        <f aca="false">(TblConstr[[#This Row],[Tot Smi]]+TblConstr[[#This Row],[Dest Smi]])/(TblConstr[[#This Row],[Land]]-TblExplore[[#This Row],[Land Bonus]]*20)</f>
        <v>0.195046439628483</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3301588</v>
      </c>
      <c r="AQ94" s="69" t="n">
        <f aca="false">INDEX(TblProd[[#Headers],[Lumber]]:TblProd[[#This Row],[Ore]],COUNTA(TblProd[[#Headers],[Lumber]]:TblProd[[#This Row],[Lumber]]),MATCH(Military!$AQ$2,TblProd[[#Headers],[Lumber]:[Ore]],0))</f>
        <v>-357</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1286</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26</v>
      </c>
      <c r="CG94" s="288" t="e">
        <f aca="false">MIN(frost_mage_cap,TblMili[[#This Row],[Hill]]/frost_mage_bonus)</f>
        <v>#VALUE!</v>
      </c>
      <c r="CH94" s="151" t="n">
        <f aca="false">MIN(ice_elem_cap,TblMili[[#This Row],[Raw (2)]]*ice_elem_bonus)</f>
        <v>0.0417956656346749</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0.075232198142416</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-0.0835913312693498</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0.0417956656346749</v>
      </c>
      <c r="DF94" s="291" t="n">
        <f aca="false">TblMili[[#This Row],[Raw (2)]]*(1+race_wizard_strength+IF(TblMili[[#This Row],[Hour]]&gt;72,tech_magical_weaponry_wiz*TblTech[[#This Row],[3-5]],0))</f>
        <v>0.0417956656346749</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4621</v>
      </c>
      <c r="C95" s="150" t="n">
        <f aca="false">TblPop[[#This Row],[Military%]]</f>
        <v>0.365325322159855</v>
      </c>
      <c r="D95" s="132"/>
      <c r="E95" s="151" t="n">
        <f aca="false">OFFSET(TblMili[[#This Row],[Unit 1]],-1,0) + OFFSET(TblMili[[#This Row],[Train Unit 1]],-9,0) - TblMili[[#This Row],[Release Unit 1]]</f>
        <v>13</v>
      </c>
      <c r="F95" s="151" t="n">
        <f aca="false">OFFSET(TblMili[[#This Row],[Unit 2]],-1,0) + OFFSET(TblMili[[#This Row],[Train Unit 2]],-9,0)-TblMili[[#This Row],[Release Unit 2]]</f>
        <v>1261</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27</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0.249</v>
      </c>
      <c r="V95" s="274" t="e">
        <f aca="false">TblMili[[#This Row],[Non Draft]] * (1 + TblMili[[#This Row],[Mods_Def]])</f>
        <v>#VALUE!</v>
      </c>
      <c r="W95" s="285" t="e">
        <f aca="false">TblMili[[#This Row],[Draft]] * (1 + TblMili[[#This Row],[Mods_Def]])</f>
        <v>#VALUE!</v>
      </c>
      <c r="X95" s="285" t="n">
        <f aca="false">TblConstr[[#This Row],[Land]]</f>
        <v>646</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1367</v>
      </c>
      <c r="AB95" s="146"/>
      <c r="AC95" s="130" t="n">
        <f aca="false">(TblConstr[[#This Row],[Tot Smi]]+TblConstr[[#This Row],[Dest Smi]])/(TblConstr[[#This Row],[Land]]-TblExplore[[#This Row],[Land Bonus]]*20)</f>
        <v>0.195046439628483</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3408556</v>
      </c>
      <c r="AQ95" s="69" t="n">
        <f aca="false">INDEX(TblProd[[#Headers],[Lumber]]:TblProd[[#This Row],[Ore]],COUNTA(TblProd[[#Headers],[Lumber]]:TblProd[[#This Row],[Lumber]]),MATCH(Military!$AQ$2,TblProd[[#Headers],[Lumber]:[Ore]],0))</f>
        <v>-357</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1367</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26</v>
      </c>
      <c r="CG95" s="288" t="e">
        <f aca="false">MIN(frost_mage_cap,TblMili[[#This Row],[Hill]]/frost_mage_bonus)</f>
        <v>#VALUE!</v>
      </c>
      <c r="CH95" s="151" t="n">
        <f aca="false">MIN(ice_elem_cap,TblMili[[#This Row],[Raw (2)]]*ice_elem_bonus)</f>
        <v>0.0417956656346749</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0.075232198142416</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-0.0835913312693498</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0.0417956656346749</v>
      </c>
      <c r="DF95" s="291" t="n">
        <f aca="false">TblMili[[#This Row],[Raw (2)]]*(1+race_wizard_strength+IF(TblMili[[#This Row],[Hour]]&gt;72,tech_magical_weaponry_wiz*TblTech[[#This Row],[3-5]],0))</f>
        <v>0.0417956656346749</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4701</v>
      </c>
      <c r="C96" s="150" t="n">
        <f aca="false">TblPop[[#This Row],[Military%]]</f>
        <v>0.371649932801012</v>
      </c>
      <c r="D96" s="132"/>
      <c r="E96" s="151" t="n">
        <f aca="false">OFFSET(TblMili[[#This Row],[Unit 1]],-1,0) + OFFSET(TblMili[[#This Row],[Train Unit 1]],-9,0) - TblMili[[#This Row],[Release Unit 1]]</f>
        <v>13</v>
      </c>
      <c r="F96" s="151" t="n">
        <f aca="false">OFFSET(TblMili[[#This Row],[Unit 2]],-1,0) + OFFSET(TblMili[[#This Row],[Train Unit 2]],-9,0)-TblMili[[#This Row],[Release Unit 2]]</f>
        <v>1261</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27</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0.249</v>
      </c>
      <c r="V96" s="274" t="e">
        <f aca="false">TblMili[[#This Row],[Non Draft]] * (1 + TblMili[[#This Row],[Mods_Def]])</f>
        <v>#VALUE!</v>
      </c>
      <c r="W96" s="285" t="e">
        <f aca="false">TblMili[[#This Row],[Draft]] * (1 + TblMili[[#This Row],[Mods_Def]])</f>
        <v>#VALUE!</v>
      </c>
      <c r="X96" s="285" t="n">
        <f aca="false">TblConstr[[#This Row],[Land]]</f>
        <v>646</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1447</v>
      </c>
      <c r="AB96" s="146"/>
      <c r="AC96" s="130" t="n">
        <f aca="false">(TblConstr[[#This Row],[Tot Smi]]+TblConstr[[#This Row],[Dest Smi]])/(TblConstr[[#This Row],[Land]]-TblExplore[[#This Row],[Land Bonus]]*20)</f>
        <v>0.195046439628483</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3515284</v>
      </c>
      <c r="AQ96" s="69" t="n">
        <f aca="false">INDEX(TblProd[[#Headers],[Lumber]]:TblProd[[#This Row],[Ore]],COUNTA(TblProd[[#Headers],[Lumber]]:TblProd[[#This Row],[Lumber]]),MATCH(Military!$AQ$2,TblProd[[#Headers],[Lumber]:[Ore]],0))</f>
        <v>-357</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1447</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26</v>
      </c>
      <c r="CG96" s="288" t="e">
        <f aca="false">MIN(frost_mage_cap,TblMili[[#This Row],[Hill]]/frost_mage_bonus)</f>
        <v>#VALUE!</v>
      </c>
      <c r="CH96" s="151" t="n">
        <f aca="false">MIN(ice_elem_cap,TblMili[[#This Row],[Raw (2)]]*ice_elem_bonus)</f>
        <v>0.0417956656346749</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0.075232198142416</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-0.0835913312693498</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0.0417956656346749</v>
      </c>
      <c r="DF96" s="291" t="n">
        <f aca="false">TblMili[[#This Row],[Raw (2)]]*(1+race_wizard_strength+IF(TblMili[[#This Row],[Hour]]&gt;72,tech_magical_weaponry_wiz*TblTech[[#This Row],[3-5]],0))</f>
        <v>0.0417956656346749</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4780</v>
      </c>
      <c r="C97" s="150" t="n">
        <f aca="false">TblPop[[#This Row],[Military%]]</f>
        <v>0.377895485809155</v>
      </c>
      <c r="D97" s="132"/>
      <c r="E97" s="151" t="n">
        <f aca="false">OFFSET(TblMili[[#This Row],[Unit 1]],-1,0) + OFFSET(TblMili[[#This Row],[Train Unit 1]],-9,0) - TblMili[[#This Row],[Release Unit 1]]</f>
        <v>13</v>
      </c>
      <c r="F97" s="151" t="n">
        <f aca="false">OFFSET(TblMili[[#This Row],[Unit 2]],-1,0) + OFFSET(TblMili[[#This Row],[Train Unit 2]],-9,0)-TblMili[[#This Row],[Release Unit 2]]</f>
        <v>1261</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27</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0.249</v>
      </c>
      <c r="V97" s="274" t="e">
        <f aca="false">TblMili[[#This Row],[Non Draft]] * (1 + TblMili[[#This Row],[Mods_Def]])</f>
        <v>#VALUE!</v>
      </c>
      <c r="W97" s="285" t="e">
        <f aca="false">TblMili[[#This Row],[Draft]] * (1 + TblMili[[#This Row],[Mods_Def]])</f>
        <v>#VALUE!</v>
      </c>
      <c r="X97" s="285" t="n">
        <f aca="false">TblConstr[[#This Row],[Land]]</f>
        <v>646</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1526</v>
      </c>
      <c r="AB97" s="146"/>
      <c r="AC97" s="130" t="n">
        <f aca="false">(TblConstr[[#This Row],[Tot Smi]]+TblConstr[[#This Row],[Dest Smi]])/(TblConstr[[#This Row],[Land]]-TblExplore[[#This Row],[Land Bonus]]*20)</f>
        <v>0.195046439628483</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3621774</v>
      </c>
      <c r="AQ97" s="69" t="n">
        <f aca="false">INDEX(TblProd[[#Headers],[Lumber]]:TblProd[[#This Row],[Ore]],COUNTA(TblProd[[#Headers],[Lumber]]:TblProd[[#This Row],[Lumber]]),MATCH(Military!$AQ$2,TblProd[[#Headers],[Lumber]:[Ore]],0))</f>
        <v>-357</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1526</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26</v>
      </c>
      <c r="CG97" s="288" t="e">
        <f aca="false">MIN(frost_mage_cap,TblMili[[#This Row],[Hill]]/frost_mage_bonus)</f>
        <v>#VALUE!</v>
      </c>
      <c r="CH97" s="151" t="n">
        <f aca="false">MIN(ice_elem_cap,TblMili[[#This Row],[Raw (2)]]*ice_elem_bonus)</f>
        <v>0.0417956656346749</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0.075232198142416</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-0.0835913312693498</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0.0417956656346749</v>
      </c>
      <c r="DF97" s="291" t="n">
        <f aca="false">TblMili[[#This Row],[Raw (2)]]*(1+race_wizard_strength+IF(TblMili[[#This Row],[Hour]]&gt;72,tech_magical_weaponry_wiz*TblTech[[#This Row],[3-5]],0))</f>
        <v>0.0417956656346749</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4859</v>
      </c>
      <c r="C98" s="150" t="n">
        <f aca="false">TblPop[[#This Row],[Military%]]</f>
        <v>0.384141038817298</v>
      </c>
      <c r="D98" s="132"/>
      <c r="E98" s="151" t="n">
        <f aca="false">OFFSET(TblMili[[#This Row],[Unit 1]],-1,0) + OFFSET(TblMili[[#This Row],[Train Unit 1]],-9,0) - TblMili[[#This Row],[Release Unit 1]]</f>
        <v>13</v>
      </c>
      <c r="F98" s="151" t="n">
        <f aca="false">OFFSET(TblMili[[#This Row],[Unit 2]],-1,0) + OFFSET(TblMili[[#This Row],[Train Unit 2]],-9,0)-TblMili[[#This Row],[Release Unit 2]]</f>
        <v>1261</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27</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0.249</v>
      </c>
      <c r="V98" s="274" t="e">
        <f aca="false">TblMili[[#This Row],[Non Draft]] * (1 + TblMili[[#This Row],[Mods_Def]])</f>
        <v>#VALUE!</v>
      </c>
      <c r="W98" s="285" t="e">
        <f aca="false">TblMili[[#This Row],[Draft]] * (1 + TblMili[[#This Row],[Mods_Def]])</f>
        <v>#VALUE!</v>
      </c>
      <c r="X98" s="285" t="n">
        <f aca="false">TblConstr[[#This Row],[Land]]</f>
        <v>646</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1605</v>
      </c>
      <c r="AB98" s="146"/>
      <c r="AC98" s="130" t="n">
        <f aca="false">(TblConstr[[#This Row],[Tot Smi]]+TblConstr[[#This Row],[Dest Smi]])/(TblConstr[[#This Row],[Land]]-TblExplore[[#This Row],[Land Bonus]]*20)</f>
        <v>0.195046439628483</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3728029</v>
      </c>
      <c r="AQ98" s="69" t="n">
        <f aca="false">INDEX(TblProd[[#Headers],[Lumber]]:TblProd[[#This Row],[Ore]],COUNTA(TblProd[[#Headers],[Lumber]]:TblProd[[#This Row],[Lumber]]),MATCH(Military!$AQ$2,TblProd[[#Headers],[Lumber]:[Ore]],0))</f>
        <v>-357</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1605</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26</v>
      </c>
      <c r="CG98" s="288" t="e">
        <f aca="false">MIN(frost_mage_cap,TblMili[[#This Row],[Hill]]/frost_mage_bonus)</f>
        <v>#VALUE!</v>
      </c>
      <c r="CH98" s="151" t="n">
        <f aca="false">MIN(ice_elem_cap,TblMili[[#This Row],[Raw (2)]]*ice_elem_bonus)</f>
        <v>0.0417956656346749</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0.075232198142416</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-0.0835913312693498</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0.0417956656346749</v>
      </c>
      <c r="DF98" s="291" t="n">
        <f aca="false">TblMili[[#This Row],[Raw (2)]]*(1+race_wizard_strength+IF(TblMili[[#This Row],[Hour]]&gt;72,tech_magical_weaponry_wiz*TblTech[[#This Row],[3-5]],0))</f>
        <v>0.0417956656346749</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4937</v>
      </c>
      <c r="C99" s="150" t="n">
        <f aca="false">TblPop[[#This Row],[Military%]]</f>
        <v>0.390307534192426</v>
      </c>
      <c r="D99" s="132"/>
      <c r="E99" s="151" t="n">
        <f aca="false">OFFSET(TblMili[[#This Row],[Unit 1]],-1,0) + OFFSET(TblMili[[#This Row],[Train Unit 1]],-9,0) - TblMili[[#This Row],[Release Unit 1]]</f>
        <v>13</v>
      </c>
      <c r="F99" s="151" t="n">
        <f aca="false">OFFSET(TblMili[[#This Row],[Unit 2]],-1,0) + OFFSET(TblMili[[#This Row],[Train Unit 2]],-9,0)-TblMili[[#This Row],[Release Unit 2]]</f>
        <v>1261</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27</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0.249</v>
      </c>
      <c r="V99" s="274" t="e">
        <f aca="false">TblMili[[#This Row],[Non Draft]] * (1 + TblMili[[#This Row],[Mods_Def]])</f>
        <v>#VALUE!</v>
      </c>
      <c r="W99" s="285" t="e">
        <f aca="false">TblMili[[#This Row],[Draft]] * (1 + TblMili[[#This Row],[Mods_Def]])</f>
        <v>#VALUE!</v>
      </c>
      <c r="X99" s="285" t="n">
        <f aca="false">TblConstr[[#This Row],[Land]]</f>
        <v>646</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1683</v>
      </c>
      <c r="AB99" s="146"/>
      <c r="AC99" s="130" t="n">
        <f aca="false">(TblConstr[[#This Row],[Tot Smi]]+TblConstr[[#This Row],[Dest Smi]])/(TblConstr[[#This Row],[Land]]-TblExplore[[#This Row],[Land Bonus]]*20)</f>
        <v>0.195046439628483</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3834050</v>
      </c>
      <c r="AQ99" s="69" t="n">
        <f aca="false">INDEX(TblProd[[#Headers],[Lumber]]:TblProd[[#This Row],[Ore]],COUNTA(TblProd[[#Headers],[Lumber]]:TblProd[[#This Row],[Lumber]]),MATCH(Military!$AQ$2,TblProd[[#Headers],[Lumber]:[Ore]],0))</f>
        <v>-357</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1683</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26</v>
      </c>
      <c r="CG99" s="288" t="e">
        <f aca="false">MIN(frost_mage_cap,TblMili[[#This Row],[Hill]]/frost_mage_bonus)</f>
        <v>#VALUE!</v>
      </c>
      <c r="CH99" s="151" t="n">
        <f aca="false">MIN(ice_elem_cap,TblMili[[#This Row],[Raw (2)]]*ice_elem_bonus)</f>
        <v>0.0417956656346749</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0.075232198142416</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-0.0835913312693498</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0.0417956656346749</v>
      </c>
      <c r="DF99" s="291" t="n">
        <f aca="false">TblMili[[#This Row],[Raw (2)]]*(1+race_wizard_strength+IF(TblMili[[#This Row],[Hour]]&gt;72,tech_magical_weaponry_wiz*TblTech[[#This Row],[3-5]],0))</f>
        <v>0.0417956656346749</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5014</v>
      </c>
      <c r="C100" s="150" t="n">
        <f aca="false">TblPop[[#This Row],[Military%]]</f>
        <v>0.39639497193454</v>
      </c>
      <c r="D100" s="132"/>
      <c r="E100" s="151" t="n">
        <f aca="false">OFFSET(TblMili[[#This Row],[Unit 1]],-1,0) + OFFSET(TblMili[[#This Row],[Train Unit 1]],-9,0) - TblMili[[#This Row],[Release Unit 1]]</f>
        <v>13</v>
      </c>
      <c r="F100" s="151" t="n">
        <f aca="false">OFFSET(TblMili[[#This Row],[Unit 2]],-1,0) + OFFSET(TblMili[[#This Row],[Train Unit 2]],-9,0)-TblMili[[#This Row],[Release Unit 2]]</f>
        <v>1261</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27</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0.249</v>
      </c>
      <c r="V100" s="274" t="e">
        <f aca="false">TblMili[[#This Row],[Non Draft]] * (1 + TblMili[[#This Row],[Mods_Def]])</f>
        <v>#VALUE!</v>
      </c>
      <c r="W100" s="285" t="e">
        <f aca="false">TblMili[[#This Row],[Draft]] * (1 + TblMili[[#This Row],[Mods_Def]])</f>
        <v>#VALUE!</v>
      </c>
      <c r="X100" s="285" t="n">
        <f aca="false">TblConstr[[#This Row],[Land]]</f>
        <v>646</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1760</v>
      </c>
      <c r="AB100" s="146"/>
      <c r="AC100" s="130" t="n">
        <f aca="false">(TblConstr[[#This Row],[Tot Smi]]+TblConstr[[#This Row],[Dest Smi]])/(TblConstr[[#This Row],[Land]]-TblExplore[[#This Row],[Land Bonus]]*20)</f>
        <v>0.195046439628483</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3939839</v>
      </c>
      <c r="AQ100" s="69" t="n">
        <f aca="false">INDEX(TblProd[[#Headers],[Lumber]]:TblProd[[#This Row],[Ore]],COUNTA(TblProd[[#Headers],[Lumber]]:TblProd[[#This Row],[Lumber]]),MATCH(Military!$AQ$2,TblProd[[#Headers],[Lumber]:[Ore]],0))</f>
        <v>-357</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1760</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26</v>
      </c>
      <c r="CG100" s="288" t="e">
        <f aca="false">MIN(frost_mage_cap,TblMili[[#This Row],[Hill]]/frost_mage_bonus)</f>
        <v>#VALUE!</v>
      </c>
      <c r="CH100" s="151" t="n">
        <f aca="false">MIN(ice_elem_cap,TblMili[[#This Row],[Raw (2)]]*ice_elem_bonus)</f>
        <v>0.0417956656346749</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0.075232198142416</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-0.0835913312693498</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0.0417956656346749</v>
      </c>
      <c r="DF100" s="291" t="n">
        <f aca="false">TblMili[[#This Row],[Raw (2)]]*(1+race_wizard_strength+IF(TblMili[[#This Row],[Hour]]&gt;72,tech_magical_weaponry_wiz*TblTech[[#This Row],[3-5]],0))</f>
        <v>0.0417956656346749</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5090</v>
      </c>
      <c r="C101" s="150" t="n">
        <f aca="false">TblPop[[#This Row],[Military%]]</f>
        <v>0.40240335204364</v>
      </c>
      <c r="D101" s="132"/>
      <c r="E101" s="151" t="n">
        <f aca="false">OFFSET(TblMili[[#This Row],[Unit 1]],-1,0) + OFFSET(TblMili[[#This Row],[Train Unit 1]],-9,0) - TblMili[[#This Row],[Release Unit 1]]</f>
        <v>13</v>
      </c>
      <c r="F101" s="151" t="n">
        <f aca="false">OFFSET(TblMili[[#This Row],[Unit 2]],-1,0) + OFFSET(TblMili[[#This Row],[Train Unit 2]],-9,0)-TblMili[[#This Row],[Release Unit 2]]</f>
        <v>1261</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27</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0.249</v>
      </c>
      <c r="V101" s="274" t="e">
        <f aca="false">TblMili[[#This Row],[Non Draft]] * (1 + TblMili[[#This Row],[Mods_Def]])</f>
        <v>#VALUE!</v>
      </c>
      <c r="W101" s="285" t="e">
        <f aca="false">TblMili[[#This Row],[Draft]] * (1 + TblMili[[#This Row],[Mods_Def]])</f>
        <v>#VALUE!</v>
      </c>
      <c r="X101" s="285" t="n">
        <f aca="false">TblConstr[[#This Row],[Land]]</f>
        <v>646</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1836</v>
      </c>
      <c r="AB101" s="146"/>
      <c r="AC101" s="130" t="n">
        <f aca="false">(TblConstr[[#This Row],[Tot Smi]]+TblConstr[[#This Row],[Dest Smi]])/(TblConstr[[#This Row],[Land]]-TblExplore[[#This Row],[Land Bonus]]*20)</f>
        <v>0.195046439628483</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4045399</v>
      </c>
      <c r="AQ101" s="69" t="n">
        <f aca="false">INDEX(TblProd[[#Headers],[Lumber]]:TblProd[[#This Row],[Ore]],COUNTA(TblProd[[#Headers],[Lumber]]:TblProd[[#This Row],[Lumber]]),MATCH(Military!$AQ$2,TblProd[[#Headers],[Lumber]:[Ore]],0))</f>
        <v>-357</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1836</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26</v>
      </c>
      <c r="CG101" s="288" t="e">
        <f aca="false">MIN(frost_mage_cap,TblMili[[#This Row],[Hill]]/frost_mage_bonus)</f>
        <v>#VALUE!</v>
      </c>
      <c r="CH101" s="151" t="n">
        <f aca="false">MIN(ice_elem_cap,TblMili[[#This Row],[Raw (2)]]*ice_elem_bonus)</f>
        <v>0.0417956656346749</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0.075232198142416</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-0.0835913312693498</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0.0417956656346749</v>
      </c>
      <c r="DF101" s="291" t="n">
        <f aca="false">TblMili[[#This Row],[Raw (2)]]*(1+race_wizard_strength+IF(TblMili[[#This Row],[Hour]]&gt;72,tech_magical_weaponry_wiz*TblTech[[#This Row],[3-5]],0))</f>
        <v>0.0417956656346749</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5166</v>
      </c>
      <c r="C102" s="150" t="n">
        <f aca="false">TblPop[[#This Row],[Military%]]</f>
        <v>0.408411732152739</v>
      </c>
      <c r="D102" s="132"/>
      <c r="E102" s="151" t="n">
        <f aca="false">OFFSET(TblMili[[#This Row],[Unit 1]],-1,0) + OFFSET(TblMili[[#This Row],[Train Unit 1]],-9,0) - TblMili[[#This Row],[Release Unit 1]]</f>
        <v>13</v>
      </c>
      <c r="F102" s="151" t="n">
        <f aca="false">OFFSET(TblMili[[#This Row],[Unit 2]],-1,0) + OFFSET(TblMili[[#This Row],[Train Unit 2]],-9,0)-TblMili[[#This Row],[Release Unit 2]]</f>
        <v>1261</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27</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0.249</v>
      </c>
      <c r="V102" s="274" t="e">
        <f aca="false">TblMili[[#This Row],[Non Draft]] * (1 + TblMili[[#This Row],[Mods_Def]])</f>
        <v>#VALUE!</v>
      </c>
      <c r="W102" s="285" t="e">
        <f aca="false">TblMili[[#This Row],[Draft]] * (1 + TblMili[[#This Row],[Mods_Def]])</f>
        <v>#VALUE!</v>
      </c>
      <c r="X102" s="285" t="n">
        <f aca="false">TblConstr[[#This Row],[Land]]</f>
        <v>646</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1912</v>
      </c>
      <c r="AB102" s="146"/>
      <c r="AC102" s="130" t="n">
        <f aca="false">(TblConstr[[#This Row],[Tot Smi]]+TblConstr[[#This Row],[Dest Smi]])/(TblConstr[[#This Row],[Land]]-TblExplore[[#This Row],[Land Bonus]]*20)</f>
        <v>0.195046439628483</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4150734</v>
      </c>
      <c r="AQ102" s="69" t="n">
        <f aca="false">INDEX(TblProd[[#Headers],[Lumber]]:TblProd[[#This Row],[Ore]],COUNTA(TblProd[[#Headers],[Lumber]]:TblProd[[#This Row],[Lumber]]),MATCH(Military!$AQ$2,TblProd[[#Headers],[Lumber]:[Ore]],0))</f>
        <v>-357</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1912</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26</v>
      </c>
      <c r="CG102" s="288" t="e">
        <f aca="false">MIN(frost_mage_cap,TblMili[[#This Row],[Hill]]/frost_mage_bonus)</f>
        <v>#VALUE!</v>
      </c>
      <c r="CH102" s="151" t="n">
        <f aca="false">MIN(ice_elem_cap,TblMili[[#This Row],[Raw (2)]]*ice_elem_bonus)</f>
        <v>0.0417956656346749</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0.075232198142416</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-0.0835913312693498</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0.0417956656346749</v>
      </c>
      <c r="DF102" s="291" t="n">
        <f aca="false">TblMili[[#This Row],[Raw (2)]]*(1+race_wizard_strength+IF(TblMili[[#This Row],[Hour]]&gt;72,tech_magical_weaponry_wiz*TblTech[[#This Row],[3-5]],0))</f>
        <v>0.0417956656346749</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5241</v>
      </c>
      <c r="C103" s="150" t="n">
        <f aca="false">TblPop[[#This Row],[Military%]]</f>
        <v>0.414341054628824</v>
      </c>
      <c r="D103" s="132"/>
      <c r="E103" s="151" t="n">
        <f aca="false">OFFSET(TblMili[[#This Row],[Unit 1]],-1,0) + OFFSET(TblMili[[#This Row],[Train Unit 1]],-9,0) - TblMili[[#This Row],[Release Unit 1]]</f>
        <v>13</v>
      </c>
      <c r="F103" s="151" t="n">
        <f aca="false">OFFSET(TblMili[[#This Row],[Unit 2]],-1,0) + OFFSET(TblMili[[#This Row],[Train Unit 2]],-9,0)-TblMili[[#This Row],[Release Unit 2]]</f>
        <v>1261</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27</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0.249</v>
      </c>
      <c r="V103" s="274" t="e">
        <f aca="false">TblMili[[#This Row],[Non Draft]] * (1 + TblMili[[#This Row],[Mods_Def]])</f>
        <v>#VALUE!</v>
      </c>
      <c r="W103" s="285" t="e">
        <f aca="false">TblMili[[#This Row],[Draft]] * (1 + TblMili[[#This Row],[Mods_Def]])</f>
        <v>#VALUE!</v>
      </c>
      <c r="X103" s="285" t="n">
        <f aca="false">TblConstr[[#This Row],[Land]]</f>
        <v>646</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1987</v>
      </c>
      <c r="AB103" s="146"/>
      <c r="AC103" s="130" t="n">
        <f aca="false">(TblConstr[[#This Row],[Tot Smi]]+TblConstr[[#This Row],[Dest Smi]])/(TblConstr[[#This Row],[Land]]-TblExplore[[#This Row],[Land Bonus]]*20)</f>
        <v>0.195046439628483</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4255843</v>
      </c>
      <c r="AQ103" s="69" t="n">
        <f aca="false">INDEX(TblProd[[#Headers],[Lumber]]:TblProd[[#This Row],[Ore]],COUNTA(TblProd[[#Headers],[Lumber]]:TblProd[[#This Row],[Lumber]]),MATCH(Military!$AQ$2,TblProd[[#Headers],[Lumber]:[Ore]],0))</f>
        <v>-357</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1987</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26</v>
      </c>
      <c r="CG103" s="288" t="e">
        <f aca="false">MIN(frost_mage_cap,TblMili[[#This Row],[Hill]]/frost_mage_bonus)</f>
        <v>#VALUE!</v>
      </c>
      <c r="CH103" s="151" t="n">
        <f aca="false">MIN(ice_elem_cap,TblMili[[#This Row],[Raw (2)]]*ice_elem_bonus)</f>
        <v>0.0417956656346749</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0.075232198142416</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-0.0835913312693498</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0.0417956656346749</v>
      </c>
      <c r="DF103" s="291" t="n">
        <f aca="false">TblMili[[#This Row],[Raw (2)]]*(1+race_wizard_strength+IF(TblMili[[#This Row],[Hour]]&gt;72,tech_magical_weaponry_wiz*TblTech[[#This Row],[3-5]],0))</f>
        <v>0.0417956656346749</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5315</v>
      </c>
      <c r="C104" s="150" t="n">
        <f aca="false">TblPop[[#This Row],[Military%]]</f>
        <v>0.420191319471895</v>
      </c>
      <c r="D104" s="132"/>
      <c r="E104" s="151" t="n">
        <f aca="false">OFFSET(TblMili[[#This Row],[Unit 1]],-1,0) + OFFSET(TblMili[[#This Row],[Train Unit 1]],-9,0) - TblMili[[#This Row],[Release Unit 1]]</f>
        <v>13</v>
      </c>
      <c r="F104" s="151" t="n">
        <f aca="false">OFFSET(TblMili[[#This Row],[Unit 2]],-1,0) + OFFSET(TblMili[[#This Row],[Train Unit 2]],-9,0)-TblMili[[#This Row],[Release Unit 2]]</f>
        <v>1261</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27</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0.249</v>
      </c>
      <c r="V104" s="274" t="e">
        <f aca="false">TblMili[[#This Row],[Non Draft]] * (1 + TblMili[[#This Row],[Mods_Def]])</f>
        <v>#VALUE!</v>
      </c>
      <c r="W104" s="285" t="e">
        <f aca="false">TblMili[[#This Row],[Draft]] * (1 + TblMili[[#This Row],[Mods_Def]])</f>
        <v>#VALUE!</v>
      </c>
      <c r="X104" s="285" t="n">
        <f aca="false">TblConstr[[#This Row],[Land]]</f>
        <v>646</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2061</v>
      </c>
      <c r="AB104" s="146"/>
      <c r="AC104" s="130" t="n">
        <f aca="false">(TblConstr[[#This Row],[Tot Smi]]+TblConstr[[#This Row],[Dest Smi]])/(TblConstr[[#This Row],[Land]]-TblExplore[[#This Row],[Land Bonus]]*20)</f>
        <v>0.195046439628483</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4360729</v>
      </c>
      <c r="AQ104" s="69" t="n">
        <f aca="false">INDEX(TblProd[[#Headers],[Lumber]]:TblProd[[#This Row],[Ore]],COUNTA(TblProd[[#Headers],[Lumber]]:TblProd[[#This Row],[Lumber]]),MATCH(Military!$AQ$2,TblProd[[#Headers],[Lumber]:[Ore]],0))</f>
        <v>-357</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2061</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26</v>
      </c>
      <c r="CG104" s="288" t="e">
        <f aca="false">MIN(frost_mage_cap,TblMili[[#This Row],[Hill]]/frost_mage_bonus)</f>
        <v>#VALUE!</v>
      </c>
      <c r="CH104" s="151" t="n">
        <f aca="false">MIN(ice_elem_cap,TblMili[[#This Row],[Raw (2)]]*ice_elem_bonus)</f>
        <v>0.0417956656346749</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0.075232198142416</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-0.0835913312693498</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0.0417956656346749</v>
      </c>
      <c r="DF104" s="291" t="n">
        <f aca="false">TblMili[[#This Row],[Raw (2)]]*(1+race_wizard_strength+IF(TblMili[[#This Row],[Hour]]&gt;72,tech_magical_weaponry_wiz*TblTech[[#This Row],[3-5]],0))</f>
        <v>0.0417956656346749</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5388</v>
      </c>
      <c r="C105" s="150" t="n">
        <f aca="false">TblPop[[#This Row],[Military%]]</f>
        <v>0.425962526681951</v>
      </c>
      <c r="D105" s="132"/>
      <c r="E105" s="151" t="n">
        <f aca="false">OFFSET(TblMili[[#This Row],[Unit 1]],-1,0) + OFFSET(TblMili[[#This Row],[Train Unit 1]],-9,0) - TblMili[[#This Row],[Release Unit 1]]</f>
        <v>13</v>
      </c>
      <c r="F105" s="151" t="n">
        <f aca="false">OFFSET(TblMili[[#This Row],[Unit 2]],-1,0) + OFFSET(TblMili[[#This Row],[Train Unit 2]],-9,0)-TblMili[[#This Row],[Release Unit 2]]</f>
        <v>1261</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27</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0.249</v>
      </c>
      <c r="V105" s="274" t="e">
        <f aca="false">TblMili[[#This Row],[Non Draft]] * (1 + TblMili[[#This Row],[Mods_Def]])</f>
        <v>#VALUE!</v>
      </c>
      <c r="W105" s="285" t="e">
        <f aca="false">TblMili[[#This Row],[Draft]] * (1 + TblMili[[#This Row],[Mods_Def]])</f>
        <v>#VALUE!</v>
      </c>
      <c r="X105" s="285" t="n">
        <f aca="false">TblConstr[[#This Row],[Land]]</f>
        <v>646</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2134</v>
      </c>
      <c r="AB105" s="146"/>
      <c r="AC105" s="130" t="n">
        <f aca="false">(TblConstr[[#This Row],[Tot Smi]]+TblConstr[[#This Row],[Dest Smi]])/(TblConstr[[#This Row],[Land]]-TblExplore[[#This Row],[Land Bonus]]*20)</f>
        <v>0.195046439628483</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4465395</v>
      </c>
      <c r="AQ105" s="69" t="n">
        <f aca="false">INDEX(TblProd[[#Headers],[Lumber]]:TblProd[[#This Row],[Ore]],COUNTA(TblProd[[#Headers],[Lumber]]:TblProd[[#This Row],[Lumber]]),MATCH(Military!$AQ$2,TblProd[[#Headers],[Lumber]:[Ore]],0))</f>
        <v>-357</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2134</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26</v>
      </c>
      <c r="CG105" s="288" t="e">
        <f aca="false">MIN(frost_mage_cap,TblMili[[#This Row],[Hill]]/frost_mage_bonus)</f>
        <v>#VALUE!</v>
      </c>
      <c r="CH105" s="151" t="n">
        <f aca="false">MIN(ice_elem_cap,TblMili[[#This Row],[Raw (2)]]*ice_elem_bonus)</f>
        <v>0.0417956656346749</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0.075232198142416</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-0.0835913312693498</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0.0417956656346749</v>
      </c>
      <c r="DF105" s="291" t="n">
        <f aca="false">TblMili[[#This Row],[Raw (2)]]*(1+race_wizard_strength+IF(TblMili[[#This Row],[Hour]]&gt;72,tech_magical_weaponry_wiz*TblTech[[#This Row],[3-5]],0))</f>
        <v>0.0417956656346749</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5461</v>
      </c>
      <c r="C106" s="150" t="n">
        <f aca="false">TblPop[[#This Row],[Military%]]</f>
        <v>0.431733733892007</v>
      </c>
      <c r="D106" s="132"/>
      <c r="E106" s="151" t="n">
        <f aca="false">OFFSET(TblMili[[#This Row],[Unit 1]],-1,0) + OFFSET(TblMili[[#This Row],[Train Unit 1]],-9,0) - TblMili[[#This Row],[Release Unit 1]]</f>
        <v>13</v>
      </c>
      <c r="F106" s="151" t="n">
        <f aca="false">OFFSET(TblMili[[#This Row],[Unit 2]],-1,0) + OFFSET(TblMili[[#This Row],[Train Unit 2]],-9,0)-TblMili[[#This Row],[Release Unit 2]]</f>
        <v>1261</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27</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0.249</v>
      </c>
      <c r="V106" s="274" t="e">
        <f aca="false">TblMili[[#This Row],[Non Draft]] * (1 + TblMili[[#This Row],[Mods_Def]])</f>
        <v>#VALUE!</v>
      </c>
      <c r="W106" s="285" t="e">
        <f aca="false">TblMili[[#This Row],[Draft]] * (1 + TblMili[[#This Row],[Mods_Def]])</f>
        <v>#VALUE!</v>
      </c>
      <c r="X106" s="285" t="n">
        <f aca="false">TblConstr[[#This Row],[Land]]</f>
        <v>646</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2207</v>
      </c>
      <c r="AB106" s="146"/>
      <c r="AC106" s="130" t="n">
        <f aca="false">(TblConstr[[#This Row],[Tot Smi]]+TblConstr[[#This Row],[Dest Smi]])/(TblConstr[[#This Row],[Land]]-TblExplore[[#This Row],[Land Bonus]]*20)</f>
        <v>0.195046439628483</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4569845</v>
      </c>
      <c r="AQ106" s="69" t="n">
        <f aca="false">INDEX(TblProd[[#Headers],[Lumber]]:TblProd[[#This Row],[Ore]],COUNTA(TblProd[[#Headers],[Lumber]]:TblProd[[#This Row],[Lumber]]),MATCH(Military!$AQ$2,TblProd[[#Headers],[Lumber]:[Ore]],0))</f>
        <v>-357</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2207</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26</v>
      </c>
      <c r="CG106" s="288" t="e">
        <f aca="false">MIN(frost_mage_cap,TblMili[[#This Row],[Hill]]/frost_mage_bonus)</f>
        <v>#VALUE!</v>
      </c>
      <c r="CH106" s="151" t="n">
        <f aca="false">MIN(ice_elem_cap,TblMili[[#This Row],[Raw (2)]]*ice_elem_bonus)</f>
        <v>0.0417956656346749</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0.075232198142416</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-0.0835913312693498</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0.0417956656346749</v>
      </c>
      <c r="DF106" s="291" t="n">
        <f aca="false">TblMili[[#This Row],[Raw (2)]]*(1+race_wizard_strength+IF(TblMili[[#This Row],[Hour]]&gt;72,tech_magical_weaponry_wiz*TblTech[[#This Row],[3-5]],0))</f>
        <v>0.0417956656346749</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5533</v>
      </c>
      <c r="C107" s="150" t="n">
        <f aca="false">TblPop[[#This Row],[Military%]]</f>
        <v>0.437425883469049</v>
      </c>
      <c r="D107" s="132"/>
      <c r="E107" s="151" t="n">
        <f aca="false">OFFSET(TblMili[[#This Row],[Unit 1]],-1,0) + OFFSET(TblMili[[#This Row],[Train Unit 1]],-9,0) - TblMili[[#This Row],[Release Unit 1]]</f>
        <v>13</v>
      </c>
      <c r="F107" s="151" t="n">
        <f aca="false">OFFSET(TblMili[[#This Row],[Unit 2]],-1,0) + OFFSET(TblMili[[#This Row],[Train Unit 2]],-9,0)-TblMili[[#This Row],[Release Unit 2]]</f>
        <v>1261</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27</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0.249</v>
      </c>
      <c r="V107" s="274" t="e">
        <f aca="false">TblMili[[#This Row],[Non Draft]] * (1 + TblMili[[#This Row],[Mods_Def]])</f>
        <v>#VALUE!</v>
      </c>
      <c r="W107" s="285" t="e">
        <f aca="false">TblMili[[#This Row],[Draft]] * (1 + TblMili[[#This Row],[Mods_Def]])</f>
        <v>#VALUE!</v>
      </c>
      <c r="X107" s="285" t="n">
        <f aca="false">TblConstr[[#This Row],[Land]]</f>
        <v>646</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2279</v>
      </c>
      <c r="AB107" s="146"/>
      <c r="AC107" s="130" t="n">
        <f aca="false">(TblConstr[[#This Row],[Tot Smi]]+TblConstr[[#This Row],[Dest Smi]])/(TblConstr[[#This Row],[Land]]-TblExplore[[#This Row],[Land Bonus]]*20)</f>
        <v>0.195046439628483</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4674078</v>
      </c>
      <c r="AQ107" s="69" t="n">
        <f aca="false">INDEX(TblProd[[#Headers],[Lumber]]:TblProd[[#This Row],[Ore]],COUNTA(TblProd[[#Headers],[Lumber]]:TblProd[[#This Row],[Lumber]]),MATCH(Military!$AQ$2,TblProd[[#Headers],[Lumber]:[Ore]],0))</f>
        <v>-357</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2279</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26</v>
      </c>
      <c r="CG107" s="288" t="e">
        <f aca="false">MIN(frost_mage_cap,TblMili[[#This Row],[Hill]]/frost_mage_bonus)</f>
        <v>#VALUE!</v>
      </c>
      <c r="CH107" s="151" t="n">
        <f aca="false">MIN(ice_elem_cap,TblMili[[#This Row],[Raw (2)]]*ice_elem_bonus)</f>
        <v>0.0417956656346749</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0.075232198142416</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-0.0835913312693498</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0.0417956656346749</v>
      </c>
      <c r="DF107" s="291" t="n">
        <f aca="false">TblMili[[#This Row],[Raw (2)]]*(1+race_wizard_strength+IF(TblMili[[#This Row],[Hour]]&gt;72,tech_magical_weaponry_wiz*TblTech[[#This Row],[3-5]],0))</f>
        <v>0.0417956656346749</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5604</v>
      </c>
      <c r="C108" s="150" t="n">
        <f aca="false">TblPop[[#This Row],[Military%]]</f>
        <v>0.443038975413076</v>
      </c>
      <c r="D108" s="132"/>
      <c r="E108" s="151" t="n">
        <f aca="false">OFFSET(TblMili[[#This Row],[Unit 1]],-1,0) + OFFSET(TblMili[[#This Row],[Train Unit 1]],-9,0) - TblMili[[#This Row],[Release Unit 1]]</f>
        <v>13</v>
      </c>
      <c r="F108" s="151" t="n">
        <f aca="false">OFFSET(TblMili[[#This Row],[Unit 2]],-1,0) + OFFSET(TblMili[[#This Row],[Train Unit 2]],-9,0)-TblMili[[#This Row],[Release Unit 2]]</f>
        <v>1261</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27</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0.249</v>
      </c>
      <c r="V108" s="274" t="e">
        <f aca="false">TblMili[[#This Row],[Non Draft]] * (1 + TblMili[[#This Row],[Mods_Def]])</f>
        <v>#VALUE!</v>
      </c>
      <c r="W108" s="285" t="e">
        <f aca="false">TblMili[[#This Row],[Draft]] * (1 + TblMili[[#This Row],[Mods_Def]])</f>
        <v>#VALUE!</v>
      </c>
      <c r="X108" s="285" t="n">
        <f aca="false">TblConstr[[#This Row],[Land]]</f>
        <v>646</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2350</v>
      </c>
      <c r="AB108" s="146"/>
      <c r="AC108" s="130" t="n">
        <f aca="false">(TblConstr[[#This Row],[Tot Smi]]+TblConstr[[#This Row],[Dest Smi]])/(TblConstr[[#This Row],[Land]]-TblExplore[[#This Row],[Land Bonus]]*20)</f>
        <v>0.195046439628483</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4778097</v>
      </c>
      <c r="AQ108" s="69" t="n">
        <f aca="false">INDEX(TblProd[[#Headers],[Lumber]]:TblProd[[#This Row],[Ore]],COUNTA(TblProd[[#Headers],[Lumber]]:TblProd[[#This Row],[Lumber]]),MATCH(Military!$AQ$2,TblProd[[#Headers],[Lumber]:[Ore]],0))</f>
        <v>-357</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2350</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26</v>
      </c>
      <c r="CG108" s="288" t="e">
        <f aca="false">MIN(frost_mage_cap,TblMili[[#This Row],[Hill]]/frost_mage_bonus)</f>
        <v>#VALUE!</v>
      </c>
      <c r="CH108" s="151" t="n">
        <f aca="false">MIN(ice_elem_cap,TblMili[[#This Row],[Raw (2)]]*ice_elem_bonus)</f>
        <v>0.0417956656346749</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0.075232198142416</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-0.0835913312693498</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0.0417956656346749</v>
      </c>
      <c r="DF108" s="291" t="n">
        <f aca="false">TblMili[[#This Row],[Raw (2)]]*(1+race_wizard_strength+IF(TblMili[[#This Row],[Hour]]&gt;72,tech_magical_weaponry_wiz*TblTech[[#This Row],[3-5]],0))</f>
        <v>0.0417956656346749</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5674</v>
      </c>
      <c r="C109" s="150" t="n">
        <f aca="false">TblPop[[#This Row],[Military%]]</f>
        <v>0.448573009724089</v>
      </c>
      <c r="D109" s="132"/>
      <c r="E109" s="151" t="n">
        <f aca="false">OFFSET(TblMili[[#This Row],[Unit 1]],-1,0) + OFFSET(TblMili[[#This Row],[Train Unit 1]],-9,0) - TblMili[[#This Row],[Release Unit 1]]</f>
        <v>13</v>
      </c>
      <c r="F109" s="151" t="n">
        <f aca="false">OFFSET(TblMili[[#This Row],[Unit 2]],-1,0) + OFFSET(TblMili[[#This Row],[Train Unit 2]],-9,0)-TblMili[[#This Row],[Release Unit 2]]</f>
        <v>1261</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27</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0.249</v>
      </c>
      <c r="V109" s="274" t="e">
        <f aca="false">TblMili[[#This Row],[Non Draft]] * (1 + TblMili[[#This Row],[Mods_Def]])</f>
        <v>#VALUE!</v>
      </c>
      <c r="W109" s="285" t="e">
        <f aca="false">TblMili[[#This Row],[Draft]] * (1 + TblMili[[#This Row],[Mods_Def]])</f>
        <v>#VALUE!</v>
      </c>
      <c r="X109" s="285" t="n">
        <f aca="false">TblConstr[[#This Row],[Land]]</f>
        <v>646</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2420</v>
      </c>
      <c r="AB109" s="146"/>
      <c r="AC109" s="130" t="n">
        <f aca="false">(TblConstr[[#This Row],[Tot Smi]]+TblConstr[[#This Row],[Dest Smi]])/(TblConstr[[#This Row],[Land]]-TblExplore[[#This Row],[Land Bonus]]*20)</f>
        <v>0.195046439628483</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4881905</v>
      </c>
      <c r="AQ109" s="69" t="n">
        <f aca="false">INDEX(TblProd[[#Headers],[Lumber]]:TblProd[[#This Row],[Ore]],COUNTA(TblProd[[#Headers],[Lumber]]:TblProd[[#This Row],[Lumber]]),MATCH(Military!$AQ$2,TblProd[[#Headers],[Lumber]:[Ore]],0))</f>
        <v>-357</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2420</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26</v>
      </c>
      <c r="CG109" s="288" t="e">
        <f aca="false">MIN(frost_mage_cap,TblMili[[#This Row],[Hill]]/frost_mage_bonus)</f>
        <v>#VALUE!</v>
      </c>
      <c r="CH109" s="151" t="n">
        <f aca="false">MIN(ice_elem_cap,TblMili[[#This Row],[Raw (2)]]*ice_elem_bonus)</f>
        <v>0.0417956656346749</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0.075232198142416</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-0.0835913312693498</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0.0417956656346749</v>
      </c>
      <c r="DF109" s="291" t="n">
        <f aca="false">TblMili[[#This Row],[Raw (2)]]*(1+race_wizard_strength+IF(TblMili[[#This Row],[Hour]]&gt;72,tech_magical_weaponry_wiz*TblTech[[#This Row],[3-5]],0))</f>
        <v>0.0417956656346749</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5744</v>
      </c>
      <c r="C110" s="150" t="n">
        <f aca="false">TblPop[[#This Row],[Military%]]</f>
        <v>0.454107044035102</v>
      </c>
      <c r="D110" s="132"/>
      <c r="E110" s="151" t="n">
        <f aca="false">OFFSET(TblMili[[#This Row],[Unit 1]],-1,0) + OFFSET(TblMili[[#This Row],[Train Unit 1]],-9,0) - TblMili[[#This Row],[Release Unit 1]]</f>
        <v>13</v>
      </c>
      <c r="F110" s="151" t="n">
        <f aca="false">OFFSET(TblMili[[#This Row],[Unit 2]],-1,0) + OFFSET(TblMili[[#This Row],[Train Unit 2]],-9,0)-TblMili[[#This Row],[Release Unit 2]]</f>
        <v>1261</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27</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0.249</v>
      </c>
      <c r="V110" s="274" t="e">
        <f aca="false">TblMili[[#This Row],[Non Draft]] * (1 + TblMili[[#This Row],[Mods_Def]])</f>
        <v>#VALUE!</v>
      </c>
      <c r="W110" s="285" t="e">
        <f aca="false">TblMili[[#This Row],[Draft]] * (1 + TblMili[[#This Row],[Mods_Def]])</f>
        <v>#VALUE!</v>
      </c>
      <c r="X110" s="285" t="n">
        <f aca="false">TblConstr[[#This Row],[Land]]</f>
        <v>646</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2490</v>
      </c>
      <c r="AB110" s="146"/>
      <c r="AC110" s="130" t="n">
        <f aca="false">(TblConstr[[#This Row],[Tot Smi]]+TblConstr[[#This Row],[Dest Smi]])/(TblConstr[[#This Row],[Land]]-TblExplore[[#This Row],[Land Bonus]]*20)</f>
        <v>0.195046439628483</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4985505</v>
      </c>
      <c r="AQ110" s="69" t="n">
        <f aca="false">INDEX(TblProd[[#Headers],[Lumber]]:TblProd[[#This Row],[Ore]],COUNTA(TblProd[[#Headers],[Lumber]]:TblProd[[#This Row],[Lumber]]),MATCH(Military!$AQ$2,TblProd[[#Headers],[Lumber]:[Ore]],0))</f>
        <v>-357</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2490</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26</v>
      </c>
      <c r="CG110" s="288" t="e">
        <f aca="false">MIN(frost_mage_cap,TblMili[[#This Row],[Hill]]/frost_mage_bonus)</f>
        <v>#VALUE!</v>
      </c>
      <c r="CH110" s="151" t="n">
        <f aca="false">MIN(ice_elem_cap,TblMili[[#This Row],[Raw (2)]]*ice_elem_bonus)</f>
        <v>0.0417956656346749</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0.075232198142416</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-0.0835913312693498</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0.0417956656346749</v>
      </c>
      <c r="DF110" s="291" t="n">
        <f aca="false">TblMili[[#This Row],[Raw (2)]]*(1+race_wizard_strength+IF(TblMili[[#This Row],[Hour]]&gt;72,tech_magical_weaponry_wiz*TblTech[[#This Row],[3-5]],0))</f>
        <v>0.0417956656346749</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5813</v>
      </c>
      <c r="C111" s="150" t="n">
        <f aca="false">TblPop[[#This Row],[Military%]]</f>
        <v>0.4595620207131</v>
      </c>
      <c r="D111" s="132"/>
      <c r="E111" s="151" t="n">
        <f aca="false">OFFSET(TblMili[[#This Row],[Unit 1]],-1,0) + OFFSET(TblMili[[#This Row],[Train Unit 1]],-9,0) - TblMili[[#This Row],[Release Unit 1]]</f>
        <v>13</v>
      </c>
      <c r="F111" s="151" t="n">
        <f aca="false">OFFSET(TblMili[[#This Row],[Unit 2]],-1,0) + OFFSET(TblMili[[#This Row],[Train Unit 2]],-9,0)-TblMili[[#This Row],[Release Unit 2]]</f>
        <v>1261</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27</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0.249</v>
      </c>
      <c r="V111" s="274" t="e">
        <f aca="false">TblMili[[#This Row],[Non Draft]] * (1 + TblMili[[#This Row],[Mods_Def]])</f>
        <v>#VALUE!</v>
      </c>
      <c r="W111" s="285" t="e">
        <f aca="false">TblMili[[#This Row],[Draft]] * (1 + TblMili[[#This Row],[Mods_Def]])</f>
        <v>#VALUE!</v>
      </c>
      <c r="X111" s="285" t="n">
        <f aca="false">TblConstr[[#This Row],[Land]]</f>
        <v>646</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2559</v>
      </c>
      <c r="AB111" s="146"/>
      <c r="AC111" s="130" t="n">
        <f aca="false">(TblConstr[[#This Row],[Tot Smi]]+TblConstr[[#This Row],[Dest Smi]])/(TblConstr[[#This Row],[Land]]-TblExplore[[#This Row],[Land Bonus]]*20)</f>
        <v>0.195046439628483</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5088897</v>
      </c>
      <c r="AQ111" s="69" t="n">
        <f aca="false">INDEX(TblProd[[#Headers],[Lumber]]:TblProd[[#This Row],[Ore]],COUNTA(TblProd[[#Headers],[Lumber]]:TblProd[[#This Row],[Lumber]]),MATCH(Military!$AQ$2,TblProd[[#Headers],[Lumber]:[Ore]],0))</f>
        <v>-357</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2559</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26</v>
      </c>
      <c r="CG111" s="288" t="e">
        <f aca="false">MIN(frost_mage_cap,TblMili[[#This Row],[Hill]]/frost_mage_bonus)</f>
        <v>#VALUE!</v>
      </c>
      <c r="CH111" s="151" t="n">
        <f aca="false">MIN(ice_elem_cap,TblMili[[#This Row],[Raw (2)]]*ice_elem_bonus)</f>
        <v>0.0417956656346749</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0.075232198142416</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-0.0835913312693498</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0.0417956656346749</v>
      </c>
      <c r="DF111" s="291" t="n">
        <f aca="false">TblMili[[#This Row],[Raw (2)]]*(1+race_wizard_strength+IF(TblMili[[#This Row],[Hour]]&gt;72,tech_magical_weaponry_wiz*TblTech[[#This Row],[3-5]],0))</f>
        <v>0.0417956656346749</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5881</v>
      </c>
      <c r="C112" s="150" t="n">
        <f aca="false">TblPop[[#This Row],[Military%]]</f>
        <v>0.464937939758084</v>
      </c>
      <c r="D112" s="132"/>
      <c r="E112" s="151" t="n">
        <f aca="false">OFFSET(TblMili[[#This Row],[Unit 1]],-1,0) + OFFSET(TblMili[[#This Row],[Train Unit 1]],-9,0) - TblMili[[#This Row],[Release Unit 1]]</f>
        <v>13</v>
      </c>
      <c r="F112" s="151" t="n">
        <f aca="false">OFFSET(TblMili[[#This Row],[Unit 2]],-1,0) + OFFSET(TblMili[[#This Row],[Train Unit 2]],-9,0)-TblMili[[#This Row],[Release Unit 2]]</f>
        <v>1261</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27</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0.149</v>
      </c>
      <c r="V112" s="274" t="e">
        <f aca="false">TblMili[[#This Row],[Non Draft]] * (1 + TblMili[[#This Row],[Mods_Def]])</f>
        <v>#VALUE!</v>
      </c>
      <c r="W112" s="285" t="e">
        <f aca="false">TblMili[[#This Row],[Draft]] * (1 + TblMili[[#This Row],[Mods_Def]])</f>
        <v>#VALUE!</v>
      </c>
      <c r="X112" s="285" t="n">
        <f aca="false">TblConstr[[#This Row],[Land]]</f>
        <v>646</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2627</v>
      </c>
      <c r="AB112" s="146"/>
      <c r="AC112" s="130" t="n">
        <f aca="false">(TblConstr[[#This Row],[Tot Smi]]+TblConstr[[#This Row],[Dest Smi]])/(TblConstr[[#This Row],[Land]]-TblExplore[[#This Row],[Land Bonus]]*20)</f>
        <v>0.195046439628483</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5192084</v>
      </c>
      <c r="AQ112" s="69" t="n">
        <f aca="false">INDEX(TblProd[[#Headers],[Lumber]]:TblProd[[#This Row],[Ore]],COUNTA(TblProd[[#Headers],[Lumber]]:TblProd[[#This Row],[Lumber]]),MATCH(Military!$AQ$2,TblProd[[#Headers],[Lumber]:[Ore]],0))</f>
        <v>-357</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2627</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26</v>
      </c>
      <c r="CG112" s="288" t="e">
        <f aca="false">MIN(frost_mage_cap,TblMili[[#This Row],[Hill]]/frost_mage_bonus)</f>
        <v>#VALUE!</v>
      </c>
      <c r="CH112" s="151" t="n">
        <f aca="false">MIN(ice_elem_cap,TblMili[[#This Row],[Raw (2)]]*ice_elem_bonus)</f>
        <v>0.0417956656346749</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0.075232198142416</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-0.0835913312693498</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0.0417956656346749</v>
      </c>
      <c r="DF112" s="291" t="n">
        <f aca="false">TblMili[[#This Row],[Raw (2)]]*(1+race_wizard_strength+IF(TblMili[[#This Row],[Hour]]&gt;72,tech_magical_weaponry_wiz*TblTech[[#This Row],[3-5]],0))</f>
        <v>0.0417956656346749</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5949</v>
      </c>
      <c r="C113" s="150" t="n">
        <f aca="false">TblPop[[#This Row],[Military%]]</f>
        <v>0.470313858803067</v>
      </c>
      <c r="D113" s="132"/>
      <c r="E113" s="151" t="n">
        <f aca="false">OFFSET(TblMili[[#This Row],[Unit 1]],-1,0) + OFFSET(TblMili[[#This Row],[Train Unit 1]],-9,0) - TblMili[[#This Row],[Release Unit 1]]</f>
        <v>13</v>
      </c>
      <c r="F113" s="151" t="n">
        <f aca="false">OFFSET(TblMili[[#This Row],[Unit 2]],-1,0) + OFFSET(TblMili[[#This Row],[Train Unit 2]],-9,0)-TblMili[[#This Row],[Release Unit 2]]</f>
        <v>1261</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27</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0.149</v>
      </c>
      <c r="V113" s="274" t="e">
        <f aca="false">TblMili[[#This Row],[Non Draft]] * (1 + TblMili[[#This Row],[Mods_Def]])</f>
        <v>#VALUE!</v>
      </c>
      <c r="W113" s="285" t="e">
        <f aca="false">TblMili[[#This Row],[Draft]] * (1 + TblMili[[#This Row],[Mods_Def]])</f>
        <v>#VALUE!</v>
      </c>
      <c r="X113" s="285" t="n">
        <f aca="false">TblConstr[[#This Row],[Land]]</f>
        <v>646</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2695</v>
      </c>
      <c r="AB113" s="146"/>
      <c r="AC113" s="130" t="n">
        <f aca="false">(TblConstr[[#This Row],[Tot Smi]]+TblConstr[[#This Row],[Dest Smi]])/(TblConstr[[#This Row],[Land]]-TblExplore[[#This Row],[Land Bonus]]*20)</f>
        <v>0.195046439628483</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5288072</v>
      </c>
      <c r="AQ113" s="69" t="n">
        <f aca="false">INDEX(TblProd[[#Headers],[Lumber]]:TblProd[[#This Row],[Ore]],COUNTA(TblProd[[#Headers],[Lumber]]:TblProd[[#This Row],[Lumber]]),MATCH(Military!$AQ$2,TblProd[[#Headers],[Lumber]:[Ore]],0))</f>
        <v>-357</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2695</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26</v>
      </c>
      <c r="CG113" s="288" t="e">
        <f aca="false">MIN(frost_mage_cap,TblMili[[#This Row],[Hill]]/frost_mage_bonus)</f>
        <v>#VALUE!</v>
      </c>
      <c r="CH113" s="151" t="n">
        <f aca="false">MIN(ice_elem_cap,TblMili[[#This Row],[Raw (2)]]*ice_elem_bonus)</f>
        <v>0.0417956656346749</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0.075232198142416</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-0.0835913312693498</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0.0417956656346749</v>
      </c>
      <c r="DF113" s="291" t="n">
        <f aca="false">TblMili[[#This Row],[Raw (2)]]*(1+race_wizard_strength+IF(TblMili[[#This Row],[Hour]]&gt;72,tech_magical_weaponry_wiz*TblTech[[#This Row],[3-5]],0))</f>
        <v>0.0417956656346749</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6016</v>
      </c>
      <c r="C114" s="150" t="n">
        <f aca="false">TblPop[[#This Row],[Military%]]</f>
        <v>0.475610720215037</v>
      </c>
      <c r="D114" s="132"/>
      <c r="E114" s="151" t="n">
        <f aca="false">OFFSET(TblMili[[#This Row],[Unit 1]],-1,0) + OFFSET(TblMili[[#This Row],[Train Unit 1]],-9,0) - TblMili[[#This Row],[Release Unit 1]]</f>
        <v>13</v>
      </c>
      <c r="F114" s="151" t="n">
        <f aca="false">OFFSET(TblMili[[#This Row],[Unit 2]],-1,0) + OFFSET(TblMili[[#This Row],[Train Unit 2]],-9,0)-TblMili[[#This Row],[Release Unit 2]]</f>
        <v>1261</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27</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0.149</v>
      </c>
      <c r="V114" s="274" t="e">
        <f aca="false">TblMili[[#This Row],[Non Draft]] * (1 + TblMili[[#This Row],[Mods_Def]])</f>
        <v>#VALUE!</v>
      </c>
      <c r="W114" s="285" t="e">
        <f aca="false">TblMili[[#This Row],[Draft]] * (1 + TblMili[[#This Row],[Mods_Def]])</f>
        <v>#VALUE!</v>
      </c>
      <c r="X114" s="285" t="n">
        <f aca="false">TblConstr[[#This Row],[Land]]</f>
        <v>646</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2762</v>
      </c>
      <c r="AB114" s="146"/>
      <c r="AC114" s="130" t="n">
        <f aca="false">(TblConstr[[#This Row],[Tot Smi]]+TblConstr[[#This Row],[Dest Smi]])/(TblConstr[[#This Row],[Land]]-TblExplore[[#This Row],[Land Bonus]]*20)</f>
        <v>0.195046439628483</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5383877</v>
      </c>
      <c r="AQ114" s="69" t="n">
        <f aca="false">INDEX(TblProd[[#Headers],[Lumber]]:TblProd[[#This Row],[Ore]],COUNTA(TblProd[[#Headers],[Lumber]]:TblProd[[#This Row],[Lumber]]),MATCH(Military!$AQ$2,TblProd[[#Headers],[Lumber]:[Ore]],0))</f>
        <v>-357</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2762</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26</v>
      </c>
      <c r="CG114" s="288" t="e">
        <f aca="false">MIN(frost_mage_cap,TblMili[[#This Row],[Hill]]/frost_mage_bonus)</f>
        <v>#VALUE!</v>
      </c>
      <c r="CH114" s="151" t="n">
        <f aca="false">MIN(ice_elem_cap,TblMili[[#This Row],[Raw (2)]]*ice_elem_bonus)</f>
        <v>0.0417956656346749</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0.075232198142416</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-0.0835913312693498</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0.0417956656346749</v>
      </c>
      <c r="DF114" s="291" t="n">
        <f aca="false">TblMili[[#This Row],[Raw (2)]]*(1+race_wizard_strength+IF(TblMili[[#This Row],[Hour]]&gt;72,tech_magical_weaponry_wiz*TblTech[[#This Row],[3-5]],0))</f>
        <v>0.0417956656346749</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6082</v>
      </c>
      <c r="C115" s="150" t="n">
        <f aca="false">TblPop[[#This Row],[Military%]]</f>
        <v>0.480828523993992</v>
      </c>
      <c r="D115" s="132"/>
      <c r="E115" s="151" t="n">
        <f aca="false">OFFSET(TblMili[[#This Row],[Unit 1]],-1,0) + OFFSET(TblMili[[#This Row],[Train Unit 1]],-9,0) - TblMili[[#This Row],[Release Unit 1]]</f>
        <v>13</v>
      </c>
      <c r="F115" s="151" t="n">
        <f aca="false">OFFSET(TblMili[[#This Row],[Unit 2]],-1,0) + OFFSET(TblMili[[#This Row],[Train Unit 2]],-9,0)-TblMili[[#This Row],[Release Unit 2]]</f>
        <v>1261</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27</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0.149</v>
      </c>
      <c r="V115" s="274" t="e">
        <f aca="false">TblMili[[#This Row],[Non Draft]] * (1 + TblMili[[#This Row],[Mods_Def]])</f>
        <v>#VALUE!</v>
      </c>
      <c r="W115" s="285" t="e">
        <f aca="false">TblMili[[#This Row],[Draft]] * (1 + TblMili[[#This Row],[Mods_Def]])</f>
        <v>#VALUE!</v>
      </c>
      <c r="X115" s="285" t="n">
        <f aca="false">TblConstr[[#This Row],[Land]]</f>
        <v>646</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2828</v>
      </c>
      <c r="AB115" s="146"/>
      <c r="AC115" s="130" t="n">
        <f aca="false">(TblConstr[[#This Row],[Tot Smi]]+TblConstr[[#This Row],[Dest Smi]])/(TblConstr[[#This Row],[Land]]-TblExplore[[#This Row],[Land Bonus]]*20)</f>
        <v>0.195046439628483</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5479501</v>
      </c>
      <c r="AQ115" s="69" t="n">
        <f aca="false">INDEX(TblProd[[#Headers],[Lumber]]:TblProd[[#This Row],[Ore]],COUNTA(TblProd[[#Headers],[Lumber]]:TblProd[[#This Row],[Lumber]]),MATCH(Military!$AQ$2,TblProd[[#Headers],[Lumber]:[Ore]],0))</f>
        <v>-357</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2828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26</v>
      </c>
      <c r="CG115" s="288" t="e">
        <f aca="false">MIN(frost_mage_cap,TblMili[[#This Row],[Hill]]/frost_mage_bonus)</f>
        <v>#VALUE!</v>
      </c>
      <c r="CH115" s="151" t="n">
        <f aca="false">MIN(ice_elem_cap,TblMili[[#This Row],[Raw (2)]]*ice_elem_bonus)</f>
        <v>0.0417956656346749</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0.075232198142416</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-0.0835913312693498</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0.0417956656346749</v>
      </c>
      <c r="DF115" s="291" t="n">
        <f aca="false">TblMili[[#This Row],[Raw (2)]]*(1+race_wizard_strength+IF(TblMili[[#This Row],[Hour]]&gt;72,tech_magical_weaponry_wiz*TblTech[[#This Row],[3-5]],0))</f>
        <v>0.0417956656346749</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6148</v>
      </c>
      <c r="C116" s="150" t="n">
        <f aca="false">TblPop[[#This Row],[Military%]]</f>
        <v>0.486046327772947</v>
      </c>
      <c r="D116" s="132"/>
      <c r="E116" s="151" t="n">
        <f aca="false">OFFSET(TblMili[[#This Row],[Unit 1]],-1,0) + OFFSET(TblMili[[#This Row],[Train Unit 1]],-9,0) - TblMili[[#This Row],[Release Unit 1]]</f>
        <v>13</v>
      </c>
      <c r="F116" s="151" t="n">
        <f aca="false">OFFSET(TblMili[[#This Row],[Unit 2]],-1,0) + OFFSET(TblMili[[#This Row],[Train Unit 2]],-9,0)-TblMili[[#This Row],[Release Unit 2]]</f>
        <v>1261</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27</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0.149</v>
      </c>
      <c r="V116" s="274" t="e">
        <f aca="false">TblMili[[#This Row],[Non Draft]] * (1 + TblMili[[#This Row],[Mods_Def]])</f>
        <v>#VALUE!</v>
      </c>
      <c r="W116" s="285" t="e">
        <f aca="false">TblMili[[#This Row],[Draft]] * (1 + TblMili[[#This Row],[Mods_Def]])</f>
        <v>#VALUE!</v>
      </c>
      <c r="X116" s="285" t="n">
        <f aca="false">TblConstr[[#This Row],[Land]]</f>
        <v>646</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2894</v>
      </c>
      <c r="AB116" s="146"/>
      <c r="AC116" s="130" t="n">
        <f aca="false">(TblConstr[[#This Row],[Tot Smi]]+TblConstr[[#This Row],[Dest Smi]])/(TblConstr[[#This Row],[Land]]-TblExplore[[#This Row],[Land Bonus]]*20)</f>
        <v>0.195046439628483</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5574946</v>
      </c>
      <c r="AQ116" s="69" t="n">
        <f aca="false">INDEX(TblProd[[#Headers],[Lumber]]:TblProd[[#This Row],[Ore]],COUNTA(TblProd[[#Headers],[Lumber]]:TblProd[[#This Row],[Lumber]]),MATCH(Military!$AQ$2,TblProd[[#Headers],[Lumber]:[Ore]],0))</f>
        <v>-357</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2894</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26</v>
      </c>
      <c r="CG116" s="288" t="e">
        <f aca="false">MIN(frost_mage_cap,TblMili[[#This Row],[Hill]]/frost_mage_bonus)</f>
        <v>#VALUE!</v>
      </c>
      <c r="CH116" s="151" t="n">
        <f aca="false">MIN(ice_elem_cap,TblMili[[#This Row],[Raw (2)]]*ice_elem_bonus)</f>
        <v>0.0417956656346749</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0.075232198142416</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-0.0835913312693498</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0.0417956656346749</v>
      </c>
      <c r="DF116" s="291" t="n">
        <f aca="false">TblMili[[#This Row],[Raw (2)]]*(1+race_wizard_strength+IF(TblMili[[#This Row],[Hour]]&gt;72,tech_magical_weaponry_wiz*TblTech[[#This Row],[3-5]],0))</f>
        <v>0.0417956656346749</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6213</v>
      </c>
      <c r="C117" s="150" t="n">
        <f aca="false">TblPop[[#This Row],[Military%]]</f>
        <v>0.491185073918887</v>
      </c>
      <c r="D117" s="132"/>
      <c r="E117" s="151" t="n">
        <f aca="false">OFFSET(TblMili[[#This Row],[Unit 1]],-1,0) + OFFSET(TblMili[[#This Row],[Train Unit 1]],-9,0) - TblMili[[#This Row],[Release Unit 1]]</f>
        <v>13</v>
      </c>
      <c r="F117" s="151" t="n">
        <f aca="false">OFFSET(TblMili[[#This Row],[Unit 2]],-1,0) + OFFSET(TblMili[[#This Row],[Train Unit 2]],-9,0)-TblMili[[#This Row],[Release Unit 2]]</f>
        <v>1261</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27</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0.149</v>
      </c>
      <c r="V117" s="274" t="e">
        <f aca="false">TblMili[[#This Row],[Non Draft]] * (1 + TblMili[[#This Row],[Mods_Def]])</f>
        <v>#VALUE!</v>
      </c>
      <c r="W117" s="285" t="e">
        <f aca="false">TblMili[[#This Row],[Draft]] * (1 + TblMili[[#This Row],[Mods_Def]])</f>
        <v>#VALUE!</v>
      </c>
      <c r="X117" s="285" t="n">
        <f aca="false">TblConstr[[#This Row],[Land]]</f>
        <v>646</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2959</v>
      </c>
      <c r="AB117" s="146"/>
      <c r="AC117" s="130" t="n">
        <f aca="false">(TblConstr[[#This Row],[Tot Smi]]+TblConstr[[#This Row],[Dest Smi]])/(TblConstr[[#This Row],[Land]]-TblExplore[[#This Row],[Land Bonus]]*20)</f>
        <v>0.195046439628483</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5670213</v>
      </c>
      <c r="AQ117" s="69" t="n">
        <f aca="false">INDEX(TblProd[[#Headers],[Lumber]]:TblProd[[#This Row],[Ore]],COUNTA(TblProd[[#Headers],[Lumber]]:TblProd[[#This Row],[Lumber]]),MATCH(Military!$AQ$2,TblProd[[#Headers],[Lumber]:[Ore]],0))</f>
        <v>-357</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2959</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26</v>
      </c>
      <c r="CG117" s="288" t="e">
        <f aca="false">MIN(frost_mage_cap,TblMili[[#This Row],[Hill]]/frost_mage_bonus)</f>
        <v>#VALUE!</v>
      </c>
      <c r="CH117" s="151" t="n">
        <f aca="false">MIN(ice_elem_cap,TblMili[[#This Row],[Raw (2)]]*ice_elem_bonus)</f>
        <v>0.0417956656346749</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0.075232198142416</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-0.0835913312693498</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0.0417956656346749</v>
      </c>
      <c r="DF117" s="291" t="n">
        <f aca="false">TblMili[[#This Row],[Raw (2)]]*(1+race_wizard_strength+IF(TblMili[[#This Row],[Hour]]&gt;72,tech_magical_weaponry_wiz*TblTech[[#This Row],[3-5]],0))</f>
        <v>0.0417956656346749</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6277</v>
      </c>
      <c r="C118" s="150" t="n">
        <f aca="false">TblPop[[#This Row],[Military%]]</f>
        <v>0.496244762431813</v>
      </c>
      <c r="D118" s="132"/>
      <c r="E118" s="151" t="n">
        <f aca="false">OFFSET(TblMili[[#This Row],[Unit 1]],-1,0) + OFFSET(TblMili[[#This Row],[Train Unit 1]],-9,0) - TblMili[[#This Row],[Release Unit 1]]</f>
        <v>13</v>
      </c>
      <c r="F118" s="151" t="n">
        <f aca="false">OFFSET(TblMili[[#This Row],[Unit 2]],-1,0) + OFFSET(TblMili[[#This Row],[Train Unit 2]],-9,0)-TblMili[[#This Row],[Release Unit 2]]</f>
        <v>1261</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27</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0.149</v>
      </c>
      <c r="V118" s="274" t="e">
        <f aca="false">TblMili[[#This Row],[Non Draft]] * (1 + TblMili[[#This Row],[Mods_Def]])</f>
        <v>#VALUE!</v>
      </c>
      <c r="W118" s="285" t="e">
        <f aca="false">TblMili[[#This Row],[Draft]] * (1 + TblMili[[#This Row],[Mods_Def]])</f>
        <v>#VALUE!</v>
      </c>
      <c r="X118" s="285" t="n">
        <f aca="false">TblConstr[[#This Row],[Land]]</f>
        <v>646</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3023</v>
      </c>
      <c r="AB118" s="146"/>
      <c r="AC118" s="130" t="n">
        <f aca="false">(TblConstr[[#This Row],[Tot Smi]]+TblConstr[[#This Row],[Dest Smi]])/(TblConstr[[#This Row],[Land]]-TblExplore[[#This Row],[Land Bonus]]*20)</f>
        <v>0.195046439628483</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5765305</v>
      </c>
      <c r="AQ118" s="69" t="n">
        <f aca="false">INDEX(TblProd[[#Headers],[Lumber]]:TblProd[[#This Row],[Ore]],COUNTA(TblProd[[#Headers],[Lumber]]:TblProd[[#This Row],[Lumber]]),MATCH(Military!$AQ$2,TblProd[[#Headers],[Lumber]:[Ore]],0))</f>
        <v>-357</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3023</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26</v>
      </c>
      <c r="CG118" s="288" t="e">
        <f aca="false">MIN(frost_mage_cap,TblMili[[#This Row],[Hill]]/frost_mage_bonus)</f>
        <v>#VALUE!</v>
      </c>
      <c r="CH118" s="151" t="n">
        <f aca="false">MIN(ice_elem_cap,TblMili[[#This Row],[Raw (2)]]*ice_elem_bonus)</f>
        <v>0.0417956656346749</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0.075232198142416</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-0.0835913312693498</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0.0417956656346749</v>
      </c>
      <c r="DF118" s="291" t="n">
        <f aca="false">TblMili[[#This Row],[Raw (2)]]*(1+race_wizard_strength+IF(TblMili[[#This Row],[Hour]]&gt;72,tech_magical_weaponry_wiz*TblTech[[#This Row],[3-5]],0))</f>
        <v>0.0417956656346749</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6341</v>
      </c>
      <c r="C119" s="150" t="n">
        <f aca="false">TblPop[[#This Row],[Military%]]</f>
        <v>0.501304450944739</v>
      </c>
      <c r="D119" s="132"/>
      <c r="E119" s="151" t="n">
        <f aca="false">OFFSET(TblMili[[#This Row],[Unit 1]],-1,0) + OFFSET(TblMili[[#This Row],[Train Unit 1]],-9,0) - TblMili[[#This Row],[Release Unit 1]]</f>
        <v>13</v>
      </c>
      <c r="F119" s="151" t="n">
        <f aca="false">OFFSET(TblMili[[#This Row],[Unit 2]],-1,0) + OFFSET(TblMili[[#This Row],[Train Unit 2]],-9,0)-TblMili[[#This Row],[Release Unit 2]]</f>
        <v>1261</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27</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0.149</v>
      </c>
      <c r="V119" s="274" t="e">
        <f aca="false">TblMili[[#This Row],[Non Draft]] * (1 + TblMili[[#This Row],[Mods_Def]])</f>
        <v>#VALUE!</v>
      </c>
      <c r="W119" s="285" t="e">
        <f aca="false">TblMili[[#This Row],[Draft]] * (1 + TblMili[[#This Row],[Mods_Def]])</f>
        <v>#VALUE!</v>
      </c>
      <c r="X119" s="285" t="n">
        <f aca="false">TblConstr[[#This Row],[Land]]</f>
        <v>646</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3087</v>
      </c>
      <c r="AB119" s="146"/>
      <c r="AC119" s="130" t="n">
        <f aca="false">(TblConstr[[#This Row],[Tot Smi]]+TblConstr[[#This Row],[Dest Smi]])/(TblConstr[[#This Row],[Land]]-TblExplore[[#This Row],[Land Bonus]]*20)</f>
        <v>0.195046439628483</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5860224</v>
      </c>
      <c r="AQ119" s="69" t="n">
        <f aca="false">INDEX(TblProd[[#Headers],[Lumber]]:TblProd[[#This Row],[Ore]],COUNTA(TblProd[[#Headers],[Lumber]]:TblProd[[#This Row],[Lumber]]),MATCH(Military!$AQ$2,TblProd[[#Headers],[Lumber]:[Ore]],0))</f>
        <v>-357</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3087</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26</v>
      </c>
      <c r="CG119" s="288" t="e">
        <f aca="false">MIN(frost_mage_cap,TblMili[[#This Row],[Hill]]/frost_mage_bonus)</f>
        <v>#VALUE!</v>
      </c>
      <c r="CH119" s="151" t="n">
        <f aca="false">MIN(ice_elem_cap,TblMili[[#This Row],[Raw (2)]]*ice_elem_bonus)</f>
        <v>0.0417956656346749</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0.075232198142416</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-0.0835913312693498</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0.0417956656346749</v>
      </c>
      <c r="DF119" s="291" t="n">
        <f aca="false">TblMili[[#This Row],[Raw (2)]]*(1+race_wizard_strength+IF(TblMili[[#This Row],[Hour]]&gt;72,tech_magical_weaponry_wiz*TblTech[[#This Row],[3-5]],0))</f>
        <v>0.0417956656346749</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6404</v>
      </c>
      <c r="C120" s="150" t="n">
        <f aca="false">TblPop[[#This Row],[Military%]]</f>
        <v>0.50628508182465</v>
      </c>
      <c r="D120" s="132"/>
      <c r="E120" s="151" t="n">
        <f aca="false">OFFSET(TblMili[[#This Row],[Unit 1]],-1,0) + OFFSET(TblMili[[#This Row],[Train Unit 1]],-9,0) - TblMili[[#This Row],[Release Unit 1]]</f>
        <v>13</v>
      </c>
      <c r="F120" s="151" t="n">
        <f aca="false">OFFSET(TblMili[[#This Row],[Unit 2]],-1,0) + OFFSET(TblMili[[#This Row],[Train Unit 2]],-9,0)-TblMili[[#This Row],[Release Unit 2]]</f>
        <v>1261</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27</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0.149</v>
      </c>
      <c r="V120" s="274" t="e">
        <f aca="false">TblMili[[#This Row],[Non Draft]] * (1 + TblMili[[#This Row],[Mods_Def]])</f>
        <v>#VALUE!</v>
      </c>
      <c r="W120" s="285" t="e">
        <f aca="false">TblMili[[#This Row],[Draft]] * (1 + TblMili[[#This Row],[Mods_Def]])</f>
        <v>#VALUE!</v>
      </c>
      <c r="X120" s="285" t="n">
        <f aca="false">TblConstr[[#This Row],[Land]]</f>
        <v>646</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3150</v>
      </c>
      <c r="AB120" s="146"/>
      <c r="AC120" s="130" t="n">
        <f aca="false">(TblConstr[[#This Row],[Tot Smi]]+TblConstr[[#This Row],[Dest Smi]])/(TblConstr[[#This Row],[Land]]-TblExplore[[#This Row],[Land Bonus]]*20)</f>
        <v>0.195046439628483</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5954970</v>
      </c>
      <c r="AQ120" s="69" t="n">
        <f aca="false">INDEX(TblProd[[#Headers],[Lumber]]:TblProd[[#This Row],[Ore]],COUNTA(TblProd[[#Headers],[Lumber]]:TblProd[[#This Row],[Lumber]]),MATCH(Military!$AQ$2,TblProd[[#Headers],[Lumber]:[Ore]],0))</f>
        <v>-357</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3150</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26</v>
      </c>
      <c r="CG120" s="288" t="e">
        <f aca="false">MIN(frost_mage_cap,TblMili[[#This Row],[Hill]]/frost_mage_bonus)</f>
        <v>#VALUE!</v>
      </c>
      <c r="CH120" s="151" t="n">
        <f aca="false">MIN(ice_elem_cap,TblMili[[#This Row],[Raw (2)]]*ice_elem_bonus)</f>
        <v>0.0417956656346749</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0.075232198142416</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-0.0835913312693498</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0.0417956656346749</v>
      </c>
      <c r="DF120" s="291" t="n">
        <f aca="false">TblMili[[#This Row],[Raw (2)]]*(1+race_wizard_strength+IF(TblMili[[#This Row],[Hour]]&gt;72,tech_magical_weaponry_wiz*TblTech[[#This Row],[3-5]],0))</f>
        <v>0.0417956656346749</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6466</v>
      </c>
      <c r="C121" s="150" t="n">
        <f aca="false">TblPop[[#This Row],[Military%]]</f>
        <v>0.511186655071547</v>
      </c>
      <c r="D121" s="132"/>
      <c r="E121" s="151" t="n">
        <f aca="false">OFFSET(TblMili[[#This Row],[Unit 1]],-1,0) + OFFSET(TblMili[[#This Row],[Train Unit 1]],-9,0) - TblMili[[#This Row],[Release Unit 1]]</f>
        <v>13</v>
      </c>
      <c r="F121" s="151" t="n">
        <f aca="false">OFFSET(TblMili[[#This Row],[Unit 2]],-1,0) + OFFSET(TblMili[[#This Row],[Train Unit 2]],-9,0)-TblMili[[#This Row],[Release Unit 2]]</f>
        <v>1261</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27</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0.149</v>
      </c>
      <c r="V121" s="274" t="e">
        <f aca="false">TblMili[[#This Row],[Non Draft]] * (1 + TblMili[[#This Row],[Mods_Def]])</f>
        <v>#VALUE!</v>
      </c>
      <c r="W121" s="285" t="e">
        <f aca="false">TblMili[[#This Row],[Draft]] * (1 + TblMili[[#This Row],[Mods_Def]])</f>
        <v>#VALUE!</v>
      </c>
      <c r="X121" s="285" t="n">
        <f aca="false">TblConstr[[#This Row],[Land]]</f>
        <v>646</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3212</v>
      </c>
      <c r="AB121" s="146"/>
      <c r="AC121" s="130" t="n">
        <f aca="false">(TblConstr[[#This Row],[Tot Smi]]+TblConstr[[#This Row],[Dest Smi]])/(TblConstr[[#This Row],[Land]]-TblExplore[[#This Row],[Land Bonus]]*20)</f>
        <v>0.195046439628483</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6049546</v>
      </c>
      <c r="AQ121" s="69" t="n">
        <f aca="false">INDEX(TblProd[[#Headers],[Lumber]]:TblProd[[#This Row],[Ore]],COUNTA(TblProd[[#Headers],[Lumber]]:TblProd[[#This Row],[Lumber]]),MATCH(Military!$AQ$2,TblProd[[#Headers],[Lumber]:[Ore]],0))</f>
        <v>-357</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3212</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26</v>
      </c>
      <c r="CG121" s="288" t="e">
        <f aca="false">MIN(frost_mage_cap,TblMili[[#This Row],[Hill]]/frost_mage_bonus)</f>
        <v>#VALUE!</v>
      </c>
      <c r="CH121" s="151" t="n">
        <f aca="false">MIN(ice_elem_cap,TblMili[[#This Row],[Raw (2)]]*ice_elem_bonus)</f>
        <v>0.0417956656346749</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0.075232198142416</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-0.0835913312693498</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0.0417956656346749</v>
      </c>
      <c r="DF121" s="291" t="n">
        <f aca="false">TblMili[[#This Row],[Raw (2)]]*(1+race_wizard_strength+IF(TblMili[[#This Row],[Hour]]&gt;72,tech_magical_weaponry_wiz*TblTech[[#This Row],[3-5]],0))</f>
        <v>0.0417956656346749</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6528</v>
      </c>
      <c r="C122" s="150" t="n">
        <f aca="false">TblPop[[#This Row],[Military%]]</f>
        <v>0.516088228318444</v>
      </c>
      <c r="D122" s="132"/>
      <c r="E122" s="151" t="n">
        <f aca="false">OFFSET(TblMili[[#This Row],[Unit 1]],-1,0) + OFFSET(TblMili[[#This Row],[Train Unit 1]],-9,0) - TblMili[[#This Row],[Release Unit 1]]</f>
        <v>13</v>
      </c>
      <c r="F122" s="151" t="n">
        <f aca="false">OFFSET(TblMili[[#This Row],[Unit 2]],-1,0) + OFFSET(TblMili[[#This Row],[Train Unit 2]],-9,0)-TblMili[[#This Row],[Release Unit 2]]</f>
        <v>1261</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27</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0.149</v>
      </c>
      <c r="V122" s="274" t="e">
        <f aca="false">TblMili[[#This Row],[Non Draft]] * (1 + TblMili[[#This Row],[Mods_Def]])</f>
        <v>#VALUE!</v>
      </c>
      <c r="W122" s="285" t="e">
        <f aca="false">TblMili[[#This Row],[Draft]] * (1 + TblMili[[#This Row],[Mods_Def]])</f>
        <v>#VALUE!</v>
      </c>
      <c r="X122" s="285" t="n">
        <f aca="false">TblConstr[[#This Row],[Land]]</f>
        <v>646</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3274</v>
      </c>
      <c r="AB122" s="146"/>
      <c r="AC122" s="130" t="n">
        <f aca="false">(TblConstr[[#This Row],[Tot Smi]]+TblConstr[[#This Row],[Dest Smi]])/(TblConstr[[#This Row],[Land]]-TblExplore[[#This Row],[Land Bonus]]*20)</f>
        <v>0.195046439628483</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6143955</v>
      </c>
      <c r="AQ122" s="69" t="n">
        <f aca="false">INDEX(TblProd[[#Headers],[Lumber]]:TblProd[[#This Row],[Ore]],COUNTA(TblProd[[#Headers],[Lumber]]:TblProd[[#This Row],[Lumber]]),MATCH(Military!$AQ$2,TblProd[[#Headers],[Lumber]:[Ore]],0))</f>
        <v>-357</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3274</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26</v>
      </c>
      <c r="CG122" s="288" t="e">
        <f aca="false">MIN(frost_mage_cap,TblMili[[#This Row],[Hill]]/frost_mage_bonus)</f>
        <v>#VALUE!</v>
      </c>
      <c r="CH122" s="151" t="n">
        <f aca="false">MIN(ice_elem_cap,TblMili[[#This Row],[Raw (2)]]*ice_elem_bonus)</f>
        <v>0.0417956656346749</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0.075232198142416</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-0.0835913312693498</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0.0417956656346749</v>
      </c>
      <c r="DF122" s="291" t="n">
        <f aca="false">TblMili[[#This Row],[Raw (2)]]*(1+race_wizard_strength+IF(TblMili[[#This Row],[Hour]]&gt;72,tech_magical_weaponry_wiz*TblTech[[#This Row],[3-5]],0))</f>
        <v>0.0417956656346749</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6589</v>
      </c>
      <c r="C123" s="150" t="n">
        <f aca="false">TblPop[[#This Row],[Military%]]</f>
        <v>0.520910743932327</v>
      </c>
      <c r="D123" s="132"/>
      <c r="E123" s="151" t="n">
        <f aca="false">OFFSET(TblMili[[#This Row],[Unit 1]],-1,0) + OFFSET(TblMili[[#This Row],[Train Unit 1]],-9,0) - TblMili[[#This Row],[Release Unit 1]]</f>
        <v>13</v>
      </c>
      <c r="F123" s="151" t="n">
        <f aca="false">OFFSET(TblMili[[#This Row],[Unit 2]],-1,0) + OFFSET(TblMili[[#This Row],[Train Unit 2]],-9,0)-TblMili[[#This Row],[Release Unit 2]]</f>
        <v>1261</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27</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0.149</v>
      </c>
      <c r="V123" s="274" t="e">
        <f aca="false">TblMili[[#This Row],[Non Draft]] * (1 + TblMili[[#This Row],[Mods_Def]])</f>
        <v>#VALUE!</v>
      </c>
      <c r="W123" s="285" t="e">
        <f aca="false">TblMili[[#This Row],[Draft]] * (1 + TblMili[[#This Row],[Mods_Def]])</f>
        <v>#VALUE!</v>
      </c>
      <c r="X123" s="285" t="n">
        <f aca="false">TblConstr[[#This Row],[Land]]</f>
        <v>646</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3335</v>
      </c>
      <c r="AB123" s="146"/>
      <c r="AC123" s="130" t="n">
        <f aca="false">(TblConstr[[#This Row],[Tot Smi]]+TblConstr[[#This Row],[Dest Smi]])/(TblConstr[[#This Row],[Land]]-TblExplore[[#This Row],[Land Bonus]]*20)</f>
        <v>0.195046439628483</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6238196</v>
      </c>
      <c r="AQ123" s="69" t="n">
        <f aca="false">INDEX(TblProd[[#Headers],[Lumber]]:TblProd[[#This Row],[Ore]],COUNTA(TblProd[[#Headers],[Lumber]]:TblProd[[#This Row],[Lumber]]),MATCH(Military!$AQ$2,TblProd[[#Headers],[Lumber]:[Ore]],0))</f>
        <v>-357</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3335</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26</v>
      </c>
      <c r="CG123" s="288" t="e">
        <f aca="false">MIN(frost_mage_cap,TblMili[[#This Row],[Hill]]/frost_mage_bonus)</f>
        <v>#VALUE!</v>
      </c>
      <c r="CH123" s="151" t="n">
        <f aca="false">MIN(ice_elem_cap,TblMili[[#This Row],[Raw (2)]]*ice_elem_bonus)</f>
        <v>0.0417956656346749</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0.075232198142416</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-0.0835913312693498</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0.0417956656346749</v>
      </c>
      <c r="DF123" s="291" t="n">
        <f aca="false">TblMili[[#This Row],[Raw (2)]]*(1+race_wizard_strength+IF(TblMili[[#This Row],[Hour]]&gt;72,tech_magical_weaponry_wiz*TblTech[[#This Row],[3-5]],0))</f>
        <v>0.0417956656346749</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6650</v>
      </c>
      <c r="C124" s="150" t="n">
        <f aca="false">TblPop[[#This Row],[Military%]]</f>
        <v>0.525733259546209</v>
      </c>
      <c r="D124" s="132"/>
      <c r="E124" s="151" t="n">
        <f aca="false">OFFSET(TblMili[[#This Row],[Unit 1]],-1,0) + OFFSET(TblMili[[#This Row],[Train Unit 1]],-9,0) - TblMili[[#This Row],[Release Unit 1]]</f>
        <v>13</v>
      </c>
      <c r="F124" s="151" t="n">
        <f aca="false">OFFSET(TblMili[[#This Row],[Unit 2]],-1,0) + OFFSET(TblMili[[#This Row],[Train Unit 2]],-9,0)-TblMili[[#This Row],[Release Unit 2]]</f>
        <v>1261</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27</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0.149</v>
      </c>
      <c r="V124" s="274" t="e">
        <f aca="false">TblMili[[#This Row],[Non Draft]] * (1 + TblMili[[#This Row],[Mods_Def]])</f>
        <v>#VALUE!</v>
      </c>
      <c r="W124" s="285" t="e">
        <f aca="false">TblMili[[#This Row],[Draft]] * (1 + TblMili[[#This Row],[Mods_Def]])</f>
        <v>#VALUE!</v>
      </c>
      <c r="X124" s="285" t="n">
        <f aca="false">TblConstr[[#This Row],[Land]]</f>
        <v>646</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3396</v>
      </c>
      <c r="AB124" s="146"/>
      <c r="AC124" s="130" t="n">
        <f aca="false">(TblConstr[[#This Row],[Tot Smi]]+TblConstr[[#This Row],[Dest Smi]])/(TblConstr[[#This Row],[Land]]-TblExplore[[#This Row],[Land Bonus]]*20)</f>
        <v>0.195046439628483</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6332273</v>
      </c>
      <c r="AQ124" s="69" t="n">
        <f aca="false">INDEX(TblProd[[#Headers],[Lumber]]:TblProd[[#This Row],[Ore]],COUNTA(TblProd[[#Headers],[Lumber]]:TblProd[[#This Row],[Lumber]]),MATCH(Military!$AQ$2,TblProd[[#Headers],[Lumber]:[Ore]],0))</f>
        <v>-357</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3396</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26</v>
      </c>
      <c r="CG124" s="288" t="e">
        <f aca="false">MIN(frost_mage_cap,TblMili[[#This Row],[Hill]]/frost_mage_bonus)</f>
        <v>#VALUE!</v>
      </c>
      <c r="CH124" s="151" t="n">
        <f aca="false">MIN(ice_elem_cap,TblMili[[#This Row],[Raw (2)]]*ice_elem_bonus)</f>
        <v>0.0417956656346749</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0.075232198142416</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-0.0835913312693498</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0.0417956656346749</v>
      </c>
      <c r="DF124" s="291" t="n">
        <f aca="false">TblMili[[#This Row],[Raw (2)]]*(1+race_wizard_strength+IF(TblMili[[#This Row],[Hour]]&gt;72,tech_magical_weaponry_wiz*TblTech[[#This Row],[3-5]],0))</f>
        <v>0.0417956656346749</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6710</v>
      </c>
      <c r="C125" s="150" t="n">
        <f aca="false">TblPop[[#This Row],[Military%]]</f>
        <v>0.530476717527077</v>
      </c>
      <c r="D125" s="132"/>
      <c r="E125" s="151" t="n">
        <f aca="false">OFFSET(TblMili[[#This Row],[Unit 1]],-1,0) + OFFSET(TblMili[[#This Row],[Train Unit 1]],-9,0) - TblMili[[#This Row],[Release Unit 1]]</f>
        <v>13</v>
      </c>
      <c r="F125" s="151" t="n">
        <f aca="false">OFFSET(TblMili[[#This Row],[Unit 2]],-1,0) + OFFSET(TblMili[[#This Row],[Train Unit 2]],-9,0)-TblMili[[#This Row],[Release Unit 2]]</f>
        <v>1261</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27</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0.149</v>
      </c>
      <c r="V125" s="274" t="e">
        <f aca="false">TblMili[[#This Row],[Non Draft]] * (1 + TblMili[[#This Row],[Mods_Def]])</f>
        <v>#VALUE!</v>
      </c>
      <c r="W125" s="285" t="e">
        <f aca="false">TblMili[[#This Row],[Draft]] * (1 + TblMili[[#This Row],[Mods_Def]])</f>
        <v>#VALUE!</v>
      </c>
      <c r="X125" s="285" t="n">
        <f aca="false">TblConstr[[#This Row],[Land]]</f>
        <v>646</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3456</v>
      </c>
      <c r="AB125" s="146"/>
      <c r="AC125" s="130" t="n">
        <f aca="false">(TblConstr[[#This Row],[Tot Smi]]+TblConstr[[#This Row],[Dest Smi]])/(TblConstr[[#This Row],[Land]]-TblExplore[[#This Row],[Land Bonus]]*20)</f>
        <v>0.195046439628483</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6426185</v>
      </c>
      <c r="AQ125" s="69" t="n">
        <f aca="false">INDEX(TblProd[[#Headers],[Lumber]]:TblProd[[#This Row],[Ore]],COUNTA(TblProd[[#Headers],[Lumber]]:TblProd[[#This Row],[Lumber]]),MATCH(Military!$AQ$2,TblProd[[#Headers],[Lumber]:[Ore]],0))</f>
        <v>-357</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3456</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26</v>
      </c>
      <c r="CG125" s="288" t="e">
        <f aca="false">MIN(frost_mage_cap,TblMili[[#This Row],[Hill]]/frost_mage_bonus)</f>
        <v>#VALUE!</v>
      </c>
      <c r="CH125" s="151" t="n">
        <f aca="false">MIN(ice_elem_cap,TblMili[[#This Row],[Raw (2)]]*ice_elem_bonus)</f>
        <v>0.0417956656346749</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0.075232198142416</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-0.0835913312693498</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0.0417956656346749</v>
      </c>
      <c r="DF125" s="291" t="n">
        <f aca="false">TblMili[[#This Row],[Raw (2)]]*(1+race_wizard_strength+IF(TblMili[[#This Row],[Hour]]&gt;72,tech_magical_weaponry_wiz*TblTech[[#This Row],[3-5]],0))</f>
        <v>0.0417956656346749</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6769</v>
      </c>
      <c r="C126" s="150" t="n">
        <f aca="false">TblPop[[#This Row],[Military%]]</f>
        <v>0.535141117874931</v>
      </c>
      <c r="D126" s="132"/>
      <c r="E126" s="151" t="n">
        <f aca="false">OFFSET(TblMili[[#This Row],[Unit 1]],-1,0) + OFFSET(TblMili[[#This Row],[Train Unit 1]],-9,0) - TblMili[[#This Row],[Release Unit 1]]</f>
        <v>13</v>
      </c>
      <c r="F126" s="151" t="n">
        <f aca="false">OFFSET(TblMili[[#This Row],[Unit 2]],-1,0) + OFFSET(TblMili[[#This Row],[Train Unit 2]],-9,0)-TblMili[[#This Row],[Release Unit 2]]</f>
        <v>1261</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27</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0.149</v>
      </c>
      <c r="V126" s="274" t="e">
        <f aca="false">TblMili[[#This Row],[Non Draft]] * (1 + TblMili[[#This Row],[Mods_Def]])</f>
        <v>#VALUE!</v>
      </c>
      <c r="W126" s="285" t="e">
        <f aca="false">TblMili[[#This Row],[Draft]] * (1 + TblMili[[#This Row],[Mods_Def]])</f>
        <v>#VALUE!</v>
      </c>
      <c r="X126" s="285" t="n">
        <f aca="false">TblConstr[[#This Row],[Land]]</f>
        <v>646</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3515</v>
      </c>
      <c r="AB126" s="146"/>
      <c r="AC126" s="130" t="n">
        <f aca="false">(TblConstr[[#This Row],[Tot Smi]]+TblConstr[[#This Row],[Dest Smi]])/(TblConstr[[#This Row],[Land]]-TblExplore[[#This Row],[Land Bonus]]*20)</f>
        <v>0.195046439628483</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6519935</v>
      </c>
      <c r="AQ126" s="69" t="n">
        <f aca="false">INDEX(TblProd[[#Headers],[Lumber]]:TblProd[[#This Row],[Ore]],COUNTA(TblProd[[#Headers],[Lumber]]:TblProd[[#This Row],[Lumber]]),MATCH(Military!$AQ$2,TblProd[[#Headers],[Lumber]:[Ore]],0))</f>
        <v>-357</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3515</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26</v>
      </c>
      <c r="CG126" s="288" t="e">
        <f aca="false">MIN(frost_mage_cap,TblMili[[#This Row],[Hill]]/frost_mage_bonus)</f>
        <v>#VALUE!</v>
      </c>
      <c r="CH126" s="151" t="n">
        <f aca="false">MIN(ice_elem_cap,TblMili[[#This Row],[Raw (2)]]*ice_elem_bonus)</f>
        <v>0.0417956656346749</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0.075232198142416</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-0.0835913312693498</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0.0417956656346749</v>
      </c>
      <c r="DF126" s="291" t="n">
        <f aca="false">TblMili[[#This Row],[Raw (2)]]*(1+race_wizard_strength+IF(TblMili[[#This Row],[Hour]]&gt;72,tech_magical_weaponry_wiz*TblTech[[#This Row],[3-5]],0))</f>
        <v>0.0417956656346749</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6828</v>
      </c>
      <c r="C127" s="150" t="n">
        <f aca="false">TblPop[[#This Row],[Military%]]</f>
        <v>0.539805518222784</v>
      </c>
      <c r="D127" s="132"/>
      <c r="E127" s="151" t="n">
        <f aca="false">OFFSET(TblMili[[#This Row],[Unit 1]],-1,0) + OFFSET(TblMili[[#This Row],[Train Unit 1]],-9,0) - TblMili[[#This Row],[Release Unit 1]]</f>
        <v>13</v>
      </c>
      <c r="F127" s="151" t="n">
        <f aca="false">OFFSET(TblMili[[#This Row],[Unit 2]],-1,0) + OFFSET(TblMili[[#This Row],[Train Unit 2]],-9,0)-TblMili[[#This Row],[Release Unit 2]]</f>
        <v>1261</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27</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0.149</v>
      </c>
      <c r="V127" s="274" t="e">
        <f aca="false">TblMili[[#This Row],[Non Draft]] * (1 + TblMili[[#This Row],[Mods_Def]])</f>
        <v>#VALUE!</v>
      </c>
      <c r="W127" s="285" t="e">
        <f aca="false">TblMili[[#This Row],[Draft]] * (1 + TblMili[[#This Row],[Mods_Def]])</f>
        <v>#VALUE!</v>
      </c>
      <c r="X127" s="285" t="n">
        <f aca="false">TblConstr[[#This Row],[Land]]</f>
        <v>646</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3574</v>
      </c>
      <c r="AB127" s="146"/>
      <c r="AC127" s="130" t="n">
        <f aca="false">(TblConstr[[#This Row],[Tot Smi]]+TblConstr[[#This Row],[Dest Smi]])/(TblConstr[[#This Row],[Land]]-TblExplore[[#This Row],[Land Bonus]]*20)</f>
        <v>0.195046439628483</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6613526</v>
      </c>
      <c r="AQ127" s="69" t="n">
        <f aca="false">INDEX(TblProd[[#Headers],[Lumber]]:TblProd[[#This Row],[Ore]],COUNTA(TblProd[[#Headers],[Lumber]]:TblProd[[#This Row],[Lumber]]),MATCH(Military!$AQ$2,TblProd[[#Headers],[Lumber]:[Ore]],0))</f>
        <v>-357</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3574</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26</v>
      </c>
      <c r="CG127" s="288" t="e">
        <f aca="false">MIN(frost_mage_cap,TblMili[[#This Row],[Hill]]/frost_mage_bonus)</f>
        <v>#VALUE!</v>
      </c>
      <c r="CH127" s="151" t="n">
        <f aca="false">MIN(ice_elem_cap,TblMili[[#This Row],[Raw (2)]]*ice_elem_bonus)</f>
        <v>0.0417956656346749</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0.075232198142416</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-0.0835913312693498</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0.0417956656346749</v>
      </c>
      <c r="DF127" s="291" t="n">
        <f aca="false">TblMili[[#This Row],[Raw (2)]]*(1+race_wizard_strength+IF(TblMili[[#This Row],[Hour]]&gt;72,tech_magical_weaponry_wiz*TblTech[[#This Row],[3-5]],0))</f>
        <v>0.0417956656346749</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6886</v>
      </c>
      <c r="C128" s="150" t="n">
        <f aca="false">TblPop[[#This Row],[Military%]]</f>
        <v>0.544390860937624</v>
      </c>
      <c r="D128" s="132"/>
      <c r="E128" s="151" t="n">
        <f aca="false">OFFSET(TblMili[[#This Row],[Unit 1]],-1,0) + OFFSET(TblMili[[#This Row],[Train Unit 1]],-9,0) - TblMili[[#This Row],[Release Unit 1]]</f>
        <v>13</v>
      </c>
      <c r="F128" s="151" t="n">
        <f aca="false">OFFSET(TblMili[[#This Row],[Unit 2]],-1,0) + OFFSET(TblMili[[#This Row],[Train Unit 2]],-9,0)-TblMili[[#This Row],[Release Unit 2]]</f>
        <v>1261</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27</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0.149</v>
      </c>
      <c r="V128" s="274" t="e">
        <f aca="false">TblMili[[#This Row],[Non Draft]] * (1 + TblMili[[#This Row],[Mods_Def]])</f>
        <v>#VALUE!</v>
      </c>
      <c r="W128" s="285" t="e">
        <f aca="false">TblMili[[#This Row],[Draft]] * (1 + TblMili[[#This Row],[Mods_Def]])</f>
        <v>#VALUE!</v>
      </c>
      <c r="X128" s="285" t="n">
        <f aca="false">TblConstr[[#This Row],[Land]]</f>
        <v>646</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3632</v>
      </c>
      <c r="AB128" s="146"/>
      <c r="AC128" s="130" t="n">
        <f aca="false">(TblConstr[[#This Row],[Tot Smi]]+TblConstr[[#This Row],[Dest Smi]])/(TblConstr[[#This Row],[Land]]-TblExplore[[#This Row],[Land Bonus]]*20)</f>
        <v>0.195046439628483</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6706957</v>
      </c>
      <c r="AQ128" s="69" t="n">
        <f aca="false">INDEX(TblProd[[#Headers],[Lumber]]:TblProd[[#This Row],[Ore]],COUNTA(TblProd[[#Headers],[Lumber]]:TblProd[[#This Row],[Lumber]]),MATCH(Military!$AQ$2,TblProd[[#Headers],[Lumber]:[Ore]],0))</f>
        <v>-357</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3632</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26</v>
      </c>
      <c r="CG128" s="288" t="e">
        <f aca="false">MIN(frost_mage_cap,TblMili[[#This Row],[Hill]]/frost_mage_bonus)</f>
        <v>#VALUE!</v>
      </c>
      <c r="CH128" s="151" t="n">
        <f aca="false">MIN(ice_elem_cap,TblMili[[#This Row],[Raw (2)]]*ice_elem_bonus)</f>
        <v>0.0417956656346749</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0.075232198142416</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-0.0835913312693498</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0.0417956656346749</v>
      </c>
      <c r="DF128" s="291" t="n">
        <f aca="false">TblMili[[#This Row],[Raw (2)]]*(1+race_wizard_strength+IF(TblMili[[#This Row],[Hour]]&gt;72,tech_magical_weaponry_wiz*TblTech[[#This Row],[3-5]],0))</f>
        <v>0.0417956656346749</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6944</v>
      </c>
      <c r="C129" s="150" t="n">
        <f aca="false">TblPop[[#This Row],[Military%]]</f>
        <v>0.548976203652463</v>
      </c>
      <c r="D129" s="132"/>
      <c r="E129" s="151" t="n">
        <f aca="false">OFFSET(TblMili[[#This Row],[Unit 1]],-1,0) + OFFSET(TblMili[[#This Row],[Train Unit 1]],-9,0) - TblMili[[#This Row],[Release Unit 1]]</f>
        <v>13</v>
      </c>
      <c r="F129" s="151" t="n">
        <f aca="false">OFFSET(TblMili[[#This Row],[Unit 2]],-1,0) + OFFSET(TblMili[[#This Row],[Train Unit 2]],-9,0)-TblMili[[#This Row],[Release Unit 2]]</f>
        <v>1261</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27</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0.149</v>
      </c>
      <c r="V129" s="274" t="e">
        <f aca="false">TblMili[[#This Row],[Non Draft]] * (1 + TblMili[[#This Row],[Mods_Def]])</f>
        <v>#VALUE!</v>
      </c>
      <c r="W129" s="285" t="e">
        <f aca="false">TblMili[[#This Row],[Draft]] * (1 + TblMili[[#This Row],[Mods_Def]])</f>
        <v>#VALUE!</v>
      </c>
      <c r="X129" s="285" t="n">
        <f aca="false">TblConstr[[#This Row],[Land]]</f>
        <v>646</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3690</v>
      </c>
      <c r="AB129" s="146"/>
      <c r="AC129" s="130" t="n">
        <f aca="false">(TblConstr[[#This Row],[Tot Smi]]+TblConstr[[#This Row],[Dest Smi]])/(TblConstr[[#This Row],[Land]]-TblExplore[[#This Row],[Land Bonus]]*20)</f>
        <v>0.195046439628483</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6800232</v>
      </c>
      <c r="AQ129" s="69" t="n">
        <f aca="false">INDEX(TblProd[[#Headers],[Lumber]]:TblProd[[#This Row],[Ore]],COUNTA(TblProd[[#Headers],[Lumber]]:TblProd[[#This Row],[Lumber]]),MATCH(Military!$AQ$2,TblProd[[#Headers],[Lumber]:[Ore]],0))</f>
        <v>-357</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3690</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26</v>
      </c>
      <c r="CG129" s="288" t="e">
        <f aca="false">MIN(frost_mage_cap,TblMili[[#This Row],[Hill]]/frost_mage_bonus)</f>
        <v>#VALUE!</v>
      </c>
      <c r="CH129" s="151" t="n">
        <f aca="false">MIN(ice_elem_cap,TblMili[[#This Row],[Raw (2)]]*ice_elem_bonus)</f>
        <v>0.0417956656346749</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0.075232198142416</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-0.0835913312693498</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0.0417956656346749</v>
      </c>
      <c r="DF129" s="291" t="n">
        <f aca="false">TblMili[[#This Row],[Raw (2)]]*(1+race_wizard_strength+IF(TblMili[[#This Row],[Hour]]&gt;72,tech_magical_weaponry_wiz*TblTech[[#This Row],[3-5]],0))</f>
        <v>0.0417956656346749</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7001</v>
      </c>
      <c r="C130" s="150" t="n">
        <f aca="false">TblPop[[#This Row],[Military%]]</f>
        <v>0.553482488734287</v>
      </c>
      <c r="D130" s="132"/>
      <c r="E130" s="151" t="n">
        <f aca="false">OFFSET(TblMili[[#This Row],[Unit 1]],-1,0) + OFFSET(TblMili[[#This Row],[Train Unit 1]],-9,0) - TblMili[[#This Row],[Release Unit 1]]</f>
        <v>13</v>
      </c>
      <c r="F130" s="151" t="n">
        <f aca="false">OFFSET(TblMili[[#This Row],[Unit 2]],-1,0) + OFFSET(TblMili[[#This Row],[Train Unit 2]],-9,0)-TblMili[[#This Row],[Release Unit 2]]</f>
        <v>1261</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27</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0.149</v>
      </c>
      <c r="V130" s="274" t="e">
        <f aca="false">TblMili[[#This Row],[Non Draft]] * (1 + TblMili[[#This Row],[Mods_Def]])</f>
        <v>#VALUE!</v>
      </c>
      <c r="W130" s="285" t="e">
        <f aca="false">TblMili[[#This Row],[Draft]] * (1 + TblMili[[#This Row],[Mods_Def]])</f>
        <v>#VALUE!</v>
      </c>
      <c r="X130" s="285" t="n">
        <f aca="false">TblConstr[[#This Row],[Land]]</f>
        <v>646</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3747</v>
      </c>
      <c r="AB130" s="146"/>
      <c r="AC130" s="130" t="n">
        <f aca="false">(TblConstr[[#This Row],[Tot Smi]]+TblConstr[[#This Row],[Dest Smi]])/(TblConstr[[#This Row],[Land]]-TblExplore[[#This Row],[Land Bonus]]*20)</f>
        <v>0.195046439628483</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6893350</v>
      </c>
      <c r="AQ130" s="69" t="n">
        <f aca="false">INDEX(TblProd[[#Headers],[Lumber]]:TblProd[[#This Row],[Ore]],COUNTA(TblProd[[#Headers],[Lumber]]:TblProd[[#This Row],[Lumber]]),MATCH(Military!$AQ$2,TblProd[[#Headers],[Lumber]:[Ore]],0))</f>
        <v>-357</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3747</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26</v>
      </c>
      <c r="CG130" s="288" t="e">
        <f aca="false">MIN(frost_mage_cap,TblMili[[#This Row],[Hill]]/frost_mage_bonus)</f>
        <v>#VALUE!</v>
      </c>
      <c r="CH130" s="151" t="n">
        <f aca="false">MIN(ice_elem_cap,TblMili[[#This Row],[Raw (2)]]*ice_elem_bonus)</f>
        <v>0.0417956656346749</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0.075232198142416</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-0.0835913312693498</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0.0417956656346749</v>
      </c>
      <c r="DF130" s="291" t="n">
        <f aca="false">TblMili[[#This Row],[Raw (2)]]*(1+race_wizard_strength+IF(TblMili[[#This Row],[Hour]]&gt;72,tech_magical_weaponry_wiz*TblTech[[#This Row],[3-5]],0))</f>
        <v>0.0417956656346749</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7057</v>
      </c>
      <c r="C131" s="150" t="n">
        <f aca="false">TblPop[[#This Row],[Military%]]</f>
        <v>0.557909716183098</v>
      </c>
      <c r="D131" s="132"/>
      <c r="E131" s="151" t="n">
        <f aca="false">OFFSET(TblMili[[#This Row],[Unit 1]],-1,0) + OFFSET(TblMili[[#This Row],[Train Unit 1]],-9,0) - TblMili[[#This Row],[Release Unit 1]]</f>
        <v>13</v>
      </c>
      <c r="F131" s="151" t="n">
        <f aca="false">OFFSET(TblMili[[#This Row],[Unit 2]],-1,0) + OFFSET(TblMili[[#This Row],[Train Unit 2]],-9,0)-TblMili[[#This Row],[Release Unit 2]]</f>
        <v>1261</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27</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0.149</v>
      </c>
      <c r="V131" s="274" t="e">
        <f aca="false">TblMili[[#This Row],[Non Draft]] * (1 + TblMili[[#This Row],[Mods_Def]])</f>
        <v>#VALUE!</v>
      </c>
      <c r="W131" s="285" t="e">
        <f aca="false">TblMili[[#This Row],[Draft]] * (1 + TblMili[[#This Row],[Mods_Def]])</f>
        <v>#VALUE!</v>
      </c>
      <c r="X131" s="285" t="n">
        <f aca="false">TblConstr[[#This Row],[Land]]</f>
        <v>646</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3803</v>
      </c>
      <c r="AB131" s="146"/>
      <c r="AC131" s="130" t="n">
        <f aca="false">(TblConstr[[#This Row],[Tot Smi]]+TblConstr[[#This Row],[Dest Smi]])/(TblConstr[[#This Row],[Land]]-TblExplore[[#This Row],[Land Bonus]]*20)</f>
        <v>0.195046439628483</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6986314</v>
      </c>
      <c r="AQ131" s="69" t="n">
        <f aca="false">INDEX(TblProd[[#Headers],[Lumber]]:TblProd[[#This Row],[Ore]],COUNTA(TblProd[[#Headers],[Lumber]]:TblProd[[#This Row],[Lumber]]),MATCH(Military!$AQ$2,TblProd[[#Headers],[Lumber]:[Ore]],0))</f>
        <v>-357</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3803</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26</v>
      </c>
      <c r="CG131" s="288" t="e">
        <f aca="false">MIN(frost_mage_cap,TblMili[[#This Row],[Hill]]/frost_mage_bonus)</f>
        <v>#VALUE!</v>
      </c>
      <c r="CH131" s="151" t="n">
        <f aca="false">MIN(ice_elem_cap,TblMili[[#This Row],[Raw (2)]]*ice_elem_bonus)</f>
        <v>0.0417956656346749</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0.075232198142416</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-0.0835913312693498</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0.0417956656346749</v>
      </c>
      <c r="DF131" s="291" t="n">
        <f aca="false">TblMili[[#This Row],[Raw (2)]]*(1+race_wizard_strength+IF(TblMili[[#This Row],[Hour]]&gt;72,tech_magical_weaponry_wiz*TblTech[[#This Row],[3-5]],0))</f>
        <v>0.0417956656346749</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7113</v>
      </c>
      <c r="C132" s="150" t="n">
        <f aca="false">TblPop[[#This Row],[Military%]]</f>
        <v>0.562336943631908</v>
      </c>
      <c r="D132" s="132"/>
      <c r="E132" s="151" t="n">
        <f aca="false">OFFSET(TblMili[[#This Row],[Unit 1]],-1,0) + OFFSET(TblMili[[#This Row],[Train Unit 1]],-9,0) - TblMili[[#This Row],[Release Unit 1]]</f>
        <v>13</v>
      </c>
      <c r="F132" s="151" t="n">
        <f aca="false">OFFSET(TblMili[[#This Row],[Unit 2]],-1,0) + OFFSET(TblMili[[#This Row],[Train Unit 2]],-9,0)-TblMili[[#This Row],[Release Unit 2]]</f>
        <v>1261</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27</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0.149</v>
      </c>
      <c r="V132" s="274" t="e">
        <f aca="false">TblMili[[#This Row],[Non Draft]] * (1 + TblMili[[#This Row],[Mods_Def]])</f>
        <v>#VALUE!</v>
      </c>
      <c r="W132" s="285" t="e">
        <f aca="false">TblMili[[#This Row],[Draft]] * (1 + TblMili[[#This Row],[Mods_Def]])</f>
        <v>#VALUE!</v>
      </c>
      <c r="X132" s="285" t="n">
        <f aca="false">TblConstr[[#This Row],[Land]]</f>
        <v>646</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3859</v>
      </c>
      <c r="AB132" s="146"/>
      <c r="AC132" s="130" t="n">
        <f aca="false">(TblConstr[[#This Row],[Tot Smi]]+TblConstr[[#This Row],[Dest Smi]])/(TblConstr[[#This Row],[Land]]-TblExplore[[#This Row],[Land Bonus]]*20)</f>
        <v>0.195046439628483</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7079127</v>
      </c>
      <c r="AQ132" s="69" t="n">
        <f aca="false">INDEX(TblProd[[#Headers],[Lumber]]:TblProd[[#This Row],[Ore]],COUNTA(TblProd[[#Headers],[Lumber]]:TblProd[[#This Row],[Lumber]]),MATCH(Military!$AQ$2,TblProd[[#Headers],[Lumber]:[Ore]],0))</f>
        <v>-357</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3859</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26</v>
      </c>
      <c r="CG132" s="288" t="e">
        <f aca="false">MIN(frost_mage_cap,TblMili[[#This Row],[Hill]]/frost_mage_bonus)</f>
        <v>#VALUE!</v>
      </c>
      <c r="CH132" s="151" t="n">
        <f aca="false">MIN(ice_elem_cap,TblMili[[#This Row],[Raw (2)]]*ice_elem_bonus)</f>
        <v>0.0417956656346749</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0.075232198142416</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-0.0835913312693498</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0.0417956656346749</v>
      </c>
      <c r="DF132" s="291" t="n">
        <f aca="false">TblMili[[#This Row],[Raw (2)]]*(1+race_wizard_strength+IF(TblMili[[#This Row],[Hour]]&gt;72,tech_magical_weaponry_wiz*TblTech[[#This Row],[3-5]],0))</f>
        <v>0.0417956656346749</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7168</v>
      </c>
      <c r="C133" s="150" t="n">
        <f aca="false">TblPop[[#This Row],[Military%]]</f>
        <v>0.566685113447703</v>
      </c>
      <c r="D133" s="132"/>
      <c r="E133" s="151" t="n">
        <f aca="false">OFFSET(TblMili[[#This Row],[Unit 1]],-1,0) + OFFSET(TblMili[[#This Row],[Train Unit 1]],-9,0) - TblMili[[#This Row],[Release Unit 1]]</f>
        <v>13</v>
      </c>
      <c r="F133" s="151" t="n">
        <f aca="false">OFFSET(TblMili[[#This Row],[Unit 2]],-1,0) + OFFSET(TblMili[[#This Row],[Train Unit 2]],-9,0)-TblMili[[#This Row],[Release Unit 2]]</f>
        <v>1261</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27</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0.149</v>
      </c>
      <c r="V133" s="274" t="e">
        <f aca="false">TblMili[[#This Row],[Non Draft]] * (1 + TblMili[[#This Row],[Mods_Def]])</f>
        <v>#VALUE!</v>
      </c>
      <c r="W133" s="285" t="e">
        <f aca="false">TblMili[[#This Row],[Draft]] * (1 + TblMili[[#This Row],[Mods_Def]])</f>
        <v>#VALUE!</v>
      </c>
      <c r="X133" s="285" t="n">
        <f aca="false">TblConstr[[#This Row],[Land]]</f>
        <v>646</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3914</v>
      </c>
      <c r="AB133" s="146"/>
      <c r="AC133" s="130" t="n">
        <f aca="false">(TblConstr[[#This Row],[Tot Smi]]+TblConstr[[#This Row],[Dest Smi]])/(TblConstr[[#This Row],[Land]]-TblExplore[[#This Row],[Land Bonus]]*20)</f>
        <v>0.195046439628483</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7171789</v>
      </c>
      <c r="AQ133" s="69" t="n">
        <f aca="false">INDEX(TblProd[[#Headers],[Lumber]]:TblProd[[#This Row],[Ore]],COUNTA(TblProd[[#Headers],[Lumber]]:TblProd[[#This Row],[Lumber]]),MATCH(Military!$AQ$2,TblProd[[#Headers],[Lumber]:[Ore]],0))</f>
        <v>-357</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3914</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26</v>
      </c>
      <c r="CG133" s="288" t="e">
        <f aca="false">MIN(frost_mage_cap,TblMili[[#This Row],[Hill]]/frost_mage_bonus)</f>
        <v>#VALUE!</v>
      </c>
      <c r="CH133" s="151" t="n">
        <f aca="false">MIN(ice_elem_cap,TblMili[[#This Row],[Raw (2)]]*ice_elem_bonus)</f>
        <v>0.0417956656346749</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0.075232198142416</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-0.0835913312693498</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0.0417956656346749</v>
      </c>
      <c r="DF133" s="291" t="n">
        <f aca="false">TblMili[[#This Row],[Raw (2)]]*(1+race_wizard_strength+IF(TblMili[[#This Row],[Hour]]&gt;72,tech_magical_weaponry_wiz*TblTech[[#This Row],[3-5]],0))</f>
        <v>0.0417956656346749</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7223</v>
      </c>
      <c r="C134" s="150" t="n">
        <f aca="false">TblPop[[#This Row],[Military%]]</f>
        <v>0.571033283263499</v>
      </c>
      <c r="D134" s="132"/>
      <c r="E134" s="151" t="n">
        <f aca="false">OFFSET(TblMili[[#This Row],[Unit 1]],-1,0) + OFFSET(TblMili[[#This Row],[Train Unit 1]],-9,0) - TblMili[[#This Row],[Release Unit 1]]</f>
        <v>13</v>
      </c>
      <c r="F134" s="151" t="n">
        <f aca="false">OFFSET(TblMili[[#This Row],[Unit 2]],-1,0) + OFFSET(TblMili[[#This Row],[Train Unit 2]],-9,0)-TblMili[[#This Row],[Release Unit 2]]</f>
        <v>1261</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27</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0.149</v>
      </c>
      <c r="V134" s="274" t="e">
        <f aca="false">TblMili[[#This Row],[Non Draft]] * (1 + TblMili[[#This Row],[Mods_Def]])</f>
        <v>#VALUE!</v>
      </c>
      <c r="W134" s="285" t="e">
        <f aca="false">TblMili[[#This Row],[Draft]] * (1 + TblMili[[#This Row],[Mods_Def]])</f>
        <v>#VALUE!</v>
      </c>
      <c r="X134" s="285" t="n">
        <f aca="false">TblConstr[[#This Row],[Land]]</f>
        <v>646</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3969</v>
      </c>
      <c r="AB134" s="146"/>
      <c r="AC134" s="130" t="n">
        <f aca="false">(TblConstr[[#This Row],[Tot Smi]]+TblConstr[[#This Row],[Dest Smi]])/(TblConstr[[#This Row],[Land]]-TblExplore[[#This Row],[Land Bonus]]*20)</f>
        <v>0.195046439628483</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7264302</v>
      </c>
      <c r="AQ134" s="69" t="n">
        <f aca="false">INDEX(TblProd[[#Headers],[Lumber]]:TblProd[[#This Row],[Ore]],COUNTA(TblProd[[#Headers],[Lumber]]:TblProd[[#This Row],[Lumber]]),MATCH(Military!$AQ$2,TblProd[[#Headers],[Lumber]:[Ore]],0))</f>
        <v>-357</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3969</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26</v>
      </c>
      <c r="CG134" s="288" t="e">
        <f aca="false">MIN(frost_mage_cap,TblMili[[#This Row],[Hill]]/frost_mage_bonus)</f>
        <v>#VALUE!</v>
      </c>
      <c r="CH134" s="151" t="n">
        <f aca="false">MIN(ice_elem_cap,TblMili[[#This Row],[Raw (2)]]*ice_elem_bonus)</f>
        <v>0.0417956656346749</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0.075232198142416</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-0.0835913312693498</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0.0417956656346749</v>
      </c>
      <c r="DF134" s="291" t="n">
        <f aca="false">TblMili[[#This Row],[Raw (2)]]*(1+race_wizard_strength+IF(TblMili[[#This Row],[Hour]]&gt;72,tech_magical_weaponry_wiz*TblTech[[#This Row],[3-5]],0))</f>
        <v>0.0417956656346749</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7277</v>
      </c>
      <c r="C135" s="150" t="n">
        <f aca="false">TblPop[[#This Row],[Military%]]</f>
        <v>0.57530239544628</v>
      </c>
      <c r="D135" s="132"/>
      <c r="E135" s="151" t="n">
        <f aca="false">OFFSET(TblMili[[#This Row],[Unit 1]],-1,0) + OFFSET(TblMili[[#This Row],[Train Unit 1]],-9,0) - TblMili[[#This Row],[Release Unit 1]]</f>
        <v>13</v>
      </c>
      <c r="F135" s="151" t="n">
        <f aca="false">OFFSET(TblMili[[#This Row],[Unit 2]],-1,0) + OFFSET(TblMili[[#This Row],[Train Unit 2]],-9,0)-TblMili[[#This Row],[Release Unit 2]]</f>
        <v>1261</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27</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0.149</v>
      </c>
      <c r="V135" s="274" t="e">
        <f aca="false">TblMili[[#This Row],[Non Draft]] * (1 + TblMili[[#This Row],[Mods_Def]])</f>
        <v>#VALUE!</v>
      </c>
      <c r="W135" s="285" t="e">
        <f aca="false">TblMili[[#This Row],[Draft]] * (1 + TblMili[[#This Row],[Mods_Def]])</f>
        <v>#VALUE!</v>
      </c>
      <c r="X135" s="285" t="n">
        <f aca="false">TblConstr[[#This Row],[Land]]</f>
        <v>646</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4023</v>
      </c>
      <c r="AB135" s="146"/>
      <c r="AC135" s="130" t="n">
        <f aca="false">(TblConstr[[#This Row],[Tot Smi]]+TblConstr[[#This Row],[Dest Smi]])/(TblConstr[[#This Row],[Land]]-TblExplore[[#This Row],[Land Bonus]]*20)</f>
        <v>0.195046439628483</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7356667</v>
      </c>
      <c r="AQ135" s="69" t="n">
        <f aca="false">INDEX(TblProd[[#Headers],[Lumber]]:TblProd[[#This Row],[Ore]],COUNTA(TblProd[[#Headers],[Lumber]]:TblProd[[#This Row],[Lumber]]),MATCH(Military!$AQ$2,TblProd[[#Headers],[Lumber]:[Ore]],0))</f>
        <v>-357</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4023</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26</v>
      </c>
      <c r="CG135" s="288" t="e">
        <f aca="false">MIN(frost_mage_cap,TblMili[[#This Row],[Hill]]/frost_mage_bonus)</f>
        <v>#VALUE!</v>
      </c>
      <c r="CH135" s="151" t="n">
        <f aca="false">MIN(ice_elem_cap,TblMili[[#This Row],[Raw (2)]]*ice_elem_bonus)</f>
        <v>0.0417956656346749</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0.075232198142416</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-0.0835913312693498</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0.0417956656346749</v>
      </c>
      <c r="DF135" s="291" t="n">
        <f aca="false">TblMili[[#This Row],[Raw (2)]]*(1+race_wizard_strength+IF(TblMili[[#This Row],[Hour]]&gt;72,tech_magical_weaponry_wiz*TblTech[[#This Row],[3-5]],0))</f>
        <v>0.0417956656346749</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7331</v>
      </c>
      <c r="C136" s="150" t="n">
        <f aca="false">TblPop[[#This Row],[Military%]]</f>
        <v>0.579571507629062</v>
      </c>
      <c r="D136" s="132"/>
      <c r="E136" s="151" t="n">
        <f aca="false">OFFSET(TblMili[[#This Row],[Unit 1]],-1,0) + OFFSET(TblMili[[#This Row],[Train Unit 1]],-9,0) - TblMili[[#This Row],[Release Unit 1]]</f>
        <v>13</v>
      </c>
      <c r="F136" s="151" t="n">
        <f aca="false">OFFSET(TblMili[[#This Row],[Unit 2]],-1,0) + OFFSET(TblMili[[#This Row],[Train Unit 2]],-9,0)-TblMili[[#This Row],[Release Unit 2]]</f>
        <v>1261</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27</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0.149</v>
      </c>
      <c r="V136" s="274" t="e">
        <f aca="false">TblMili[[#This Row],[Non Draft]] * (1 + TblMili[[#This Row],[Mods_Def]])</f>
        <v>#VALUE!</v>
      </c>
      <c r="W136" s="285" t="e">
        <f aca="false">TblMili[[#This Row],[Draft]] * (1 + TblMili[[#This Row],[Mods_Def]])</f>
        <v>#VALUE!</v>
      </c>
      <c r="X136" s="285" t="n">
        <f aca="false">TblConstr[[#This Row],[Land]]</f>
        <v>646</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4077</v>
      </c>
      <c r="AB136" s="146"/>
      <c r="AC136" s="130" t="n">
        <f aca="false">(TblConstr[[#This Row],[Tot Smi]]+TblConstr[[#This Row],[Dest Smi]])/(TblConstr[[#This Row],[Land]]-TblExplore[[#This Row],[Land Bonus]]*20)</f>
        <v>0.195046439628483</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7448886</v>
      </c>
      <c r="AQ136" s="69" t="n">
        <f aca="false">INDEX(TblProd[[#Headers],[Lumber]]:TblProd[[#This Row],[Ore]],COUNTA(TblProd[[#Headers],[Lumber]]:TblProd[[#This Row],[Lumber]]),MATCH(Military!$AQ$2,TblProd[[#Headers],[Lumber]:[Ore]],0))</f>
        <v>-357</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4077</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26</v>
      </c>
      <c r="CG136" s="288" t="e">
        <f aca="false">MIN(frost_mage_cap,TblMili[[#This Row],[Hill]]/frost_mage_bonus)</f>
        <v>#VALUE!</v>
      </c>
      <c r="CH136" s="151" t="n">
        <f aca="false">MIN(ice_elem_cap,TblMili[[#This Row],[Raw (2)]]*ice_elem_bonus)</f>
        <v>0.0417956656346749</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0.075232198142416</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-0.0835913312693498</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0.0417956656346749</v>
      </c>
      <c r="DF136" s="291" t="n">
        <f aca="false">TblMili[[#This Row],[Raw (2)]]*(1+race_wizard_strength+IF(TblMili[[#This Row],[Hour]]&gt;72,tech_magical_weaponry_wiz*TblTech[[#This Row],[3-5]],0))</f>
        <v>0.0417956656346749</v>
      </c>
    </row>
    <row r="137" customFormat="false" ht="12.75" hidden="false" customHeight="false" outlineLevel="0" collapsed="false">
      <c r="AJ137" s="1" t="n">
        <v>100</v>
      </c>
    </row>
    <row r="139" customFormat="false" ht="12.75" hidden="false" customHeight="false" outlineLevel="0" collapsed="false">
      <c r="AF139" s="1" t="n">
        <f aca="false">SUM(E136:L136)</f>
        <v>3254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Q10" activeCellId="0" sqref="Q10"/>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-1250</v>
      </c>
      <c r="D5" s="149" t="n">
        <f aca="false">MIN(1,OFFSET(TblMagic[[#This Row],[Wiz str]],-1,0)+0.04+ROUNDDOWN(10*OFFSET(TblMili[[#This Row],[WG''s]],-1,0),0)+ tech_2_7*OFFSET(TblTech[[#This Row],[2-7]],-1,0) + tech_5_6*OFFSET(TblTech[[#This Row],[5-6]],-1,0) )-TblMagic[[#This Row],[Wiz str cost]]</f>
        <v>0.95</v>
      </c>
      <c r="E5" s="153" t="n">
        <f aca="false">OFFSET(TblMagic[[#This Row],[Time]],-1,0)+1/24</f>
        <v>45429.7916666667</v>
      </c>
      <c r="F5" s="149" t="n">
        <f aca="false">TblImps[[#This Row],[Population]]</f>
        <v>0.423076923076923</v>
      </c>
      <c r="G5" s="248"/>
      <c r="H5" s="248"/>
      <c r="I5" s="248"/>
      <c r="J5" s="248"/>
      <c r="K5" s="312"/>
      <c r="L5" s="248" t="n">
        <v>1</v>
      </c>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5" s="149" t="n">
        <f aca="false">SUMIF(TblMagic[[#This Row],[Gaia''s Watch]:[Useless spell]],1)*0.05</f>
        <v>0.05</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12</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-2475</v>
      </c>
      <c r="D6" s="149" t="n">
        <f aca="false">MIN(1,OFFSET(TblMagic[[#This Row],[Wiz str]],-1,0)+0.04+ROUNDDOWN(10*OFFSET(TblMili[[#This Row],[WG''s]],-1,0),0)+ tech_2_7*OFFSET(TblTech[[#This Row],[2-7]],-1,0) + tech_5_6*OFFSET(TblTech[[#This Row],[5-6]],-1,0) )-TblMagic[[#This Row],[Wiz str cost]]</f>
        <v>0.94</v>
      </c>
      <c r="E6" s="153" t="n">
        <f aca="false">OFFSET(TblMagic[[#This Row],[Time]],-1,0)+1/24</f>
        <v>45429.8333333333</v>
      </c>
      <c r="F6" s="149" t="n">
        <f aca="false">TblImps[[#This Row],[Population]]</f>
        <v>0.433144037170883</v>
      </c>
      <c r="G6" s="248"/>
      <c r="H6" s="248"/>
      <c r="I6" s="248"/>
      <c r="J6" s="248"/>
      <c r="K6" s="312"/>
      <c r="L6" s="248"/>
      <c r="M6" s="248" t="n">
        <v>1</v>
      </c>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6" s="149" t="n">
        <f aca="false">SUMIF(TblMagic[[#This Row],[Gaia''s Watch]:[Useless spell]],1)*0.05</f>
        <v>0.05</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11</v>
      </c>
      <c r="AG6" s="26" t="n">
        <f aca="false">IF(TblMagic[[#This Row],[Mechanical Genius]],12,IF(OFFSET(TblMagic[[#This Row],[Active Mechanical Genius]],-1,0)&gt;0,OFFSET(TblMagic[[#This Row],[Active Mechanical Genius]],-1,0)-1,0))</f>
        <v>12</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-3675</v>
      </c>
      <c r="D7" s="149" t="n">
        <f aca="false">MIN(1,OFFSET(TblMagic[[#This Row],[Wiz str]],-1,0)+0.04+ROUNDDOWN(10*OFFSET(TblMili[[#This Row],[WG''s]],-1,0),0)+ tech_2_7*OFFSET(TblTech[[#This Row],[2-7]],-1,0) + tech_5_6*OFFSET(TblTech[[#This Row],[5-6]],-1,0) )-TblMagic[[#This Row],[Wiz str cost]]</f>
        <v>0.93</v>
      </c>
      <c r="E7" s="153" t="n">
        <f aca="false">OFFSET(TblMagic[[#This Row],[Time]],-1,0)+1/24</f>
        <v>45429.875</v>
      </c>
      <c r="F7" s="149" t="n">
        <f aca="false">TblImps[[#This Row],[Population]]</f>
        <v>0.443469282395457</v>
      </c>
      <c r="G7" s="248"/>
      <c r="H7" s="248"/>
      <c r="I7" s="248"/>
      <c r="J7" s="248"/>
      <c r="K7" s="312"/>
      <c r="L7" s="248"/>
      <c r="M7" s="248"/>
      <c r="N7" s="248" t="n">
        <v>1</v>
      </c>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7" s="149" t="n">
        <f aca="false">SUMIF(TblMagic[[#This Row],[Gaia''s Watch]:[Useless spell]],1)*0.05</f>
        <v>0.05</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10</v>
      </c>
      <c r="AG7" s="26" t="n">
        <f aca="false">IF(TblMagic[[#This Row],[Mechanical Genius]],12,IF(OFFSET(TblMagic[[#This Row],[Active Mechanical Genius]],-1,0)&gt;0,OFFSET(TblMagic[[#This Row],[Active Mechanical Genius]],-1,0)-1,0))</f>
        <v>11</v>
      </c>
      <c r="AH7" s="26" t="n">
        <f aca="false">IF(TblMagic[[#This Row],[Frenzy]],12,IF(OFFSET(TblMagic[[#This Row],[Active Frenzy]],-1,0)&gt;0,OFFSET(TblMagic[[#This Row],[Active Frenzy]],-1,0)-1,0))</f>
        <v>12</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-4851</v>
      </c>
      <c r="D8" s="149" t="n">
        <f aca="false">MIN(1,OFFSET(TblMagic[[#This Row],[Wiz str]],-1,0)+0.04+ROUNDDOWN(10*OFFSET(TblMili[[#This Row],[WG''s]],-1,0),0)+ tech_2_7*OFFSET(TblTech[[#This Row],[2-7]],-1,0) + tech_5_6*OFFSET(TblTech[[#This Row],[5-6]],-1,0) )-TblMagic[[#This Row],[Wiz str cost]]</f>
        <v>0.92</v>
      </c>
      <c r="E8" s="153" t="n">
        <f aca="false">OFFSET(TblMagic[[#This Row],[Time]],-1,0)+1/24</f>
        <v>45429.9166666667</v>
      </c>
      <c r="F8" s="149" t="n">
        <f aca="false">TblImps[[#This Row],[Population]]</f>
        <v>0.454052658750645</v>
      </c>
      <c r="G8" s="248"/>
      <c r="H8" s="248"/>
      <c r="I8" s="248"/>
      <c r="J8" s="248"/>
      <c r="K8" s="312"/>
      <c r="L8" s="248"/>
      <c r="M8" s="248"/>
      <c r="N8" s="248"/>
      <c r="O8" s="248" t="n">
        <v>1</v>
      </c>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8" s="149" t="n">
        <f aca="false">SUMIF(TblMagic[[#This Row],[Gaia''s Watch]:[Useless spell]],1)*0.05</f>
        <v>0.05</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9</v>
      </c>
      <c r="AG8" s="26" t="n">
        <f aca="false">IF(TblMagic[[#This Row],[Mechanical Genius]],12,IF(OFFSET(TblMagic[[#This Row],[Active Mechanical Genius]],-1,0)&gt;0,OFFSET(TblMagic[[#This Row],[Active Mechanical Genius]],-1,0)-1,0))</f>
        <v>10</v>
      </c>
      <c r="AH8" s="26" t="n">
        <f aca="false">IF(TblMagic[[#This Row],[Frenzy]],12,IF(OFFSET(TblMagic[[#This Row],[Active Frenzy]],-1,0)&gt;0,OFFSET(TblMagic[[#This Row],[Active Frenzy]],-1,0)-1,0))</f>
        <v>11</v>
      </c>
      <c r="AI8" s="26" t="n">
        <f aca="false">IF(TblMagic[[#This Row],[Killing Rage / Bloodrage / Crusade]],12,IF(OFFSET(TblMagic[[#This Row],[Active Warsong / Killing Rage / Bloodrage]],-1,0)&gt;0,OFFSET(TblMagic[[#This Row],[Active Warsong / Killing Rage / Bloodrage]],-1,0)-1,0))</f>
        <v>12</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-6004</v>
      </c>
      <c r="D9" s="149" t="n">
        <f aca="false">MIN(1,OFFSET(TblMagic[[#This Row],[Wiz str]],-1,0)+0.04+ROUNDDOWN(10*OFFSET(TblMili[[#This Row],[WG''s]],-1,0),0)+ tech_2_7*OFFSET(TblTech[[#This Row],[2-7]],-1,0) + tech_5_6*OFFSET(TblTech[[#This Row],[5-6]],-1,0) )-TblMagic[[#This Row],[Wiz str cost]]</f>
        <v>0.91</v>
      </c>
      <c r="E9" s="153" t="n">
        <f aca="false">OFFSET(TblMagic[[#This Row],[Time]],-1,0)+1/24</f>
        <v>45429.9583333333</v>
      </c>
      <c r="F9" s="149" t="n">
        <f aca="false">TblImps[[#This Row],[Population]]</f>
        <v>0.44011357769747</v>
      </c>
      <c r="G9" s="248"/>
      <c r="H9" s="248"/>
      <c r="I9" s="248"/>
      <c r="J9" s="248"/>
      <c r="K9" s="312"/>
      <c r="L9" s="248"/>
      <c r="M9" s="248"/>
      <c r="N9" s="248"/>
      <c r="O9" s="248"/>
      <c r="P9" s="248" t="n">
        <v>1</v>
      </c>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9" s="149" t="n">
        <f aca="false">SUMIF(TblMagic[[#This Row],[Gaia''s Watch]:[Useless spell]],1)*0.05</f>
        <v>0.05</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8</v>
      </c>
      <c r="AG9" s="26" t="n">
        <f aca="false">IF(TblMagic[[#This Row],[Mechanical Genius]],12,IF(OFFSET(TblMagic[[#This Row],[Active Mechanical Genius]],-1,0)&gt;0,OFFSET(TblMagic[[#This Row],[Active Mechanical Genius]],-1,0)-1,0))</f>
        <v>9</v>
      </c>
      <c r="AH9" s="26" t="n">
        <f aca="false">IF(TblMagic[[#This Row],[Frenzy]],12,IF(OFFSET(TblMagic[[#This Row],[Active Frenzy]],-1,0)&gt;0,OFFSET(TblMagic[[#This Row],[Active Frenzy]],-1,0)-1,0))</f>
        <v>10</v>
      </c>
      <c r="AI9" s="26" t="n">
        <f aca="false">IF(TblMagic[[#This Row],[Killing Rage / Bloodrage / Crusade]],12,IF(OFFSET(TblMagic[[#This Row],[Active Warsong / Killing Rage / Bloodrage]],-1,0)&gt;0,OFFSET(TblMagic[[#This Row],[Active Warsong / Killing Rage / Bloodrage]],-1,0)-1,0))</f>
        <v>11</v>
      </c>
      <c r="AJ9" s="26" t="n">
        <f aca="false">IF(TblMagic[[#This Row],[Gaia''s Blessing]],12,IF(OFFSET(TblMagic[[#This Row],[Active Gaia''s Blessing]],-1,0)&gt;0,OFFSET(TblMagic[[#This Row],[Active Gaia''s Blessing]],-1,0)-1,0))</f>
        <v>12</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-7134</v>
      </c>
      <c r="D10" s="149" t="n">
        <f aca="false">MIN(1,OFFSET(TblMagic[[#This Row],[Wiz str]],-1,0)+0.04+ROUNDDOWN(10*OFFSET(TblMili[[#This Row],[WG''s]],-1,0),0)+ tech_2_7*OFFSET(TblTech[[#This Row],[2-7]],-1,0) + tech_5_6*OFFSET(TblTech[[#This Row],[5-6]],-1,0) )-TblMagic[[#This Row],[Wiz str cost]]</f>
        <v>0.9</v>
      </c>
      <c r="E10" s="153" t="n">
        <f aca="false">OFFSET(TblMagic[[#This Row],[Time]],-1,0)+1/24</f>
        <v>45430</v>
      </c>
      <c r="F10" s="149" t="n">
        <f aca="false">TblImps[[#This Row],[Population]]</f>
        <v>0.45018069179143</v>
      </c>
      <c r="G10" s="248"/>
      <c r="H10" s="248"/>
      <c r="I10" s="248"/>
      <c r="J10" s="248"/>
      <c r="K10" s="312"/>
      <c r="L10" s="248"/>
      <c r="M10" s="248"/>
      <c r="N10" s="248"/>
      <c r="O10" s="248"/>
      <c r="P10" s="248"/>
      <c r="Q10" s="248" t="n">
        <v>1</v>
      </c>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0" s="149" t="n">
        <f aca="false">SUMIF(TblMagic[[#This Row],[Gaia''s Watch]:[Useless spell]],1)*0.05</f>
        <v>0.05</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7</v>
      </c>
      <c r="AG10" s="26" t="n">
        <f aca="false">IF(TblMagic[[#This Row],[Mechanical Genius]],12,IF(OFFSET(TblMagic[[#This Row],[Active Mechanical Genius]],-1,0)&gt;0,OFFSET(TblMagic[[#This Row],[Active Mechanical Genius]],-1,0)-1,0))</f>
        <v>8</v>
      </c>
      <c r="AH10" s="26" t="n">
        <f aca="false">IF(TblMagic[[#This Row],[Frenzy]],12,IF(OFFSET(TblMagic[[#This Row],[Active Frenzy]],-1,0)&gt;0,OFFSET(TblMagic[[#This Row],[Active Frenzy]],-1,0)-1,0))</f>
        <v>9</v>
      </c>
      <c r="AI10" s="26" t="n">
        <f aca="false">IF(TblMagic[[#This Row],[Killing Rage / Bloodrage / Crusade]],12,IF(OFFSET(TblMagic[[#This Row],[Active Warsong / Killing Rage / Bloodrage]],-1,0)&gt;0,OFFSET(TblMagic[[#This Row],[Active Warsong / Killing Rage / Bloodrage]],-1,0)-1,0))</f>
        <v>10</v>
      </c>
      <c r="AJ10" s="26" t="n">
        <f aca="false">IF(TblMagic[[#This Row],[Gaia''s Blessing]],12,IF(OFFSET(TblMagic[[#This Row],[Active Gaia''s Blessing]],-1,0)&gt;0,OFFSET(TblMagic[[#This Row],[Active Gaia''s Blessing]],-1,0)-1,0))</f>
        <v>11</v>
      </c>
      <c r="AK10" s="26" t="n">
        <f aca="false">IF(TblMagic[[#This Row],[Howling]],12,IF(OFFSET(TblMagic[[#This Row],[Active Howling]],-1,0)&gt;0,OFFSET(TblMagic[[#This Row],[Active Howling]],-1,0)-1,0))</f>
        <v>12</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-8241</v>
      </c>
      <c r="D11" s="149" t="n">
        <f aca="false">MIN(1,OFFSET(TblMagic[[#This Row],[Wiz str]],-1,0)+0.04+ROUNDDOWN(10*OFFSET(TblMili[[#This Row],[WG''s]],-1,0),0)+ tech_2_7*OFFSET(TblTech[[#This Row],[2-7]],-1,0) + tech_5_6*OFFSET(TblTech[[#This Row],[5-6]],-1,0) )-TblMagic[[#This Row],[Wiz str cost]]</f>
        <v>0.89</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t="n">
        <v>1</v>
      </c>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1" s="149" t="n">
        <f aca="false">SUMIF(TblMagic[[#This Row],[Gaia''s Watch]:[Useless spell]],1)*0.05</f>
        <v>0.05</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6</v>
      </c>
      <c r="AG11" s="26" t="n">
        <f aca="false">IF(TblMagic[[#This Row],[Mechanical Genius]],12,IF(OFFSET(TblMagic[[#This Row],[Active Mechanical Genius]],-1,0)&gt;0,OFFSET(TblMagic[[#This Row],[Active Mechanical Genius]],-1,0)-1,0))</f>
        <v>7</v>
      </c>
      <c r="AH11" s="26" t="n">
        <f aca="false">IF(TblMagic[[#This Row],[Frenzy]],12,IF(OFFSET(TblMagic[[#This Row],[Active Frenzy]],-1,0)&gt;0,OFFSET(TblMagic[[#This Row],[Active Frenzy]],-1,0)-1,0))</f>
        <v>8</v>
      </c>
      <c r="AI11" s="26" t="n">
        <f aca="false">IF(TblMagic[[#This Row],[Killing Rage / Bloodrage / Crusade]],12,IF(OFFSET(TblMagic[[#This Row],[Active Warsong / Killing Rage / Bloodrage]],-1,0)&gt;0,OFFSET(TblMagic[[#This Row],[Active Warsong / Killing Rage / Bloodrage]],-1,0)-1,0))</f>
        <v>9</v>
      </c>
      <c r="AJ11" s="26" t="n">
        <f aca="false">IF(TblMagic[[#This Row],[Gaia''s Blessing]],12,IF(OFFSET(TblMagic[[#This Row],[Active Gaia''s Blessing]],-1,0)&gt;0,OFFSET(TblMagic[[#This Row],[Active Gaia''s Blessing]],-1,0)-1,0))</f>
        <v>10</v>
      </c>
      <c r="AK11" s="26" t="n">
        <f aca="false">IF(TblMagic[[#This Row],[Howling]],12,IF(OFFSET(TblMagic[[#This Row],[Active Howling]],-1,0)&gt;0,OFFSET(TblMagic[[#This Row],[Active Howling]],-1,0)-1,0))</f>
        <v>11</v>
      </c>
      <c r="AL11" s="26" t="n">
        <f aca="false">IF(TblMagic[[#This Row],[Alchemist Frost]],12,IF(OFFSET(TblMagic[[#This Row],[Active Alch Frost]],-1,0)&gt;0,OFFSET(TblMagic[[#This Row],[Active Alch Frost]],-1,0)-1,0))</f>
        <v>12</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-9326</v>
      </c>
      <c r="D12" s="149" t="n">
        <f aca="false">MIN(1,OFFSET(TblMagic[[#This Row],[Wiz str]],-1,0)+0.04+ROUNDDOWN(10*OFFSET(TblMili[[#This Row],[WG''s]],-1,0),0)+ tech_2_7*OFFSET(TblTech[[#This Row],[2-7]],-1,0) + tech_5_6*OFFSET(TblTech[[#This Row],[5-6]],-1,0) )-TblMagic[[#This Row],[Wiz str cost]]</f>
        <v>0.88</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t="n">
        <v>1</v>
      </c>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2" s="149" t="n">
        <f aca="false">SUMIF(TblMagic[[#This Row],[Gaia''s Watch]:[Useless spell]],1)*0.05</f>
        <v>0.05</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5</v>
      </c>
      <c r="AG12" s="26" t="n">
        <f aca="false">IF(TblMagic[[#This Row],[Mechanical Genius]],12,IF(OFFSET(TblMagic[[#This Row],[Active Mechanical Genius]],-1,0)&gt;0,OFFSET(TblMagic[[#This Row],[Active Mechanical Genius]],-1,0)-1,0))</f>
        <v>6</v>
      </c>
      <c r="AH12" s="26" t="n">
        <f aca="false">IF(TblMagic[[#This Row],[Frenzy]],12,IF(OFFSET(TblMagic[[#This Row],[Active Frenzy]],-1,0)&gt;0,OFFSET(TblMagic[[#This Row],[Active Frenzy]],-1,0)-1,0))</f>
        <v>7</v>
      </c>
      <c r="AI12" s="26" t="n">
        <f aca="false">IF(TblMagic[[#This Row],[Killing Rage / Bloodrage / Crusade]],12,IF(OFFSET(TblMagic[[#This Row],[Active Warsong / Killing Rage / Bloodrage]],-1,0)&gt;0,OFFSET(TblMagic[[#This Row],[Active Warsong / Killing Rage / Bloodrage]],-1,0)-1,0))</f>
        <v>8</v>
      </c>
      <c r="AJ12" s="26" t="n">
        <f aca="false">IF(TblMagic[[#This Row],[Gaia''s Blessing]],12,IF(OFFSET(TblMagic[[#This Row],[Active Gaia''s Blessing]],-1,0)&gt;0,OFFSET(TblMagic[[#This Row],[Active Gaia''s Blessing]],-1,0)-1,0))</f>
        <v>9</v>
      </c>
      <c r="AK12" s="26" t="n">
        <f aca="false">IF(TblMagic[[#This Row],[Howling]],12,IF(OFFSET(TblMagic[[#This Row],[Active Howling]],-1,0)&gt;0,OFFSET(TblMagic[[#This Row],[Active Howling]],-1,0)-1,0))</f>
        <v>10</v>
      </c>
      <c r="AL12" s="26" t="n">
        <f aca="false">IF(TblMagic[[#This Row],[Alchemist Frost]],12,IF(OFFSET(TblMagic[[#This Row],[Active Alch Frost]],-1,0)&gt;0,OFFSET(TblMagic[[#This Row],[Active Alch Frost]],-1,0)-1,0))</f>
        <v>11</v>
      </c>
      <c r="AM12" s="26" t="n">
        <f aca="false">IF(TblMagic[[#This Row],[Alchemists Flame]],12,IF(OFFSET(TblMagic[[#This Row],[Active Alchemists Flame]],-1,0)&gt;0,OFFSET(TblMagic[[#This Row],[Active Alchemists Flame]],-1,0)-1,0))</f>
        <v>12</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-10389</v>
      </c>
      <c r="D13" s="149" t="n">
        <f aca="false">MIN(1,OFFSET(TblMagic[[#This Row],[Wiz str]],-1,0)+0.04+ROUNDDOWN(10*OFFSET(TblMili[[#This Row],[WG''s]],-1,0),0)+ tech_2_7*OFFSET(TblTech[[#This Row],[2-7]],-1,0) + tech_5_6*OFFSET(TblTech[[#This Row],[5-6]],-1,0) )-TblMagic[[#This Row],[Wiz str cost]]</f>
        <v>0.87</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t="n">
        <v>1</v>
      </c>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3" s="149" t="n">
        <f aca="false">SUMIF(TblMagic[[#This Row],[Gaia''s Watch]:[Useless spell]],1)*0.05</f>
        <v>0.05</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4</v>
      </c>
      <c r="AG13" s="26" t="n">
        <f aca="false">IF(TblMagic[[#This Row],[Mechanical Genius]],12,IF(OFFSET(TblMagic[[#This Row],[Active Mechanical Genius]],-1,0)&gt;0,OFFSET(TblMagic[[#This Row],[Active Mechanical Genius]],-1,0)-1,0))</f>
        <v>5</v>
      </c>
      <c r="AH13" s="26" t="n">
        <f aca="false">IF(TblMagic[[#This Row],[Frenzy]],12,IF(OFFSET(TblMagic[[#This Row],[Active Frenzy]],-1,0)&gt;0,OFFSET(TblMagic[[#This Row],[Active Frenzy]],-1,0)-1,0))</f>
        <v>6</v>
      </c>
      <c r="AI13" s="26" t="n">
        <f aca="false">IF(TblMagic[[#This Row],[Killing Rage / Bloodrage / Crusade]],12,IF(OFFSET(TblMagic[[#This Row],[Active Warsong / Killing Rage / Bloodrage]],-1,0)&gt;0,OFFSET(TblMagic[[#This Row],[Active Warsong / Killing Rage / Bloodrage]],-1,0)-1,0))</f>
        <v>7</v>
      </c>
      <c r="AJ13" s="26" t="n">
        <f aca="false">IF(TblMagic[[#This Row],[Gaia''s Blessing]],12,IF(OFFSET(TblMagic[[#This Row],[Active Gaia''s Blessing]],-1,0)&gt;0,OFFSET(TblMagic[[#This Row],[Active Gaia''s Blessing]],-1,0)-1,0))</f>
        <v>8</v>
      </c>
      <c r="AK13" s="26" t="n">
        <f aca="false">IF(TblMagic[[#This Row],[Howling]],12,IF(OFFSET(TblMagic[[#This Row],[Active Howling]],-1,0)&gt;0,OFFSET(TblMagic[[#This Row],[Active Howling]],-1,0)-1,0))</f>
        <v>9</v>
      </c>
      <c r="AL13" s="26" t="n">
        <f aca="false">IF(TblMagic[[#This Row],[Alchemist Frost]],12,IF(OFFSET(TblMagic[[#This Row],[Active Alch Frost]],-1,0)&gt;0,OFFSET(TblMagic[[#This Row],[Active Alch Frost]],-1,0)-1,0))</f>
        <v>10</v>
      </c>
      <c r="AM13" s="26" t="n">
        <f aca="false">IF(TblMagic[[#This Row],[Alchemists Flame]],12,IF(OFFSET(TblMagic[[#This Row],[Active Alchemists Flame]],-1,0)&gt;0,OFFSET(TblMagic[[#This Row],[Active Alchemists Flame]],-1,0)-1,0))</f>
        <v>11</v>
      </c>
      <c r="AN13" s="26" t="n">
        <f aca="false">IF(TblMagic[[#This Row],[Nightfall]],12,IF(OFFSET(TblMagic[[#This Row],[Active Nightfall]],-1,0)&gt;0,OFFSET(TblMagic[[#This Row],[Active Nightfall]],-1,0)-1,0))</f>
        <v>12</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-11431</v>
      </c>
      <c r="D14" s="149" t="n">
        <f aca="false">MIN(1,OFFSET(TblMagic[[#This Row],[Wiz str]],-1,0)+0.04+ROUNDDOWN(10*OFFSET(TblMili[[#This Row],[WG''s]],-1,0),0)+ tech_2_7*OFFSET(TblTech[[#This Row],[2-7]],-1,0) + tech_5_6*OFFSET(TblTech[[#This Row],[5-6]],-1,0) )-TblMagic[[#This Row],[Wiz str cost]]</f>
        <v>0.86</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t="n">
        <v>1</v>
      </c>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1250</v>
      </c>
      <c r="Y14" s="149" t="n">
        <f aca="false">SUMIF(TblMagic[[#This Row],[Gaia''s Watch]:[Useless spell]],1)*0.05</f>
        <v>0.05</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3</v>
      </c>
      <c r="AG14" s="26" t="n">
        <f aca="false">IF(TblMagic[[#This Row],[Mechanical Genius]],12,IF(OFFSET(TblMagic[[#This Row],[Active Mechanical Genius]],-1,0)&gt;0,OFFSET(TblMagic[[#This Row],[Active Mechanical Genius]],-1,0)-1,0))</f>
        <v>4</v>
      </c>
      <c r="AH14" s="26" t="n">
        <f aca="false">IF(TblMagic[[#This Row],[Frenzy]],12,IF(OFFSET(TblMagic[[#This Row],[Active Frenzy]],-1,0)&gt;0,OFFSET(TblMagic[[#This Row],[Active Frenzy]],-1,0)-1,0))</f>
        <v>5</v>
      </c>
      <c r="AI14" s="26" t="n">
        <f aca="false">IF(TblMagic[[#This Row],[Killing Rage / Bloodrage / Crusade]],12,IF(OFFSET(TblMagic[[#This Row],[Active Warsong / Killing Rage / Bloodrage]],-1,0)&gt;0,OFFSET(TblMagic[[#This Row],[Active Warsong / Killing Rage / Bloodrage]],-1,0)-1,0))</f>
        <v>6</v>
      </c>
      <c r="AJ14" s="26" t="n">
        <f aca="false">IF(TblMagic[[#This Row],[Gaia''s Blessing]],12,IF(OFFSET(TblMagic[[#This Row],[Active Gaia''s Blessing]],-1,0)&gt;0,OFFSET(TblMagic[[#This Row],[Active Gaia''s Blessing]],-1,0)-1,0))</f>
        <v>7</v>
      </c>
      <c r="AK14" s="26" t="n">
        <f aca="false">IF(TblMagic[[#This Row],[Howling]],12,IF(OFFSET(TblMagic[[#This Row],[Active Howling]],-1,0)&gt;0,OFFSET(TblMagic[[#This Row],[Active Howling]],-1,0)-1,0))</f>
        <v>8</v>
      </c>
      <c r="AL14" s="26" t="n">
        <f aca="false">IF(TblMagic[[#This Row],[Alchemist Frost]],12,IF(OFFSET(TblMagic[[#This Row],[Active Alch Frost]],-1,0)&gt;0,OFFSET(TblMagic[[#This Row],[Active Alch Frost]],-1,0)-1,0))</f>
        <v>9</v>
      </c>
      <c r="AM14" s="26" t="n">
        <f aca="false">IF(TblMagic[[#This Row],[Alchemists Flame]],12,IF(OFFSET(TblMagic[[#This Row],[Active Alchemists Flame]],-1,0)&gt;0,OFFSET(TblMagic[[#This Row],[Active Alchemists Flame]],-1,0)-1,0))</f>
        <v>10</v>
      </c>
      <c r="AN14" s="26" t="n">
        <f aca="false">IF(TblMagic[[#This Row],[Nightfall]],12,IF(OFFSET(TblMagic[[#This Row],[Active Nightfall]],-1,0)&gt;0,OFFSET(TblMagic[[#This Row],[Active Nightfall]],-1,0)-1,0))</f>
        <v>11</v>
      </c>
      <c r="AO14" s="26" t="n">
        <f aca="false">IF(TblMagic[[#This Row],[Favorable Terrain]],12,IF(OFFSET(TblMagic[[#This Row],[Active Favorable Terrain]],-1,0)&gt;0,OFFSET(TblMagic[[#This Row],[Active Favorable Terrain]],-1,0)-1,0))</f>
        <v>12</v>
      </c>
    </row>
    <row r="15" customFormat="false" ht="12.75" hidden="false" customHeight="false" outlineLevel="0" collapsed="false">
      <c r="A15" s="128" t="n">
        <f aca="false">TblRezone[[#This Row],[Hour]]</f>
        <v>12</v>
      </c>
      <c r="B15" s="146" t="n">
        <f aca="false">TblConstr[[#This Row],[Land]]</f>
        <v>250</v>
      </c>
      <c r="C15" s="69" t="n">
        <f aca="false">TblProd[[#This Row],[Mana]]</f>
        <v>-11202</v>
      </c>
      <c r="D15" s="149" t="n">
        <f aca="false">MIN(1,OFFSET(TblMagic[[#This Row],[Wiz str]],-1,0)+0.04+ROUNDDOWN(10*OFFSET(TblMili[[#This Row],[WG''s]],-1,0),0)+ tech_2_7*OFFSET(TblTech[[#This Row],[2-7]],-1,0) + tech_5_6*OFFSET(TblTech[[#This Row],[5-6]],-1,0) )-TblMagic[[#This Row],[Wiz str cost]]</f>
        <v>0.9</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2</v>
      </c>
      <c r="AG15" s="26" t="n">
        <f aca="false">IF(TblMagic[[#This Row],[Mechanical Genius]],12,IF(OFFSET(TblMagic[[#This Row],[Active Mechanical Genius]],-1,0)&gt;0,OFFSET(TblMagic[[#This Row],[Active Mechanical Genius]],-1,0)-1,0))</f>
        <v>3</v>
      </c>
      <c r="AH15" s="26" t="n">
        <f aca="false">IF(TblMagic[[#This Row],[Frenzy]],12,IF(OFFSET(TblMagic[[#This Row],[Active Frenzy]],-1,0)&gt;0,OFFSET(TblMagic[[#This Row],[Active Frenzy]],-1,0)-1,0))</f>
        <v>4</v>
      </c>
      <c r="AI15" s="26" t="n">
        <f aca="false">IF(TblMagic[[#This Row],[Killing Rage / Bloodrage / Crusade]],12,IF(OFFSET(TblMagic[[#This Row],[Active Warsong / Killing Rage / Bloodrage]],-1,0)&gt;0,OFFSET(TblMagic[[#This Row],[Active Warsong / Killing Rage / Bloodrage]],-1,0)-1,0))</f>
        <v>5</v>
      </c>
      <c r="AJ15" s="26" t="n">
        <f aca="false">IF(TblMagic[[#This Row],[Gaia''s Blessing]],12,IF(OFFSET(TblMagic[[#This Row],[Active Gaia''s Blessing]],-1,0)&gt;0,OFFSET(TblMagic[[#This Row],[Active Gaia''s Blessing]],-1,0)-1,0))</f>
        <v>6</v>
      </c>
      <c r="AK15" s="26" t="n">
        <f aca="false">IF(TblMagic[[#This Row],[Howling]],12,IF(OFFSET(TblMagic[[#This Row],[Active Howling]],-1,0)&gt;0,OFFSET(TblMagic[[#This Row],[Active Howling]],-1,0)-1,0))</f>
        <v>7</v>
      </c>
      <c r="AL15" s="26" t="n">
        <f aca="false">IF(TblMagic[[#This Row],[Alchemist Frost]],12,IF(OFFSET(TblMagic[[#This Row],[Active Alch Frost]],-1,0)&gt;0,OFFSET(TblMagic[[#This Row],[Active Alch Frost]],-1,0)-1,0))</f>
        <v>8</v>
      </c>
      <c r="AM15" s="26" t="n">
        <f aca="false">IF(TblMagic[[#This Row],[Alchemists Flame]],12,IF(OFFSET(TblMagic[[#This Row],[Active Alchemists Flame]],-1,0)&gt;0,OFFSET(TblMagic[[#This Row],[Active Alchemists Flame]],-1,0)-1,0))</f>
        <v>9</v>
      </c>
      <c r="AN15" s="26" t="n">
        <f aca="false">IF(TblMagic[[#This Row],[Nightfall]],12,IF(OFFSET(TblMagic[[#This Row],[Active Nightfall]],-1,0)&gt;0,OFFSET(TblMagic[[#This Row],[Active Nightfall]],-1,0)-1,0))</f>
        <v>10</v>
      </c>
      <c r="AO15" s="26" t="n">
        <f aca="false">IF(TblMagic[[#This Row],[Favorable Terrain]],12,IF(OFFSET(TblMagic[[#This Row],[Active Favorable Terrain]],-1,0)&gt;0,OFFSET(TblMagic[[#This Row],[Active Favorable Terrain]],-1,0)-1,0))</f>
        <v>11</v>
      </c>
    </row>
    <row r="16" customFormat="false" ht="12.75" hidden="false" customHeight="false" outlineLevel="0" collapsed="false">
      <c r="A16" s="128" t="n">
        <f aca="false">TblRezone[[#This Row],[Hour]]</f>
        <v>13</v>
      </c>
      <c r="B16" s="146" t="n">
        <f aca="false">TblConstr[[#This Row],[Land]]</f>
        <v>250</v>
      </c>
      <c r="C16" s="69" t="n">
        <f aca="false">TblProd[[#This Row],[Mana]]</f>
        <v>-10603</v>
      </c>
      <c r="D16" s="149" t="n">
        <f aca="false">MIN(1,OFFSET(TblMagic[[#This Row],[Wiz str]],-1,0)+0.04+ROUNDDOWN(10*OFFSET(TblMili[[#This Row],[WG''s]],-1,0),0)+ tech_2_7*OFFSET(TblTech[[#This Row],[2-7]],-1,0) + tech_5_6*OFFSET(TblTech[[#This Row],[5-6]],-1,0) )-TblMagic[[#This Row],[Wiz str cost]]</f>
        <v>0.94</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1</v>
      </c>
      <c r="AG16" s="26" t="n">
        <f aca="false">IF(TblMagic[[#This Row],[Mechanical Genius]],12,IF(OFFSET(TblMagic[[#This Row],[Active Mechanical Genius]],-1,0)&gt;0,OFFSET(TblMagic[[#This Row],[Active Mechanical Genius]],-1,0)-1,0))</f>
        <v>2</v>
      </c>
      <c r="AH16" s="26" t="n">
        <f aca="false">IF(TblMagic[[#This Row],[Frenzy]],12,IF(OFFSET(TblMagic[[#This Row],[Active Frenzy]],-1,0)&gt;0,OFFSET(TblMagic[[#This Row],[Active Frenzy]],-1,0)-1,0))</f>
        <v>3</v>
      </c>
      <c r="AI16" s="26" t="n">
        <f aca="false">IF(TblMagic[[#This Row],[Killing Rage / Bloodrage / Crusade]],12,IF(OFFSET(TblMagic[[#This Row],[Active Warsong / Killing Rage / Bloodrage]],-1,0)&gt;0,OFFSET(TblMagic[[#This Row],[Active Warsong / Killing Rage / Bloodrage]],-1,0)-1,0))</f>
        <v>4</v>
      </c>
      <c r="AJ16" s="26" t="n">
        <f aca="false">IF(TblMagic[[#This Row],[Gaia''s Blessing]],12,IF(OFFSET(TblMagic[[#This Row],[Active Gaia''s Blessing]],-1,0)&gt;0,OFFSET(TblMagic[[#This Row],[Active Gaia''s Blessing]],-1,0)-1,0))</f>
        <v>5</v>
      </c>
      <c r="AK16" s="26" t="n">
        <f aca="false">IF(TblMagic[[#This Row],[Howling]],12,IF(OFFSET(TblMagic[[#This Row],[Active Howling]],-1,0)&gt;0,OFFSET(TblMagic[[#This Row],[Active Howling]],-1,0)-1,0))</f>
        <v>6</v>
      </c>
      <c r="AL16" s="26" t="n">
        <f aca="false">IF(TblMagic[[#This Row],[Alchemist Frost]],12,IF(OFFSET(TblMagic[[#This Row],[Active Alch Frost]],-1,0)&gt;0,OFFSET(TblMagic[[#This Row],[Active Alch Frost]],-1,0)-1,0))</f>
        <v>7</v>
      </c>
      <c r="AM16" s="26" t="n">
        <f aca="false">IF(TblMagic[[#This Row],[Alchemists Flame]],12,IF(OFFSET(TblMagic[[#This Row],[Active Alchemists Flame]],-1,0)&gt;0,OFFSET(TblMagic[[#This Row],[Active Alchemists Flame]],-1,0)-1,0))</f>
        <v>8</v>
      </c>
      <c r="AN16" s="26" t="n">
        <f aca="false">IF(TblMagic[[#This Row],[Nightfall]],12,IF(OFFSET(TblMagic[[#This Row],[Active Nightfall]],-1,0)&gt;0,OFFSET(TblMagic[[#This Row],[Active Nightfall]],-1,0)-1,0))</f>
        <v>9</v>
      </c>
      <c r="AO16" s="26" t="n">
        <f aca="false">IF(TblMagic[[#This Row],[Favorable Terrain]],12,IF(OFFSET(TblMagic[[#This Row],[Active Favorable Terrain]],-1,0)&gt;0,OFFSET(TblMagic[[#This Row],[Active Favorable Terrain]],-1,0)-1,0))</f>
        <v>10</v>
      </c>
    </row>
    <row r="17" customFormat="false" ht="12.75" hidden="false" customHeight="false" outlineLevel="0" collapsed="false">
      <c r="A17" s="128" t="n">
        <f aca="false">TblRezone[[#This Row],[Hour]]</f>
        <v>14</v>
      </c>
      <c r="B17" s="146" t="n">
        <f aca="false">TblConstr[[#This Row],[Land]]</f>
        <v>250</v>
      </c>
      <c r="C17" s="69" t="n">
        <f aca="false">TblProd[[#This Row],[Mana]]</f>
        <v>-10016</v>
      </c>
      <c r="D17" s="149" t="n">
        <f aca="false">MIN(1,OFFSET(TblMagic[[#This Row],[Wiz str]],-1,0)+0.04+ROUNDDOWN(10*OFFSET(TblMili[[#This Row],[WG''s]],-1,0),0)+ tech_2_7*OFFSET(TblTech[[#This Row],[2-7]],-1,0) + tech_5_6*OFFSET(TblTech[[#This Row],[5-6]],-1,0) )-TblMagic[[#This Row],[Wiz str cost]]</f>
        <v>0.98</v>
      </c>
      <c r="E17" s="153" t="n">
        <f aca="false">OFFSET(TblMagic[[#This Row],[Time]],-1,0)+1/24</f>
        <v>45430.2916666667</v>
      </c>
      <c r="F17" s="149" t="n">
        <f aca="false">TblImps[[#This Row],[Population]]</f>
        <v>0.535678889990089</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1</v>
      </c>
      <c r="AH17" s="26" t="n">
        <f aca="false">IF(TblMagic[[#This Row],[Frenzy]],12,IF(OFFSET(TblMagic[[#This Row],[Active Frenzy]],-1,0)&gt;0,OFFSET(TblMagic[[#This Row],[Active Frenzy]],-1,0)-1,0))</f>
        <v>2</v>
      </c>
      <c r="AI17" s="26" t="n">
        <f aca="false">IF(TblMagic[[#This Row],[Killing Rage / Bloodrage / Crusade]],12,IF(OFFSET(TblMagic[[#This Row],[Active Warsong / Killing Rage / Bloodrage]],-1,0)&gt;0,OFFSET(TblMagic[[#This Row],[Active Warsong / Killing Rage / Bloodrage]],-1,0)-1,0))</f>
        <v>3</v>
      </c>
      <c r="AJ17" s="26" t="n">
        <f aca="false">IF(TblMagic[[#This Row],[Gaia''s Blessing]],12,IF(OFFSET(TblMagic[[#This Row],[Active Gaia''s Blessing]],-1,0)&gt;0,OFFSET(TblMagic[[#This Row],[Active Gaia''s Blessing]],-1,0)-1,0))</f>
        <v>4</v>
      </c>
      <c r="AK17" s="26" t="n">
        <f aca="false">IF(TblMagic[[#This Row],[Howling]],12,IF(OFFSET(TblMagic[[#This Row],[Active Howling]],-1,0)&gt;0,OFFSET(TblMagic[[#This Row],[Active Howling]],-1,0)-1,0))</f>
        <v>5</v>
      </c>
      <c r="AL17" s="26" t="n">
        <f aca="false">IF(TblMagic[[#This Row],[Alchemist Frost]],12,IF(OFFSET(TblMagic[[#This Row],[Active Alch Frost]],-1,0)&gt;0,OFFSET(TblMagic[[#This Row],[Active Alch Frost]],-1,0)-1,0))</f>
        <v>6</v>
      </c>
      <c r="AM17" s="26" t="n">
        <f aca="false">IF(TblMagic[[#This Row],[Alchemists Flame]],12,IF(OFFSET(TblMagic[[#This Row],[Active Alchemists Flame]],-1,0)&gt;0,OFFSET(TblMagic[[#This Row],[Active Alchemists Flame]],-1,0)-1,0))</f>
        <v>7</v>
      </c>
      <c r="AN17" s="26" t="n">
        <f aca="false">IF(TblMagic[[#This Row],[Nightfall]],12,IF(OFFSET(TblMagic[[#This Row],[Active Nightfall]],-1,0)&gt;0,OFFSET(TblMagic[[#This Row],[Active Nightfall]],-1,0)-1,0))</f>
        <v>8</v>
      </c>
      <c r="AO17" s="26" t="n">
        <f aca="false">IF(TblMagic[[#This Row],[Favorable Terrain]],12,IF(OFFSET(TblMagic[[#This Row],[Active Favorable Terrain]],-1,0)&gt;0,OFFSET(TblMagic[[#This Row],[Active Favorable Terrain]],-1,0)-1,0))</f>
        <v>9</v>
      </c>
    </row>
    <row r="18" customFormat="false" ht="12.75" hidden="false" customHeight="false" outlineLevel="0" collapsed="false">
      <c r="A18" s="128" t="n">
        <f aca="false">TblRezone[[#This Row],[Hour]]</f>
        <v>15</v>
      </c>
      <c r="B18" s="146" t="n">
        <f aca="false">TblConstr[[#This Row],[Land]]</f>
        <v>250</v>
      </c>
      <c r="C18" s="69" t="n">
        <f aca="false">TblProd[[#This Row],[Mana]]</f>
        <v>-9441</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0.563676907829534</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1</v>
      </c>
      <c r="AI18" s="26" t="n">
        <f aca="false">IF(TblMagic[[#This Row],[Killing Rage / Bloodrage / Crusade]],12,IF(OFFSET(TblMagic[[#This Row],[Active Warsong / Killing Rage / Bloodrage]],-1,0)&gt;0,OFFSET(TblMagic[[#This Row],[Active Warsong / Killing Rage / Bloodrage]],-1,0)-1,0))</f>
        <v>2</v>
      </c>
      <c r="AJ18" s="26" t="n">
        <f aca="false">IF(TblMagic[[#This Row],[Gaia''s Blessing]],12,IF(OFFSET(TblMagic[[#This Row],[Active Gaia''s Blessing]],-1,0)&gt;0,OFFSET(TblMagic[[#This Row],[Active Gaia''s Blessing]],-1,0)-1,0))</f>
        <v>3</v>
      </c>
      <c r="AK18" s="26" t="n">
        <f aca="false">IF(TblMagic[[#This Row],[Howling]],12,IF(OFFSET(TblMagic[[#This Row],[Active Howling]],-1,0)&gt;0,OFFSET(TblMagic[[#This Row],[Active Howling]],-1,0)-1,0))</f>
        <v>4</v>
      </c>
      <c r="AL18" s="26" t="n">
        <f aca="false">IF(TblMagic[[#This Row],[Alchemist Frost]],12,IF(OFFSET(TblMagic[[#This Row],[Active Alch Frost]],-1,0)&gt;0,OFFSET(TblMagic[[#This Row],[Active Alch Frost]],-1,0)-1,0))</f>
        <v>5</v>
      </c>
      <c r="AM18" s="26" t="n">
        <f aca="false">IF(TblMagic[[#This Row],[Alchemists Flame]],12,IF(OFFSET(TblMagic[[#This Row],[Active Alchemists Flame]],-1,0)&gt;0,OFFSET(TblMagic[[#This Row],[Active Alchemists Flame]],-1,0)-1,0))</f>
        <v>6</v>
      </c>
      <c r="AN18" s="26" t="n">
        <f aca="false">IF(TblMagic[[#This Row],[Nightfall]],12,IF(OFFSET(TblMagic[[#This Row],[Active Nightfall]],-1,0)&gt;0,OFFSET(TblMagic[[#This Row],[Active Nightfall]],-1,0)-1,0))</f>
        <v>7</v>
      </c>
      <c r="AO18" s="26" t="n">
        <f aca="false">IF(TblMagic[[#This Row],[Favorable Terrain]],12,IF(OFFSET(TblMagic[[#This Row],[Active Favorable Terrain]],-1,0)&gt;0,OFFSET(TblMagic[[#This Row],[Active Favorable Terrain]],-1,0)-1,0))</f>
        <v>8</v>
      </c>
    </row>
    <row r="19" customFormat="false" ht="12.75" hidden="false" customHeight="false" outlineLevel="0" collapsed="false">
      <c r="A19" s="128" t="n">
        <f aca="false">TblRezone[[#This Row],[Hour]]</f>
        <v>16</v>
      </c>
      <c r="B19" s="146" t="n">
        <f aca="false">TblConstr[[#This Row],[Land]]</f>
        <v>250</v>
      </c>
      <c r="C19" s="69" t="n">
        <f aca="false">TblProd[[#This Row],[Mana]]</f>
        <v>-8877</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0.593161546085233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1</v>
      </c>
      <c r="AJ19" s="26" t="n">
        <f aca="false">IF(TblMagic[[#This Row],[Gaia''s Blessing]],12,IF(OFFSET(TblMagic[[#This Row],[Active Gaia''s Blessing]],-1,0)&gt;0,OFFSET(TblMagic[[#This Row],[Active Gaia''s Blessing]],-1,0)-1,0))</f>
        <v>2</v>
      </c>
      <c r="AK19" s="26" t="n">
        <f aca="false">IF(TblMagic[[#This Row],[Howling]],12,IF(OFFSET(TblMagic[[#This Row],[Active Howling]],-1,0)&gt;0,OFFSET(TblMagic[[#This Row],[Active Howling]],-1,0)-1,0))</f>
        <v>3</v>
      </c>
      <c r="AL19" s="26" t="n">
        <f aca="false">IF(TblMagic[[#This Row],[Alchemist Frost]],12,IF(OFFSET(TblMagic[[#This Row],[Active Alch Frost]],-1,0)&gt;0,OFFSET(TblMagic[[#This Row],[Active Alch Frost]],-1,0)-1,0))</f>
        <v>4</v>
      </c>
      <c r="AM19" s="26" t="n">
        <f aca="false">IF(TblMagic[[#This Row],[Alchemists Flame]],12,IF(OFFSET(TblMagic[[#This Row],[Active Alchemists Flame]],-1,0)&gt;0,OFFSET(TblMagic[[#This Row],[Active Alchemists Flame]],-1,0)-1,0))</f>
        <v>5</v>
      </c>
      <c r="AN19" s="26" t="n">
        <f aca="false">IF(TblMagic[[#This Row],[Nightfall]],12,IF(OFFSET(TblMagic[[#This Row],[Active Nightfall]],-1,0)&gt;0,OFFSET(TblMagic[[#This Row],[Active Nightfall]],-1,0)-1,0))</f>
        <v>6</v>
      </c>
      <c r="AO19" s="26" t="n">
        <f aca="false">IF(TblMagic[[#This Row],[Favorable Terrain]],12,IF(OFFSET(TblMagic[[#This Row],[Active Favorable Terrain]],-1,0)&gt;0,OFFSET(TblMagic[[#This Row],[Active Favorable Terrain]],-1,0)-1,0))</f>
        <v>7</v>
      </c>
    </row>
    <row r="20" customFormat="false" ht="12.75" hidden="false" customHeight="false" outlineLevel="0" collapsed="false">
      <c r="A20" s="128" t="n">
        <f aca="false">TblRezone[[#This Row],[Hour]]</f>
        <v>17</v>
      </c>
      <c r="B20" s="146" t="n">
        <f aca="false">TblConstr[[#This Row],[Land]]</f>
        <v>250</v>
      </c>
      <c r="C20" s="69" t="n">
        <f aca="false">TblProd[[#This Row],[Mana]]</f>
        <v>-8324</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0.624132804757185</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1</v>
      </c>
      <c r="AK20" s="26" t="n">
        <f aca="false">IF(TblMagic[[#This Row],[Howling]],12,IF(OFFSET(TblMagic[[#This Row],[Active Howling]],-1,0)&gt;0,OFFSET(TblMagic[[#This Row],[Active Howling]],-1,0)-1,0))</f>
        <v>2</v>
      </c>
      <c r="AL20" s="26" t="n">
        <f aca="false">IF(TblMagic[[#This Row],[Alchemist Frost]],12,IF(OFFSET(TblMagic[[#This Row],[Active Alch Frost]],-1,0)&gt;0,OFFSET(TblMagic[[#This Row],[Active Alch Frost]],-1,0)-1,0))</f>
        <v>3</v>
      </c>
      <c r="AM20" s="26" t="n">
        <f aca="false">IF(TblMagic[[#This Row],[Alchemists Flame]],12,IF(OFFSET(TblMagic[[#This Row],[Active Alchemists Flame]],-1,0)&gt;0,OFFSET(TblMagic[[#This Row],[Active Alchemists Flame]],-1,0)-1,0))</f>
        <v>4</v>
      </c>
      <c r="AN20" s="26" t="n">
        <f aca="false">IF(TblMagic[[#This Row],[Nightfall]],12,IF(OFFSET(TblMagic[[#This Row],[Active Nightfall]],-1,0)&gt;0,OFFSET(TblMagic[[#This Row],[Active Nightfall]],-1,0)-1,0))</f>
        <v>5</v>
      </c>
      <c r="AO20" s="26" t="n">
        <f aca="false">IF(TblMagic[[#This Row],[Favorable Terrain]],12,IF(OFFSET(TblMagic[[#This Row],[Active Favorable Terrain]],-1,0)&gt;0,OFFSET(TblMagic[[#This Row],[Active Favorable Terrain]],-1,0)-1,0))</f>
        <v>6</v>
      </c>
    </row>
    <row r="21" customFormat="false" ht="12.75" hidden="false" customHeight="false" outlineLevel="0" collapsed="false">
      <c r="A21" s="128" t="n">
        <f aca="false">TblRezone[[#This Row],[Hour]]</f>
        <v>18</v>
      </c>
      <c r="B21" s="146" t="n">
        <f aca="false">TblConstr[[#This Row],[Land]]</f>
        <v>274</v>
      </c>
      <c r="C21" s="69" t="n">
        <f aca="false">TblProd[[#This Row],[Mana]]</f>
        <v>-7783</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0.567827130852341</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1</v>
      </c>
      <c r="AL21" s="26" t="n">
        <f aca="false">IF(TblMagic[[#This Row],[Alchemist Frost]],12,IF(OFFSET(TblMagic[[#This Row],[Active Alch Frost]],-1,0)&gt;0,OFFSET(TblMagic[[#This Row],[Active Alch Frost]],-1,0)-1,0))</f>
        <v>2</v>
      </c>
      <c r="AM21" s="26" t="n">
        <f aca="false">IF(TblMagic[[#This Row],[Alchemists Flame]],12,IF(OFFSET(TblMagic[[#This Row],[Active Alchemists Flame]],-1,0)&gt;0,OFFSET(TblMagic[[#This Row],[Active Alchemists Flame]],-1,0)-1,0))</f>
        <v>3</v>
      </c>
      <c r="AN21" s="26" t="n">
        <f aca="false">IF(TblMagic[[#This Row],[Nightfall]],12,IF(OFFSET(TblMagic[[#This Row],[Active Nightfall]],-1,0)&gt;0,OFFSET(TblMagic[[#This Row],[Active Nightfall]],-1,0)-1,0))</f>
        <v>4</v>
      </c>
      <c r="AO21" s="26" t="n">
        <f aca="false">IF(TblMagic[[#This Row],[Favorable Terrain]],12,IF(OFFSET(TblMagic[[#This Row],[Active Favorable Terrain]],-1,0)&gt;0,OFFSET(TblMagic[[#This Row],[Active Favorable Terrain]],-1,0)-1,0))</f>
        <v>5</v>
      </c>
    </row>
    <row r="22" customFormat="false" ht="12.75" hidden="false" customHeight="false" outlineLevel="0" collapsed="false">
      <c r="A22" s="128" t="n">
        <f aca="false">TblRezone[[#This Row],[Hour]]</f>
        <v>19</v>
      </c>
      <c r="B22" s="146" t="n">
        <f aca="false">TblConstr[[#This Row],[Land]]</f>
        <v>275</v>
      </c>
      <c r="C22" s="69" t="n">
        <f aca="false">TblProd[[#This Row],[Mana]]</f>
        <v>-7252</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0.553849627455408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1</v>
      </c>
      <c r="AM22" s="26" t="n">
        <f aca="false">IF(TblMagic[[#This Row],[Alchemists Flame]],12,IF(OFFSET(TblMagic[[#This Row],[Active Alchemists Flame]],-1,0)&gt;0,OFFSET(TblMagic[[#This Row],[Active Alchemists Flame]],-1,0)-1,0))</f>
        <v>2</v>
      </c>
      <c r="AN22" s="26" t="n">
        <f aca="false">IF(TblMagic[[#This Row],[Nightfall]],12,IF(OFFSET(TblMagic[[#This Row],[Active Nightfall]],-1,0)&gt;0,OFFSET(TblMagic[[#This Row],[Active Nightfall]],-1,0)-1,0))</f>
        <v>3</v>
      </c>
      <c r="AO22" s="26" t="n">
        <f aca="false">IF(TblMagic[[#This Row],[Favorable Terrain]],12,IF(OFFSET(TblMagic[[#This Row],[Active Favorable Terrain]],-1,0)&gt;0,OFFSET(TblMagic[[#This Row],[Active Favorable Terrain]],-1,0)-1,0))</f>
        <v>4</v>
      </c>
    </row>
    <row r="23" customFormat="false" ht="12.75" hidden="false" customHeight="false" outlineLevel="0" collapsed="false">
      <c r="A23" s="128" t="n">
        <f aca="false">TblRezone[[#This Row],[Hour]]</f>
        <v>20</v>
      </c>
      <c r="B23" s="146" t="n">
        <f aca="false">TblConstr[[#This Row],[Land]]</f>
        <v>276</v>
      </c>
      <c r="C23" s="69" t="n">
        <f aca="false">TblProd[[#This Row],[Mana]]</f>
        <v>-6732</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0.572103487064117</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1</v>
      </c>
      <c r="AN23" s="26" t="n">
        <f aca="false">IF(TblMagic[[#This Row],[Nightfall]],12,IF(OFFSET(TblMagic[[#This Row],[Active Nightfall]],-1,0)&gt;0,OFFSET(TblMagic[[#This Row],[Active Nightfall]],-1,0)-1,0))</f>
        <v>2</v>
      </c>
      <c r="AO23" s="26" t="n">
        <f aca="false">IF(TblMagic[[#This Row],[Favorable Terrain]],12,IF(OFFSET(TblMagic[[#This Row],[Active Favorable Terrain]],-1,0)&gt;0,OFFSET(TblMagic[[#This Row],[Active Favorable Terrain]],-1,0)-1,0))</f>
        <v>3</v>
      </c>
    </row>
    <row r="24" customFormat="false" ht="12.75" hidden="false" customHeight="false" outlineLevel="0" collapsed="false">
      <c r="A24" s="128" t="n">
        <f aca="false">TblRezone[[#This Row],[Hour]]</f>
        <v>21</v>
      </c>
      <c r="B24" s="146" t="n">
        <f aca="false">TblConstr[[#This Row],[Land]]</f>
        <v>277</v>
      </c>
      <c r="C24" s="69" t="n">
        <f aca="false">TblProd[[#This Row],[Mana]]</f>
        <v>-6222</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0.591795561533289</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1</v>
      </c>
      <c r="AO24" s="26" t="n">
        <f aca="false">IF(TblMagic[[#This Row],[Favorable Terrain]],12,IF(OFFSET(TblMagic[[#This Row],[Active Favorable Terrain]],-1,0)&gt;0,OFFSET(TblMagic[[#This Row],[Active Favorable Terrain]],-1,0)-1,0))</f>
        <v>2</v>
      </c>
    </row>
    <row r="25" customFormat="false" ht="12.75" hidden="false" customHeight="false" outlineLevel="0" collapsed="false">
      <c r="A25" s="128" t="n">
        <f aca="false">TblRezone[[#This Row],[Hour]]</f>
        <v>22</v>
      </c>
      <c r="B25" s="146" t="n">
        <f aca="false">TblConstr[[#This Row],[Land]]</f>
        <v>278</v>
      </c>
      <c r="C25" s="69" t="n">
        <f aca="false">TblProd[[#This Row],[Mana]]</f>
        <v>-5723</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0.620951530042439</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1</v>
      </c>
    </row>
    <row r="26" customFormat="false" ht="12.75" hidden="false" customHeight="false" outlineLevel="0" collapsed="false">
      <c r="A26" s="128" t="n">
        <f aca="false">TblRezone[[#This Row],[Hour]]</f>
        <v>23</v>
      </c>
      <c r="B26" s="146" t="n">
        <f aca="false">TblConstr[[#This Row],[Land]]</f>
        <v>279</v>
      </c>
      <c r="C26" s="69" t="n">
        <f aca="false">TblProd[[#This Row],[Mana]]</f>
        <v>-5234</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0.65234809703984</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-5451.5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0.678952042628774</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-4892.5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0.677646571369381</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-6587</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0.724466542365859</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-6005</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0.774394033561218</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-6182.5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0.827429044955459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1013483.5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0.860575927076859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993663.5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0.84108378170638</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974240.5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0.765791223404255</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955205.5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0.782384255525085</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936551.5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0.798686062881276</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918270.5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0.821963903334353</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900355.5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0.859139948336119</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882798.5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0.893044915126934</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865592.5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0.924748669426375</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845588</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0.973684210526316</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829126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811945.5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447</v>
      </c>
      <c r="C44" s="69" t="n">
        <f aca="false">TblProd[[#This Row],[Mana]]</f>
        <v>796156.5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0.990455531453362</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456</v>
      </c>
      <c r="C45" s="69" t="n">
        <f aca="false">TblProd[[#This Row],[Mana]]</f>
        <v>780683.5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0.917792505735407</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466</v>
      </c>
      <c r="C46" s="69" t="n">
        <f aca="false">TblProd[[#This Row],[Mana]]</f>
        <v>765519.5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0.949856196073528</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476</v>
      </c>
      <c r="C47" s="69" t="n">
        <f aca="false">TblProd[[#This Row],[Mana]]</f>
        <v>750684.5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0.987987251777396</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486</v>
      </c>
      <c r="C48" s="69" t="n">
        <f aca="false">TblProd[[#This Row],[Mana]]</f>
        <v>736295.5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497</v>
      </c>
      <c r="C49" s="69" t="n">
        <f aca="false">TblProd[[#This Row],[Mana]]</f>
        <v>722194.5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509</v>
      </c>
      <c r="C50" s="69" t="n">
        <f aca="false">TblProd[[#This Row],[Mana]]</f>
        <v>708375.5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542</v>
      </c>
      <c r="C51" s="69" t="n">
        <f aca="false">TblProd[[#This Row],[Mana]]</f>
        <v>694832.5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575</v>
      </c>
      <c r="C52" s="69" t="n">
        <f aca="false">TblProd[[#This Row],[Mana]]</f>
        <v>681560.5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0.996170620146793</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588</v>
      </c>
      <c r="C53" s="69" t="n">
        <f aca="false">TblProd[[#This Row],[Mana]]</f>
        <v>665614.5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0.994564123213207</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2940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602</v>
      </c>
      <c r="C54" s="69" t="n">
        <f aca="false">TblProd[[#This Row],[Mana]]</f>
        <v>652927.5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615</v>
      </c>
      <c r="C55" s="69" t="n">
        <f aca="false">TblProd[[#This Row],[Mana]]</f>
        <v>638956</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1537.5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626</v>
      </c>
      <c r="C56" s="69" t="n">
        <f aca="false">TblProd[[#This Row],[Mana]]</f>
        <v>626802</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638</v>
      </c>
      <c r="C57" s="69" t="n">
        <f aca="false">TblProd[[#This Row],[Mana]]</f>
        <v>614891</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646</v>
      </c>
      <c r="C58" s="69" t="n">
        <f aca="false">TblProd[[#This Row],[Mana]]</f>
        <v>603218</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646</v>
      </c>
      <c r="C59" s="69" t="n">
        <f aca="false">TblProd[[#This Row],[Mana]]</f>
        <v>591779</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646</v>
      </c>
      <c r="C60" s="69" t="n">
        <f aca="false">TblProd[[#This Row],[Mana]]</f>
        <v>580568</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646</v>
      </c>
      <c r="C61" s="69" t="n">
        <f aca="false">TblProd[[#This Row],[Mana]]</f>
        <v>569582</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646</v>
      </c>
      <c r="C62" s="69" t="n">
        <f aca="false">TblProd[[#This Row],[Mana]]</f>
        <v>558815</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646</v>
      </c>
      <c r="C63" s="69" t="n">
        <f aca="false">TblProd[[#This Row],[Mana]]</f>
        <v>548264</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646</v>
      </c>
      <c r="C64" s="69" t="n">
        <f aca="false">TblProd[[#This Row],[Mana]]</f>
        <v>537924</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646</v>
      </c>
      <c r="C65" s="69" t="n">
        <f aca="false">TblProd[[#This Row],[Mana]]</f>
        <v>524561</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3230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646</v>
      </c>
      <c r="C66" s="69" t="n">
        <f aca="false">TblProd[[#This Row],[Mana]]</f>
        <v>514695</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646</v>
      </c>
      <c r="C67" s="69" t="n">
        <f aca="false">TblProd[[#This Row],[Mana]]</f>
        <v>503411</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1615</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646</v>
      </c>
      <c r="C68" s="69" t="n">
        <f aca="false">TblProd[[#This Row],[Mana]]</f>
        <v>493968</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646</v>
      </c>
      <c r="C69" s="69" t="n">
        <f aca="false">TblProd[[#This Row],[Mana]]</f>
        <v>484714</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646</v>
      </c>
      <c r="C70" s="69" t="n">
        <f aca="false">TblProd[[#This Row],[Mana]]</f>
        <v>475745</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646</v>
      </c>
      <c r="C71" s="69" t="n">
        <f aca="false">TblProd[[#This Row],[Mana]]</f>
        <v>466955</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646</v>
      </c>
      <c r="C72" s="69" t="n">
        <f aca="false">TblProd[[#This Row],[Mana]]</f>
        <v>458341</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646</v>
      </c>
      <c r="C73" s="69" t="n">
        <f aca="false">TblProd[[#This Row],[Mana]]</f>
        <v>449899</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646</v>
      </c>
      <c r="C74" s="69" t="n">
        <f aca="false">TblProd[[#This Row],[Mana]]</f>
        <v>441626</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646</v>
      </c>
      <c r="C75" s="69" t="n">
        <f aca="false">TblProd[[#This Row],[Mana]]</f>
        <v>433518</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646</v>
      </c>
      <c r="C76" s="226" t="n">
        <f aca="false">TblProd[[#This Row],[Mana]]</f>
        <v>419113</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646</v>
      </c>
      <c r="C77" s="69" t="n">
        <f aca="false">TblProd[[#This Row],[Mana]]</f>
        <v>411456</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646</v>
      </c>
      <c r="C78" s="69" t="n">
        <f aca="false">TblProd[[#This Row],[Mana]]</f>
        <v>403952</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646</v>
      </c>
      <c r="C79" s="69" t="n">
        <f aca="false">TblProd[[#This Row],[Mana]]</f>
        <v>396598</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646</v>
      </c>
      <c r="C80" s="69" t="n">
        <f aca="false">TblProd[[#This Row],[Mana]]</f>
        <v>389391</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646</v>
      </c>
      <c r="C81" s="69" t="n">
        <f aca="false">TblProd[[#This Row],[Mana]]</f>
        <v>382328</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646</v>
      </c>
      <c r="C82" s="69" t="n">
        <f aca="false">TblProd[[#This Row],[Mana]]</f>
        <v>375406</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646</v>
      </c>
      <c r="C83" s="69" t="n">
        <f aca="false">TblProd[[#This Row],[Mana]]</f>
        <v>368623</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646</v>
      </c>
      <c r="C84" s="69" t="n">
        <f aca="false">TblProd[[#This Row],[Mana]]</f>
        <v>361976</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646</v>
      </c>
      <c r="C85" s="69" t="n">
        <f aca="false">TblProd[[#This Row],[Mana]]</f>
        <v>355461</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646</v>
      </c>
      <c r="C86" s="69" t="n">
        <f aca="false">TblProd[[#This Row],[Mana]]</f>
        <v>349077</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646</v>
      </c>
      <c r="C87" s="69" t="n">
        <f aca="false">TblProd[[#This Row],[Mana]]</f>
        <v>342820</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646</v>
      </c>
      <c r="C88" s="69" t="n">
        <f aca="false">TblProd[[#This Row],[Mana]]</f>
        <v>330229</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646</v>
      </c>
      <c r="C89" s="69" t="n">
        <f aca="false">TblProd[[#This Row],[Mana]]</f>
        <v>324349</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646</v>
      </c>
      <c r="C90" s="69" t="n">
        <f aca="false">TblProd[[#This Row],[Mana]]</f>
        <v>318587</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646</v>
      </c>
      <c r="C91" s="69" t="n">
        <f aca="false">TblProd[[#This Row],[Mana]]</f>
        <v>312940</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646</v>
      </c>
      <c r="C92" s="69" t="n">
        <f aca="false">TblProd[[#This Row],[Mana]]</f>
        <v>307406</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646</v>
      </c>
      <c r="C93" s="69" t="n">
        <f aca="false">TblProd[[#This Row],[Mana]]</f>
        <v>301983</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646</v>
      </c>
      <c r="C94" s="69" t="n">
        <f aca="false">TblProd[[#This Row],[Mana]]</f>
        <v>296668</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646</v>
      </c>
      <c r="C95" s="69" t="n">
        <f aca="false">TblProd[[#This Row],[Mana]]</f>
        <v>291460</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646</v>
      </c>
      <c r="C96" s="69" t="n">
        <f aca="false">TblProd[[#This Row],[Mana]]</f>
        <v>286356</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646</v>
      </c>
      <c r="C97" s="69" t="n">
        <f aca="false">TblProd[[#This Row],[Mana]]</f>
        <v>281354</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646</v>
      </c>
      <c r="C98" s="69" t="n">
        <f aca="false">TblProd[[#This Row],[Mana]]</f>
        <v>276452</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646</v>
      </c>
      <c r="C99" s="69" t="n">
        <f aca="false">TblProd[[#This Row],[Mana]]</f>
        <v>271648</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646</v>
      </c>
      <c r="C100" s="69" t="n">
        <f aca="false">TblProd[[#This Row],[Mana]]</f>
        <v>260480</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6460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646</v>
      </c>
      <c r="C101" s="69" t="n">
        <f aca="false">TblProd[[#This Row],[Mana]]</f>
        <v>255995</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646</v>
      </c>
      <c r="C102" s="69" t="n">
        <f aca="false">TblProd[[#This Row],[Mana]]</f>
        <v>251600</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646</v>
      </c>
      <c r="C103" s="69" t="n">
        <f aca="false">TblProd[[#This Row],[Mana]]</f>
        <v>247293</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646</v>
      </c>
      <c r="C104" s="69" t="n">
        <f aca="false">TblProd[[#This Row],[Mana]]</f>
        <v>243072</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646</v>
      </c>
      <c r="C105" s="69" t="n">
        <f aca="false">TblProd[[#This Row],[Mana]]</f>
        <v>238936</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646</v>
      </c>
      <c r="C106" s="69" t="n">
        <f aca="false">TblProd[[#This Row],[Mana]]</f>
        <v>234882</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646</v>
      </c>
      <c r="C107" s="69" t="n">
        <f aca="false">TblProd[[#This Row],[Mana]]</f>
        <v>230909</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646</v>
      </c>
      <c r="C108" s="69" t="n">
        <f aca="false">TblProd[[#This Row],[Mana]]</f>
        <v>227016</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646</v>
      </c>
      <c r="C109" s="69" t="n">
        <f aca="false">TblProd[[#This Row],[Mana]]</f>
        <v>223201</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646</v>
      </c>
      <c r="C110" s="69" t="n">
        <f aca="false">TblProd[[#This Row],[Mana]]</f>
        <v>219462</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646</v>
      </c>
      <c r="C111" s="69" t="n">
        <f aca="false">TblProd[[#This Row],[Mana]]</f>
        <v>215798</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646</v>
      </c>
      <c r="C112" s="69" t="n">
        <f aca="false">TblProd[[#This Row],[Mana]]</f>
        <v>212207</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646</v>
      </c>
      <c r="C113" s="69" t="n">
        <f aca="false">TblProd[[#This Row],[Mana]]</f>
        <v>208688</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646</v>
      </c>
      <c r="C114" s="69" t="n">
        <f aca="false">TblProd[[#This Row],[Mana]]</f>
        <v>205239</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646</v>
      </c>
      <c r="C115" s="69" t="n">
        <f aca="false">TblProd[[#This Row],[Mana]]</f>
        <v>201859</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646</v>
      </c>
      <c r="C116" s="69" t="n">
        <f aca="false">TblProd[[#This Row],[Mana]]</f>
        <v>198547</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646</v>
      </c>
      <c r="C117" s="69" t="n">
        <f aca="false">TblProd[[#This Row],[Mana]]</f>
        <v>195301</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646</v>
      </c>
      <c r="C118" s="69" t="n">
        <f aca="false">TblProd[[#This Row],[Mana]]</f>
        <v>192120</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646</v>
      </c>
      <c r="C119" s="69" t="n">
        <f aca="false">TblProd[[#This Row],[Mana]]</f>
        <v>189003</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646</v>
      </c>
      <c r="C120" s="69" t="n">
        <f aca="false">TblProd[[#This Row],[Mana]]</f>
        <v>185948</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646</v>
      </c>
      <c r="C121" s="69" t="n">
        <f aca="false">TblProd[[#This Row],[Mana]]</f>
        <v>182954</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646</v>
      </c>
      <c r="C122" s="69" t="n">
        <f aca="false">TblProd[[#This Row],[Mana]]</f>
        <v>180020</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646</v>
      </c>
      <c r="C123" s="69" t="n">
        <f aca="false">TblProd[[#This Row],[Mana]]</f>
        <v>177145</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646</v>
      </c>
      <c r="C124" s="69" t="n">
        <f aca="false">TblProd[[#This Row],[Mana]]</f>
        <v>174327</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646</v>
      </c>
      <c r="C125" s="69" t="n">
        <f aca="false">TblProd[[#This Row],[Mana]]</f>
        <v>171565</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646</v>
      </c>
      <c r="C126" s="69" t="n">
        <f aca="false">TblProd[[#This Row],[Mana]]</f>
        <v>168859</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646</v>
      </c>
      <c r="C127" s="69" t="n">
        <f aca="false">TblProd[[#This Row],[Mana]]</f>
        <v>166207</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646</v>
      </c>
      <c r="C128" s="69" t="n">
        <f aca="false">TblProd[[#This Row],[Mana]]</f>
        <v>163608</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646</v>
      </c>
      <c r="C129" s="69" t="n">
        <f aca="false">TblProd[[#This Row],[Mana]]</f>
        <v>161061</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646</v>
      </c>
      <c r="C130" s="69" t="n">
        <f aca="false">TblProd[[#This Row],[Mana]]</f>
        <v>158565</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646</v>
      </c>
      <c r="C131" s="69" t="n">
        <f aca="false">TblProd[[#This Row],[Mana]]</f>
        <v>156119</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646</v>
      </c>
      <c r="C132" s="69" t="n">
        <f aca="false">TblProd[[#This Row],[Mana]]</f>
        <v>153722</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646</v>
      </c>
      <c r="C133" s="69" t="n">
        <f aca="false">TblProd[[#This Row],[Mana]]</f>
        <v>151373</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646</v>
      </c>
      <c r="C134" s="69" t="n">
        <f aca="false">TblProd[[#This Row],[Mana]]</f>
        <v>149071</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646</v>
      </c>
      <c r="C135" s="69" t="n">
        <f aca="false">TblProd[[#This Row],[Mana]]</f>
        <v>146815</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646</v>
      </c>
      <c r="C136" s="69" t="n">
        <f aca="false">TblProd[[#This Row],[Mana]]</f>
        <v>144604</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952F9B64-4C8C-45AA-9D5B-7FAC93374118}">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N31" activeCellId="0" sqref="N31"/>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v>45292</v>
      </c>
      <c r="N31" s="329" t="n">
        <v>45293</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447</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456</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466</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476</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486</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497</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509</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522</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555</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588</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602</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615</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626</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638</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646</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646</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646</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646</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646</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646</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646</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646</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646</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646</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646</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646</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646</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646</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646</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646</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646</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646</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646</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646</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646</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646</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646</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646</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646</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646</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646</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646</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646</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646</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646</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646</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646</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646</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646</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646</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646</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646</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646</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646</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646</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646</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646</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646</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646</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646</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646</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646</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646</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646</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646</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646</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646</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646</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646</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646</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646</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646</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646</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646</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646</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646</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646</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646</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646</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646</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646</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646</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646</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646</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646</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646</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646</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646</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646</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646</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646</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646</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646</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9698DA56-2131-481B-BFDE-2F47558DF783}">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424340C6-4A30-4119-8896-99E0682A698F}">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1</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 s="33" t="n">
        <f aca="false">TblImps[[#This Row],[Login]]</f>
        <v>1</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1</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 s="33" t="n">
        <f aca="false">TblImps[[#This Row],[Login]]</f>
        <v>1</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1</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 s="33" t="n">
        <f aca="false">TblImps[[#This Row],[Login]]</f>
        <v>1</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1</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 s="33" t="n">
        <f aca="false">TblImps[[#This Row],[Login]]</f>
        <v>1</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100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199</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32177</v>
      </c>
      <c r="D12" s="69" t="n">
        <f aca="false">TblProd[[#This Row],[Lumber]]</f>
        <v>297</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38394</v>
      </c>
      <c r="D13" s="69" t="n">
        <f aca="false">TblProd[[#This Row],[Lumber]]</f>
        <v>594</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44502.5</v>
      </c>
      <c r="D14" s="69" t="n">
        <f aca="false">TblProd[[#This Row],[Lumber]]</f>
        <v>1291</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53587</v>
      </c>
      <c r="D15" s="69" t="n">
        <f aca="false">TblProd[[#This Row],[Lumber]]</f>
        <v>2278</v>
      </c>
      <c r="E15" s="69" t="n">
        <f aca="false">TblProd[[#This Row],[Ore]]</f>
        <v>-357</v>
      </c>
      <c r="F15" s="69" t="n">
        <f aca="false">TblProd[[#This Row],[Gems]]</f>
        <v>-1000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39408</v>
      </c>
      <c r="D16" s="69" t="n">
        <f aca="false">TblProd[[#This Row],[Lumber]]</f>
        <v>395</v>
      </c>
      <c r="E16" s="69" t="n">
        <f aca="false">TblProd[[#This Row],[Ore]]</f>
        <v>-357</v>
      </c>
      <c r="F16" s="69" t="n">
        <f aca="false">TblProd[[#This Row],[Gems]]</f>
        <v>-1000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49346</v>
      </c>
      <c r="D17" s="69" t="n">
        <f aca="false">TblProd[[#This Row],[Lumber]]</f>
        <v>1391</v>
      </c>
      <c r="E17" s="69" t="n">
        <f aca="false">TblProd[[#This Row],[Ore]]</f>
        <v>-357</v>
      </c>
      <c r="F17" s="69" t="n">
        <f aca="false">TblProd[[#This Row],[Gems]]</f>
        <v>-1000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59563</v>
      </c>
      <c r="D18" s="69" t="n">
        <f aca="false">TblProd[[#This Row],[Lumber]]</f>
        <v>2377</v>
      </c>
      <c r="E18" s="69" t="n">
        <f aca="false">TblProd[[#This Row],[Ore]]</f>
        <v>-357</v>
      </c>
      <c r="F18" s="69" t="n">
        <f aca="false">TblProd[[#This Row],[Gems]]</f>
        <v>-1000</v>
      </c>
      <c r="G18" s="146"/>
      <c r="H18" s="69" t="n">
        <f aca="false">TblMili[[#This Row],[Draftees]]</f>
        <v>393</v>
      </c>
      <c r="I18" s="130" t="n">
        <f aca="false">TblPop[[#This Row],[Employment]]</f>
        <v>1</v>
      </c>
      <c r="J18" s="130" t="n">
        <f aca="false">TblPop[[#This Row],[Total]]/TblPop[[#This Row],[Net max]]</f>
        <v>0.563676907829534</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70075</v>
      </c>
      <c r="D19" s="69" t="n">
        <f aca="false">TblProd[[#This Row],[Lumber]]</f>
        <v>3353</v>
      </c>
      <c r="E19" s="69" t="n">
        <f aca="false">TblProd[[#This Row],[Ore]]</f>
        <v>-357</v>
      </c>
      <c r="F19" s="69" t="n">
        <f aca="false">TblProd[[#This Row],[Gems]]</f>
        <v>-1000</v>
      </c>
      <c r="G19" s="146"/>
      <c r="H19" s="69" t="n">
        <f aca="false">TblMili[[#This Row],[Draftees]]</f>
        <v>412</v>
      </c>
      <c r="I19" s="130" t="n">
        <f aca="false">TblPop[[#This Row],[Employment]]</f>
        <v>1</v>
      </c>
      <c r="J19" s="130" t="n">
        <f aca="false">TblPop[[#This Row],[Total]]/TblPop[[#This Row],[Net max]]</f>
        <v>0.593161546085233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80898</v>
      </c>
      <c r="D20" s="69" t="n">
        <f aca="false">TblProd[[#This Row],[Lumber]]</f>
        <v>4319</v>
      </c>
      <c r="E20" s="69" t="n">
        <f aca="false">TblProd[[#This Row],[Ore]]</f>
        <v>-357</v>
      </c>
      <c r="F20" s="69" t="n">
        <f aca="false">TblProd[[#This Row],[Gems]]</f>
        <v>-1000</v>
      </c>
      <c r="G20" s="146"/>
      <c r="H20" s="69" t="n">
        <f aca="false">TblMili[[#This Row],[Draftees]]</f>
        <v>432</v>
      </c>
      <c r="I20" s="130" t="n">
        <f aca="false">TblPop[[#This Row],[Employment]]</f>
        <v>1</v>
      </c>
      <c r="J20" s="130" t="n">
        <f aca="false">TblPop[[#This Row],[Total]]/TblPop[[#This Row],[Net max]]</f>
        <v>0.624132804757185</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21929</v>
      </c>
      <c r="D21" s="69" t="n">
        <f aca="false">TblProd[[#This Row],[Lumber]]</f>
        <v>4148</v>
      </c>
      <c r="E21" s="69" t="n">
        <f aca="false">TblProd[[#This Row],[Ore]]</f>
        <v>-357</v>
      </c>
      <c r="F21" s="69" t="n">
        <f aca="false">TblProd[[#This Row],[Gems]]</f>
        <v>-1000</v>
      </c>
      <c r="G21" s="146"/>
      <c r="H21" s="69" t="n">
        <f aca="false">TblMili[[#This Row],[Draftees]]</f>
        <v>173</v>
      </c>
      <c r="I21" s="130" t="n">
        <f aca="false">TblPop[[#This Row],[Employment]]</f>
        <v>1</v>
      </c>
      <c r="J21" s="130" t="n">
        <f aca="false">TblPop[[#This Row],[Total]]/TblPop[[#This Row],[Net max]]</f>
        <v>0.567827130852341</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23317</v>
      </c>
      <c r="D22" s="69" t="n">
        <f aca="false">TblProd[[#This Row],[Lumber]]</f>
        <v>4960</v>
      </c>
      <c r="E22" s="69" t="n">
        <f aca="false">TblProd[[#This Row],[Ore]]</f>
        <v>-357</v>
      </c>
      <c r="F22" s="69" t="n">
        <f aca="false">TblProd[[#This Row],[Gems]]</f>
        <v>-1000</v>
      </c>
      <c r="G22" s="146"/>
      <c r="H22" s="69" t="n">
        <f aca="false">TblMili[[#This Row],[Draftees]]</f>
        <v>151</v>
      </c>
      <c r="I22" s="130" t="n">
        <f aca="false">TblPop[[#This Row],[Employment]]</f>
        <v>1</v>
      </c>
      <c r="J22" s="130" t="n">
        <f aca="false">TblPop[[#This Row],[Total]]/TblPop[[#This Row],[Net max]]</f>
        <v>0.553849627455408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24112</v>
      </c>
      <c r="D23" s="69" t="n">
        <f aca="false">TblProd[[#This Row],[Lumber]]</f>
        <v>5763</v>
      </c>
      <c r="E23" s="69" t="n">
        <f aca="false">TblProd[[#This Row],[Ore]]</f>
        <v>-357</v>
      </c>
      <c r="F23" s="69" t="n">
        <f aca="false">TblProd[[#This Row],[Gems]]</f>
        <v>-1000</v>
      </c>
      <c r="G23" s="146"/>
      <c r="H23" s="69" t="n">
        <f aca="false">TblMili[[#This Row],[Draftees]]</f>
        <v>126</v>
      </c>
      <c r="I23" s="130" t="n">
        <f aca="false">TblPop[[#This Row],[Employment]]</f>
        <v>1</v>
      </c>
      <c r="J23" s="130" t="n">
        <f aca="false">TblPop[[#This Row],[Total]]/TblPop[[#This Row],[Net max]]</f>
        <v>0.572103487064117</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23628</v>
      </c>
      <c r="D24" s="69" t="n">
        <f aca="false">TblProd[[#This Row],[Lumber]]</f>
        <v>6558</v>
      </c>
      <c r="E24" s="69" t="n">
        <f aca="false">TblProd[[#This Row],[Ore]]</f>
        <v>-357</v>
      </c>
      <c r="F24" s="69" t="n">
        <f aca="false">TblProd[[#This Row],[Gems]]</f>
        <v>-1000</v>
      </c>
      <c r="G24" s="146"/>
      <c r="H24" s="69" t="n">
        <f aca="false">TblMili[[#This Row],[Draftees]]</f>
        <v>102</v>
      </c>
      <c r="I24" s="130" t="n">
        <f aca="false">TblPop[[#This Row],[Employment]]</f>
        <v>1</v>
      </c>
      <c r="J24" s="130" t="n">
        <f aca="false">TblPop[[#This Row],[Total]]/TblPop[[#This Row],[Net max]]</f>
        <v>0.591795561533289</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30585</v>
      </c>
      <c r="D25" s="69" t="n">
        <f aca="false">TblProd[[#This Row],[Lumber]]</f>
        <v>7345</v>
      </c>
      <c r="E25" s="69" t="n">
        <f aca="false">TblProd[[#This Row],[Ore]]</f>
        <v>-357</v>
      </c>
      <c r="F25" s="69" t="n">
        <f aca="false">TblProd[[#This Row],[Gems]]</f>
        <v>-1000</v>
      </c>
      <c r="G25" s="146"/>
      <c r="H25" s="69" t="n">
        <f aca="false">TblMili[[#This Row],[Draftees]]</f>
        <v>115</v>
      </c>
      <c r="I25" s="130" t="n">
        <f aca="false">TblPop[[#This Row],[Employment]]</f>
        <v>1</v>
      </c>
      <c r="J25" s="130" t="n">
        <f aca="false">TblPop[[#This Row],[Total]]/TblPop[[#This Row],[Net max]]</f>
        <v>0.620951530042439</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38772</v>
      </c>
      <c r="D26" s="69" t="n">
        <f aca="false">TblProd[[#This Row],[Lumber]]</f>
        <v>8124</v>
      </c>
      <c r="E26" s="69" t="n">
        <f aca="false">TblProd[[#This Row],[Ore]]</f>
        <v>-357</v>
      </c>
      <c r="F26" s="69" t="n">
        <f aca="false">TblProd[[#This Row],[Gems]]</f>
        <v>-1000</v>
      </c>
      <c r="G26" s="146"/>
      <c r="H26" s="69" t="n">
        <f aca="false">TblMili[[#This Row],[Draftees]]</f>
        <v>134</v>
      </c>
      <c r="I26" s="130" t="n">
        <f aca="false">TblPop[[#This Row],[Employment]]</f>
        <v>1</v>
      </c>
      <c r="J26" s="130" t="n">
        <f aca="false">TblPop[[#This Row],[Total]]/TblPop[[#This Row],[Net max]]</f>
        <v>0.65234809703984</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41357</v>
      </c>
      <c r="D27" s="69" t="n">
        <f aca="false">TblProd[[#This Row],[Lumber]]</f>
        <v>7883</v>
      </c>
      <c r="E27" s="69" t="n">
        <f aca="false">TblProd[[#This Row],[Ore]]</f>
        <v>-357</v>
      </c>
      <c r="F27" s="69" t="n">
        <f aca="false">TblProd[[#This Row],[Gems]]</f>
        <v>-1000</v>
      </c>
      <c r="G27" s="146"/>
      <c r="H27" s="69" t="n">
        <f aca="false">TblMili[[#This Row],[Draftees]]</f>
        <v>122</v>
      </c>
      <c r="I27" s="130" t="n">
        <f aca="false">TblPop[[#This Row],[Employment]]</f>
        <v>1</v>
      </c>
      <c r="J27" s="130" t="n">
        <f aca="false">TblPop[[#This Row],[Total]]/TblPop[[#This Row],[Net max]]</f>
        <v>0.678952042628774</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54909</v>
      </c>
      <c r="D28" s="69" t="n">
        <f aca="false">TblProd[[#This Row],[Lumber]]</f>
        <v>8704</v>
      </c>
      <c r="E28" s="69" t="n">
        <f aca="false">TblProd[[#This Row],[Ore]]</f>
        <v>-357</v>
      </c>
      <c r="F28" s="69" t="n">
        <f aca="false">TblProd[[#This Row],[Gems]]</f>
        <v>-1000</v>
      </c>
      <c r="G28" s="146"/>
      <c r="H28" s="69" t="n">
        <f aca="false">TblMili[[#This Row],[Draftees]]</f>
        <v>151</v>
      </c>
      <c r="I28" s="130" t="n">
        <f aca="false">TblPop[[#This Row],[Employment]]</f>
        <v>1</v>
      </c>
      <c r="J28" s="130" t="n">
        <f aca="false">TblPop[[#This Row],[Total]]/TblPop[[#This Row],[Net max]]</f>
        <v>0.677646571369381</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68958</v>
      </c>
      <c r="D29" s="69" t="n">
        <f aca="false">TblProd[[#This Row],[Lumber]]</f>
        <v>9517</v>
      </c>
      <c r="E29" s="69" t="n">
        <f aca="false">TblProd[[#This Row],[Ore]]</f>
        <v>-357</v>
      </c>
      <c r="F29" s="69" t="n">
        <f aca="false">TblProd[[#This Row],[Gems]]</f>
        <v>-1000</v>
      </c>
      <c r="G29" s="146"/>
      <c r="H29" s="69" t="n">
        <f aca="false">TblMili[[#This Row],[Draftees]]</f>
        <v>182</v>
      </c>
      <c r="I29" s="130" t="n">
        <f aca="false">TblPop[[#This Row],[Employment]]</f>
        <v>1</v>
      </c>
      <c r="J29" s="130" t="n">
        <f aca="false">TblPop[[#This Row],[Total]]/TblPop[[#This Row],[Net max]]</f>
        <v>0.724466542365859</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85158</v>
      </c>
      <c r="D30" s="69" t="n">
        <f aca="false">TblProd[[#This Row],[Lumber]]</f>
        <v>10322</v>
      </c>
      <c r="E30" s="69" t="n">
        <f aca="false">TblProd[[#This Row],[Ore]]</f>
        <v>-357</v>
      </c>
      <c r="F30" s="69" t="n">
        <f aca="false">TblProd[[#This Row],[Gems]]</f>
        <v>-1000</v>
      </c>
      <c r="G30" s="146"/>
      <c r="H30" s="69" t="n">
        <f aca="false">TblMili[[#This Row],[Draftees]]</f>
        <v>215</v>
      </c>
      <c r="I30" s="130" t="n">
        <f aca="false">TblPop[[#This Row],[Employment]]</f>
        <v>1</v>
      </c>
      <c r="J30" s="130" t="n">
        <f aca="false">TblPop[[#This Row],[Total]]/TblPop[[#This Row],[Net max]]</f>
        <v>0.774394033561218</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101920</v>
      </c>
      <c r="D31" s="69" t="n">
        <f aca="false">TblProd[[#This Row],[Lumber]]</f>
        <v>11119</v>
      </c>
      <c r="E31" s="69" t="n">
        <f aca="false">TblProd[[#This Row],[Ore]]</f>
        <v>-357</v>
      </c>
      <c r="F31" s="69" t="n">
        <f aca="false">TblProd[[#This Row],[Gems]]</f>
        <v>-1000</v>
      </c>
      <c r="G31" s="146"/>
      <c r="H31" s="69" t="n">
        <f aca="false">TblMili[[#This Row],[Draftees]]</f>
        <v>250</v>
      </c>
      <c r="I31" s="130" t="n">
        <f aca="false">TblPop[[#This Row],[Employment]]</f>
        <v>1</v>
      </c>
      <c r="J31" s="130" t="n">
        <f aca="false">TblPop[[#This Row],[Total]]/TblPop[[#This Row],[Net max]]</f>
        <v>0.827429044955459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93406</v>
      </c>
      <c r="D32" s="69" t="n">
        <f aca="false">TblProd[[#This Row],[Lumber]]</f>
        <v>11908</v>
      </c>
      <c r="E32" s="69" t="n">
        <f aca="false">TblProd[[#This Row],[Ore]]</f>
        <v>-357</v>
      </c>
      <c r="F32" s="69" t="n">
        <f aca="false">TblProd[[#This Row],[Gems]]</f>
        <v>-1000</v>
      </c>
      <c r="G32" s="146"/>
      <c r="H32" s="69" t="n">
        <f aca="false">TblMili[[#This Row],[Draftees]]</f>
        <v>175</v>
      </c>
      <c r="I32" s="130" t="n">
        <f aca="false">TblPop[[#This Row],[Employment]]</f>
        <v>1</v>
      </c>
      <c r="J32" s="130" t="n">
        <f aca="false">TblPop[[#This Row],[Total]]/TblPop[[#This Row],[Net max]]</f>
        <v>0.860575927076859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74370</v>
      </c>
      <c r="D33" s="69" t="n">
        <f aca="false">TblProd[[#This Row],[Lumber]]</f>
        <v>8489</v>
      </c>
      <c r="E33" s="69" t="n">
        <f aca="false">TblProd[[#This Row],[Ore]]</f>
        <v>-357</v>
      </c>
      <c r="F33" s="69" t="n">
        <f aca="false">TblProd[[#This Row],[Gems]]</f>
        <v>-1000</v>
      </c>
      <c r="G33" s="146"/>
      <c r="H33" s="69" t="n">
        <f aca="false">TblMili[[#This Row],[Draftees]]</f>
        <v>170</v>
      </c>
      <c r="I33" s="130" t="n">
        <f aca="false">TblPop[[#This Row],[Employment]]</f>
        <v>1</v>
      </c>
      <c r="J33" s="130" t="n">
        <f aca="false">TblPop[[#This Row],[Total]]/TblPop[[#This Row],[Net max]]</f>
        <v>0.84108378170638</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77680</v>
      </c>
      <c r="D34" s="69" t="n">
        <f aca="false">TblProd[[#This Row],[Lumber]]</f>
        <v>8757</v>
      </c>
      <c r="E34" s="69" t="n">
        <f aca="false">TblProd[[#This Row],[Ore]]</f>
        <v>-357</v>
      </c>
      <c r="F34" s="69" t="n">
        <f aca="false">TblProd[[#This Row],[Gems]]</f>
        <v>-1000</v>
      </c>
      <c r="G34" s="146"/>
      <c r="H34" s="69" t="n">
        <f aca="false">TblMili[[#This Row],[Draftees]]</f>
        <v>162</v>
      </c>
      <c r="I34" s="130" t="n">
        <f aca="false">TblPop[[#This Row],[Employment]]</f>
        <v>1</v>
      </c>
      <c r="J34" s="130" t="n">
        <f aca="false">TblPop[[#This Row],[Total]]/TblPop[[#This Row],[Net max]]</f>
        <v>0.765791223404255</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80670</v>
      </c>
      <c r="D35" s="69" t="n">
        <f aca="false">TblProd[[#This Row],[Lumber]]</f>
        <v>8936</v>
      </c>
      <c r="E35" s="69" t="n">
        <f aca="false">TblProd[[#This Row],[Ore]]</f>
        <v>-357</v>
      </c>
      <c r="F35" s="69" t="n">
        <f aca="false">TblProd[[#This Row],[Gems]]</f>
        <v>-1000</v>
      </c>
      <c r="G35" s="146"/>
      <c r="H35" s="69" t="n">
        <f aca="false">TblMili[[#This Row],[Draftees]]</f>
        <v>156</v>
      </c>
      <c r="I35" s="130" t="n">
        <f aca="false">TblPop[[#This Row],[Employment]]</f>
        <v>1</v>
      </c>
      <c r="J35" s="130" t="n">
        <f aca="false">TblPop[[#This Row],[Total]]/TblPop[[#This Row],[Net max]]</f>
        <v>0.782384255525085</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83767</v>
      </c>
      <c r="D36" s="69" t="n">
        <f aca="false">TblProd[[#This Row],[Lumber]]</f>
        <v>9102</v>
      </c>
      <c r="E36" s="69" t="n">
        <f aca="false">TblProd[[#This Row],[Ore]]</f>
        <v>-357</v>
      </c>
      <c r="F36" s="69" t="n">
        <f aca="false">TblProd[[#This Row],[Gems]]</f>
        <v>-1000</v>
      </c>
      <c r="G36" s="146"/>
      <c r="H36" s="69" t="n">
        <f aca="false">TblMili[[#This Row],[Draftees]]</f>
        <v>153</v>
      </c>
      <c r="I36" s="130" t="n">
        <f aca="false">TblPop[[#This Row],[Employment]]</f>
        <v>1</v>
      </c>
      <c r="J36" s="130" t="n">
        <f aca="false">TblPop[[#This Row],[Total]]/TblPop[[#This Row],[Net max]]</f>
        <v>0.798686062881276</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89772</v>
      </c>
      <c r="D37" s="69" t="n">
        <f aca="false">TblProd[[#This Row],[Lumber]]</f>
        <v>9848</v>
      </c>
      <c r="E37" s="69" t="n">
        <f aca="false">TblProd[[#This Row],[Ore]]</f>
        <v>-357</v>
      </c>
      <c r="F37" s="69" t="n">
        <f aca="false">TblProd[[#This Row],[Gems]]</f>
        <v>-1000</v>
      </c>
      <c r="G37" s="146"/>
      <c r="H37" s="69" t="n">
        <f aca="false">TblMili[[#This Row],[Draftees]]</f>
        <v>148</v>
      </c>
      <c r="I37" s="130" t="n">
        <f aca="false">TblPop[[#This Row],[Employment]]</f>
        <v>1</v>
      </c>
      <c r="J37" s="130" t="n">
        <f aca="false">TblPop[[#This Row],[Total]]/TblPop[[#This Row],[Net max]]</f>
        <v>0.821963903334353</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95411</v>
      </c>
      <c r="D38" s="69" t="n">
        <f aca="false">TblProd[[#This Row],[Lumber]]</f>
        <v>10653</v>
      </c>
      <c r="E38" s="69" t="n">
        <f aca="false">TblProd[[#This Row],[Ore]]</f>
        <v>-357</v>
      </c>
      <c r="F38" s="69" t="n">
        <f aca="false">TblProd[[#This Row],[Gems]]</f>
        <v>-1000</v>
      </c>
      <c r="G38" s="146"/>
      <c r="H38" s="69" t="n">
        <f aca="false">TblMili[[#This Row],[Draftees]]</f>
        <v>140</v>
      </c>
      <c r="I38" s="130" t="n">
        <f aca="false">TblPop[[#This Row],[Employment]]</f>
        <v>1</v>
      </c>
      <c r="J38" s="130" t="n">
        <f aca="false">TblPop[[#This Row],[Total]]/TblPop[[#This Row],[Net max]]</f>
        <v>0.859139948336119</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97049</v>
      </c>
      <c r="D39" s="69" t="n">
        <f aca="false">TblProd[[#This Row],[Lumber]]</f>
        <v>10901</v>
      </c>
      <c r="E39" s="69" t="n">
        <f aca="false">TblProd[[#This Row],[Ore]]</f>
        <v>-357</v>
      </c>
      <c r="F39" s="69" t="n">
        <f aca="false">TblProd[[#This Row],[Gems]]</f>
        <v>-1000</v>
      </c>
      <c r="G39" s="146"/>
      <c r="H39" s="69" t="n">
        <f aca="false">TblMili[[#This Row],[Draftees]]</f>
        <v>130</v>
      </c>
      <c r="I39" s="130" t="n">
        <f aca="false">TblPop[[#This Row],[Employment]]</f>
        <v>1</v>
      </c>
      <c r="J39" s="130" t="n">
        <f aca="false">TblPop[[#This Row],[Total]]/TblPop[[#This Row],[Net max]]</f>
        <v>0.893044915126934</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103821</v>
      </c>
      <c r="D40" s="69" t="n">
        <f aca="false">TblProd[[#This Row],[Lumber]]</f>
        <v>11827</v>
      </c>
      <c r="E40" s="69" t="n">
        <f aca="false">TblProd[[#This Row],[Ore]]</f>
        <v>-357</v>
      </c>
      <c r="F40" s="69" t="n">
        <f aca="false">TblProd[[#This Row],[Gems]]</f>
        <v>-1000</v>
      </c>
      <c r="G40" s="146"/>
      <c r="H40" s="69" t="n">
        <f aca="false">TblMili[[#This Row],[Draftees]]</f>
        <v>123</v>
      </c>
      <c r="I40" s="130" t="n">
        <f aca="false">TblPop[[#This Row],[Employment]]</f>
        <v>1</v>
      </c>
      <c r="J40" s="130" t="n">
        <f aca="false">TblPop[[#This Row],[Total]]/TblPop[[#This Row],[Net max]]</f>
        <v>0.924748669426375</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111534</v>
      </c>
      <c r="D41" s="69" t="n">
        <f aca="false">TblProd[[#This Row],[Lumber]]</f>
        <v>12744</v>
      </c>
      <c r="E41" s="69" t="n">
        <f aca="false">TblProd[[#This Row],[Ore]]</f>
        <v>-357</v>
      </c>
      <c r="F41" s="69" t="n">
        <f aca="false">TblProd[[#This Row],[Gems]]</f>
        <v>-1000</v>
      </c>
      <c r="G41" s="146"/>
      <c r="H41" s="69" t="n">
        <f aca="false">TblMili[[#This Row],[Draftees]]</f>
        <v>119</v>
      </c>
      <c r="I41" s="130" t="n">
        <f aca="false">TblPop[[#This Row],[Employment]]</f>
        <v>0.964125560538117</v>
      </c>
      <c r="J41" s="130" t="n">
        <f aca="false">TblPop[[#This Row],[Total]]/TblPop[[#This Row],[Net max]]</f>
        <v>0.973684210526316</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118024</v>
      </c>
      <c r="D42" s="69" t="n">
        <f aca="false">TblProd[[#This Row],[Lumber]]</f>
        <v>13652</v>
      </c>
      <c r="E42" s="69" t="n">
        <f aca="false">TblProd[[#This Row],[Ore]]</f>
        <v>-357</v>
      </c>
      <c r="F42" s="69" t="n">
        <f aca="false">TblProd[[#This Row],[Gems]]</f>
        <v>-1000</v>
      </c>
      <c r="G42" s="146"/>
      <c r="H42" s="69" t="n">
        <f aca="false">TblMili[[#This Row],[Draftees]]</f>
        <v>114</v>
      </c>
      <c r="I42" s="130" t="n">
        <f aca="false">TblPop[[#This Row],[Employment]]</f>
        <v>0.947568389057751</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126043</v>
      </c>
      <c r="D43" s="69" t="n">
        <f aca="false">TblProd[[#This Row],[Lumber]]</f>
        <v>14550</v>
      </c>
      <c r="E43" s="69" t="n">
        <f aca="false">TblProd[[#This Row],[Ore]]</f>
        <v>-357</v>
      </c>
      <c r="F43" s="69" t="n">
        <f aca="false">TblProd[[#This Row],[Gems]]</f>
        <v>-1000</v>
      </c>
      <c r="G43" s="146"/>
      <c r="H43" s="69" t="n">
        <f aca="false">TblMili[[#This Row],[Draftees]]</f>
        <v>115</v>
      </c>
      <c r="I43" s="130" t="n">
        <f aca="false">TblPop[[#This Row],[Employment]]</f>
        <v>0.946992709599028</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447</v>
      </c>
      <c r="B44" s="132"/>
      <c r="C44" s="69" t="n">
        <f aca="false">TblProd[[#This Row],[Platinum]]</f>
        <v>123382</v>
      </c>
      <c r="D44" s="69" t="n">
        <f aca="false">TblProd[[#This Row],[Lumber]]</f>
        <v>13424</v>
      </c>
      <c r="E44" s="69" t="n">
        <f aca="false">TblProd[[#This Row],[Ore]]</f>
        <v>-357</v>
      </c>
      <c r="F44" s="69" t="n">
        <f aca="false">TblProd[[#This Row],[Gems]]</f>
        <v>-1000</v>
      </c>
      <c r="G44" s="146"/>
      <c r="H44" s="69" t="n">
        <f aca="false">TblMili[[#This Row],[Draftees]]</f>
        <v>115</v>
      </c>
      <c r="I44" s="130" t="n">
        <f aca="false">TblPop[[#This Row],[Employment]]</f>
        <v>1</v>
      </c>
      <c r="J44" s="130" t="n">
        <f aca="false">TblPop[[#This Row],[Total]]/TblPop[[#This Row],[Net max]]</f>
        <v>0.990455531453362</v>
      </c>
      <c r="K44" s="336" t="n">
        <f aca="false">TblRezone[[#This Row],[Hour]]</f>
        <v>41</v>
      </c>
      <c r="L44" s="337" t="n">
        <f aca="false">TblImps[[#This Row],[Real time]]</f>
        <v>45431.4166666667</v>
      </c>
      <c r="M44" s="33" t="n">
        <f aca="false">IF(ISERROR(TblImps[[#This Row],[algorithm]]),0,TblImps[[#This Row],[algorithm]]*1)</f>
        <v>1</v>
      </c>
      <c r="N44" s="69" t="n">
        <f aca="false">TblImps[[#This Row],[Land]]</f>
        <v>447</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456</v>
      </c>
      <c r="B45" s="132"/>
      <c r="C45" s="69" t="n">
        <f aca="false">TblProd[[#This Row],[Platinum]]</f>
        <v>155975</v>
      </c>
      <c r="D45" s="69" t="n">
        <f aca="false">TblProd[[#This Row],[Lumber]]</f>
        <v>17610</v>
      </c>
      <c r="E45" s="69" t="n">
        <f aca="false">TblProd[[#This Row],[Ore]]</f>
        <v>-357</v>
      </c>
      <c r="F45" s="69" t="n">
        <f aca="false">TblProd[[#This Row],[Gems]]</f>
        <v>-1000</v>
      </c>
      <c r="G45" s="146"/>
      <c r="H45" s="69" t="n">
        <f aca="false">TblMili[[#This Row],[Draftees]]</f>
        <v>110</v>
      </c>
      <c r="I45" s="130" t="n">
        <f aca="false">TblPop[[#This Row],[Employment]]</f>
        <v>1</v>
      </c>
      <c r="J45" s="130" t="n">
        <f aca="false">TblPop[[#This Row],[Total]]/TblPop[[#This Row],[Net max]]</f>
        <v>0.917792505735407</v>
      </c>
      <c r="K45" s="336" t="n">
        <f aca="false">TblRezone[[#This Row],[Hour]]</f>
        <v>42</v>
      </c>
      <c r="L45" s="337" t="n">
        <f aca="false">TblImps[[#This Row],[Real time]]</f>
        <v>45431.4583333333</v>
      </c>
      <c r="M45" s="33" t="n">
        <f aca="false">IF(ISERROR(TblImps[[#This Row],[algorithm]]),0,TblImps[[#This Row],[algorithm]]*1)</f>
        <v>1</v>
      </c>
      <c r="N45" s="69" t="n">
        <f aca="false">TblImps[[#This Row],[Land]]</f>
        <v>456</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466</v>
      </c>
      <c r="B46" s="132"/>
      <c r="C46" s="69" t="n">
        <f aca="false">TblProd[[#This Row],[Platinum]]</f>
        <v>196488</v>
      </c>
      <c r="D46" s="69" t="n">
        <f aca="false">TblProd[[#This Row],[Lumber]]</f>
        <v>21815</v>
      </c>
      <c r="E46" s="69" t="n">
        <f aca="false">TblProd[[#This Row],[Ore]]</f>
        <v>-357</v>
      </c>
      <c r="F46" s="69" t="n">
        <f aca="false">TblProd[[#This Row],[Gems]]</f>
        <v>-1000</v>
      </c>
      <c r="G46" s="146"/>
      <c r="H46" s="69" t="n">
        <f aca="false">TblMili[[#This Row],[Draftees]]</f>
        <v>133</v>
      </c>
      <c r="I46" s="130" t="n">
        <f aca="false">TblPop[[#This Row],[Employment]]</f>
        <v>1</v>
      </c>
      <c r="J46" s="130" t="n">
        <f aca="false">TblPop[[#This Row],[Total]]/TblPop[[#This Row],[Net max]]</f>
        <v>0.949856196073528</v>
      </c>
      <c r="K46" s="336" t="n">
        <f aca="false">TblRezone[[#This Row],[Hour]]</f>
        <v>43</v>
      </c>
      <c r="L46" s="337" t="n">
        <f aca="false">TblImps[[#This Row],[Real time]]</f>
        <v>45431.5</v>
      </c>
      <c r="M46" s="33" t="n">
        <f aca="false">IF(ISERROR(TblImps[[#This Row],[algorithm]]),0,TblImps[[#This Row],[algorithm]]*1)</f>
        <v>1</v>
      </c>
      <c r="N46" s="69" t="n">
        <f aca="false">TblImps[[#This Row],[Land]]</f>
        <v>466</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476</v>
      </c>
      <c r="B47" s="132"/>
      <c r="C47" s="69" t="n">
        <f aca="false">TblProd[[#This Row],[Platinum]]</f>
        <v>253003</v>
      </c>
      <c r="D47" s="69" t="n">
        <f aca="false">TblProd[[#This Row],[Lumber]]</f>
        <v>26066</v>
      </c>
      <c r="E47" s="69" t="n">
        <f aca="false">TblProd[[#This Row],[Ore]]</f>
        <v>-357</v>
      </c>
      <c r="F47" s="69" t="n">
        <f aca="false">TblProd[[#This Row],[Gems]]</f>
        <v>-1000</v>
      </c>
      <c r="G47" s="146"/>
      <c r="H47" s="69" t="n">
        <f aca="false">TblMili[[#This Row],[Draftees]]</f>
        <v>208</v>
      </c>
      <c r="I47" s="130" t="n">
        <f aca="false">TblPop[[#This Row],[Employment]]</f>
        <v>1</v>
      </c>
      <c r="J47" s="130" t="n">
        <f aca="false">TblPop[[#This Row],[Total]]/TblPop[[#This Row],[Net max]]</f>
        <v>0.987987251777396</v>
      </c>
      <c r="K47" s="336" t="n">
        <f aca="false">TblRezone[[#This Row],[Hour]]</f>
        <v>44</v>
      </c>
      <c r="L47" s="337" t="n">
        <f aca="false">TblImps[[#This Row],[Real time]]</f>
        <v>45431.5416666667</v>
      </c>
      <c r="M47" s="33" t="n">
        <f aca="false">IF(ISERROR(TblImps[[#This Row],[algorithm]]),0,TblImps[[#This Row],[algorithm]]*1)</f>
        <v>1</v>
      </c>
      <c r="N47" s="69" t="n">
        <f aca="false">TblImps[[#This Row],[Land]]</f>
        <v>476</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486</v>
      </c>
      <c r="B48" s="132"/>
      <c r="C48" s="69" t="n">
        <f aca="false">TblProd[[#This Row],[Platinum]]</f>
        <v>310894</v>
      </c>
      <c r="D48" s="69" t="n">
        <f aca="false">TblProd[[#This Row],[Lumber]]</f>
        <v>30318</v>
      </c>
      <c r="E48" s="69" t="n">
        <f aca="false">TblProd[[#This Row],[Ore]]</f>
        <v>-357</v>
      </c>
      <c r="F48" s="69" t="n">
        <f aca="false">TblProd[[#This Row],[Gems]]</f>
        <v>-1000</v>
      </c>
      <c r="G48" s="146"/>
      <c r="H48" s="69" t="n">
        <f aca="false">TblMili[[#This Row],[Draftees]]</f>
        <v>287</v>
      </c>
      <c r="I48" s="130" t="n">
        <f aca="false">TblPop[[#This Row],[Employment]]</f>
        <v>1</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486</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497</v>
      </c>
      <c r="B49" s="132"/>
      <c r="C49" s="69" t="n">
        <f aca="false">TblProd[[#This Row],[Platinum]]</f>
        <v>369076</v>
      </c>
      <c r="D49" s="69" t="n">
        <f aca="false">TblProd[[#This Row],[Lumber]]</f>
        <v>34537</v>
      </c>
      <c r="E49" s="69" t="n">
        <f aca="false">TblProd[[#This Row],[Ore]]</f>
        <v>-357</v>
      </c>
      <c r="F49" s="69" t="n">
        <f aca="false">TblProd[[#This Row],[Gems]]</f>
        <v>-1000</v>
      </c>
      <c r="G49" s="146"/>
      <c r="H49" s="69" t="n">
        <f aca="false">TblMili[[#This Row],[Draftees]]</f>
        <v>367</v>
      </c>
      <c r="I49" s="130" t="n">
        <f aca="false">TblPop[[#This Row],[Employment]]</f>
        <v>1</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497</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509</v>
      </c>
      <c r="B50" s="132"/>
      <c r="C50" s="69" t="n">
        <f aca="false">TblProd[[#This Row],[Platinum]]</f>
        <v>427306</v>
      </c>
      <c r="D50" s="69" t="n">
        <f aca="false">TblProd[[#This Row],[Lumber]]</f>
        <v>38677</v>
      </c>
      <c r="E50" s="69" t="n">
        <f aca="false">TblProd[[#This Row],[Ore]]</f>
        <v>-357</v>
      </c>
      <c r="F50" s="69" t="n">
        <f aca="false">TblProd[[#This Row],[Gems]]</f>
        <v>-1000</v>
      </c>
      <c r="G50" s="146"/>
      <c r="H50" s="69" t="n">
        <f aca="false">TblMili[[#This Row],[Draftees]]</f>
        <v>448</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509</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542</v>
      </c>
      <c r="B51" s="132"/>
      <c r="C51" s="69" t="n">
        <f aca="false">TblProd[[#This Row],[Platinum]]</f>
        <v>509289</v>
      </c>
      <c r="D51" s="69" t="n">
        <f aca="false">TblProd[[#This Row],[Lumber]]</f>
        <v>41077</v>
      </c>
      <c r="E51" s="69" t="n">
        <f aca="false">TblProd[[#This Row],[Ore]]</f>
        <v>-357</v>
      </c>
      <c r="F51" s="69" t="n">
        <f aca="false">TblProd[[#This Row],[Gems]]</f>
        <v>-1000</v>
      </c>
      <c r="G51" s="146"/>
      <c r="H51" s="69" t="n">
        <f aca="false">TblMili[[#This Row],[Draftees]]</f>
        <v>530</v>
      </c>
      <c r="I51" s="130" t="n">
        <f aca="false">TblPop[[#This Row],[Employment]]</f>
        <v>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542</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575</v>
      </c>
      <c r="B52" s="132"/>
      <c r="C52" s="69" t="n">
        <f aca="false">TblProd[[#This Row],[Platinum]]</f>
        <v>558603</v>
      </c>
      <c r="D52" s="69" t="n">
        <f aca="false">TblProd[[#This Row],[Lumber]]</f>
        <v>43558</v>
      </c>
      <c r="E52" s="69" t="n">
        <f aca="false">TblProd[[#This Row],[Ore]]</f>
        <v>-357</v>
      </c>
      <c r="F52" s="69" t="n">
        <f aca="false">TblProd[[#This Row],[Gems]]</f>
        <v>-1000</v>
      </c>
      <c r="G52" s="146"/>
      <c r="H52" s="69" t="n">
        <f aca="false">TblMili[[#This Row],[Draftees]]</f>
        <v>613</v>
      </c>
      <c r="I52" s="130" t="n">
        <f aca="false">TblPop[[#This Row],[Employment]]</f>
        <v>0.99577239488117</v>
      </c>
      <c r="J52" s="130" t="n">
        <f aca="false">TblPop[[#This Row],[Total]]/TblPop[[#This Row],[Net max]]</f>
        <v>0.996170620146793</v>
      </c>
      <c r="K52" s="336" t="n">
        <f aca="false">TblRezone[[#This Row],[Hour]]</f>
        <v>49</v>
      </c>
      <c r="L52" s="337" t="n">
        <f aca="false">TblImps[[#This Row],[Real time]]</f>
        <v>45431.75</v>
      </c>
      <c r="M52" s="33" t="n">
        <f aca="false">IF(ISERROR(TblImps[[#This Row],[algorithm]]),0,TblImps[[#This Row],[algorithm]]*1)</f>
        <v>1</v>
      </c>
      <c r="N52" s="69" t="n">
        <f aca="false">TblImps[[#This Row],[Land]]</f>
        <v>575</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588</v>
      </c>
      <c r="B53" s="132"/>
      <c r="C53" s="69" t="n">
        <f aca="false">TblProd[[#This Row],[Platinum]]</f>
        <v>619774</v>
      </c>
      <c r="D53" s="69" t="n">
        <f aca="false">TblProd[[#This Row],[Lumber]]</f>
        <v>48019</v>
      </c>
      <c r="E53" s="69" t="n">
        <f aca="false">TblProd[[#This Row],[Ore]]</f>
        <v>-357</v>
      </c>
      <c r="F53" s="69" t="n">
        <f aca="false">TblProd[[#This Row],[Gems]]</f>
        <v>-1000</v>
      </c>
      <c r="G53" s="146"/>
      <c r="H53" s="69" t="n">
        <f aca="false">TblMili[[#This Row],[Draftees]]</f>
        <v>701</v>
      </c>
      <c r="I53" s="130" t="n">
        <f aca="false">TblPop[[#This Row],[Employment]]</f>
        <v>0.949449831136289</v>
      </c>
      <c r="J53" s="130" t="n">
        <f aca="false">TblPop[[#This Row],[Total]]/TblPop[[#This Row],[Net max]]</f>
        <v>0.994564123213207</v>
      </c>
      <c r="K53" s="336" t="n">
        <f aca="false">TblRezone[[#This Row],[Hour]]</f>
        <v>50</v>
      </c>
      <c r="L53" s="337" t="n">
        <f aca="false">TblImps[[#This Row],[Real time]]</f>
        <v>45431.7916666667</v>
      </c>
      <c r="M53" s="33" t="n">
        <f aca="false">IF(ISERROR(TblImps[[#This Row],[algorithm]]),0,TblImps[[#This Row],[algorithm]]*1)</f>
        <v>1</v>
      </c>
      <c r="N53" s="69" t="n">
        <f aca="false">TblImps[[#This Row],[Land]]</f>
        <v>588</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602</v>
      </c>
      <c r="B54" s="132"/>
      <c r="C54" s="69" t="n">
        <f aca="false">TblProd[[#This Row],[Platinum]]</f>
        <v>680716</v>
      </c>
      <c r="D54" s="69" t="n">
        <f aca="false">TblProd[[#This Row],[Lumber]]</f>
        <v>52424</v>
      </c>
      <c r="E54" s="69" t="n">
        <f aca="false">TblProd[[#This Row],[Ore]]</f>
        <v>-357</v>
      </c>
      <c r="F54" s="69" t="n">
        <f aca="false">TblProd[[#This Row],[Gems]]</f>
        <v>-1000</v>
      </c>
      <c r="G54" s="146"/>
      <c r="H54" s="69" t="n">
        <f aca="false">TblMili[[#This Row],[Draftees]]</f>
        <v>793</v>
      </c>
      <c r="I54" s="130" t="n">
        <f aca="false">TblPop[[#This Row],[Employment]]</f>
        <v>0.931487815305686</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602</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615</v>
      </c>
      <c r="B55" s="132"/>
      <c r="C55" s="69" t="n">
        <f aca="false">TblProd[[#This Row],[Platinum]]</f>
        <v>742420</v>
      </c>
      <c r="D55" s="69" t="n">
        <f aca="false">TblProd[[#This Row],[Lumber]]</f>
        <v>56961</v>
      </c>
      <c r="E55" s="69" t="n">
        <f aca="false">TblProd[[#This Row],[Ore]]</f>
        <v>-357</v>
      </c>
      <c r="F55" s="69" t="n">
        <f aca="false">TblProd[[#This Row],[Gems]]</f>
        <v>-1000</v>
      </c>
      <c r="G55" s="146"/>
      <c r="H55" s="69" t="n">
        <f aca="false">TblMili[[#This Row],[Draftees]]</f>
        <v>887</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615</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626</v>
      </c>
      <c r="B56" s="132"/>
      <c r="C56" s="69" t="n">
        <f aca="false">TblProd[[#This Row],[Platinum]]</f>
        <v>809940</v>
      </c>
      <c r="D56" s="69" t="n">
        <f aca="false">TblProd[[#This Row],[Lumber]]</f>
        <v>61687</v>
      </c>
      <c r="E56" s="69" t="n">
        <f aca="false">TblProd[[#This Row],[Ore]]</f>
        <v>-357</v>
      </c>
      <c r="F56" s="69" t="n">
        <f aca="false">TblProd[[#This Row],[Gems]]</f>
        <v>-1000</v>
      </c>
      <c r="G56" s="146"/>
      <c r="H56" s="69" t="n">
        <f aca="false">TblMili[[#This Row],[Draftees]]</f>
        <v>982</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626</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638</v>
      </c>
      <c r="B57" s="132"/>
      <c r="C57" s="69" t="n">
        <f aca="false">TblProd[[#This Row],[Platinum]]</f>
        <v>877556</v>
      </c>
      <c r="D57" s="69" t="n">
        <f aca="false">TblProd[[#This Row],[Lumber]]</f>
        <v>66353</v>
      </c>
      <c r="E57" s="69" t="n">
        <f aca="false">TblProd[[#This Row],[Ore]]</f>
        <v>-357</v>
      </c>
      <c r="F57" s="69" t="n">
        <f aca="false">TblProd[[#This Row],[Gems]]</f>
        <v>-1000</v>
      </c>
      <c r="G57" s="146"/>
      <c r="H57" s="69" t="n">
        <f aca="false">TblMili[[#This Row],[Draftees]]</f>
        <v>1078</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638</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646</v>
      </c>
      <c r="B58" s="132"/>
      <c r="C58" s="69" t="n">
        <f aca="false">TblProd[[#This Row],[Platinum]]</f>
        <v>947815</v>
      </c>
      <c r="D58" s="69" t="n">
        <f aca="false">TblProd[[#This Row],[Lumber]]</f>
        <v>71414</v>
      </c>
      <c r="E58" s="69" t="n">
        <f aca="false">TblProd[[#This Row],[Ore]]</f>
        <v>-357</v>
      </c>
      <c r="F58" s="69" t="n">
        <f aca="false">TblProd[[#This Row],[Gems]]</f>
        <v>-1000</v>
      </c>
      <c r="G58" s="146"/>
      <c r="H58" s="69" t="n">
        <f aca="false">TblMili[[#This Row],[Draftees]]</f>
        <v>1175</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646</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646</v>
      </c>
      <c r="B59" s="132"/>
      <c r="C59" s="69" t="n">
        <f aca="false">TblProd[[#This Row],[Platinum]]</f>
        <v>1022126</v>
      </c>
      <c r="D59" s="69" t="n">
        <f aca="false">TblProd[[#This Row],[Lumber]]</f>
        <v>77125</v>
      </c>
      <c r="E59" s="69" t="n">
        <f aca="false">TblProd[[#This Row],[Ore]]</f>
        <v>-357</v>
      </c>
      <c r="F59" s="69" t="n">
        <f aca="false">TblProd[[#This Row],[Gems]]</f>
        <v>-1000</v>
      </c>
      <c r="G59" s="146"/>
      <c r="H59" s="69" t="n">
        <f aca="false">TblMili[[#This Row],[Draftees]]</f>
        <v>1272</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646</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646</v>
      </c>
      <c r="B60" s="132"/>
      <c r="C60" s="69" t="n">
        <f aca="false">TblProd[[#This Row],[Platinum]]</f>
        <v>1096468</v>
      </c>
      <c r="D60" s="69" t="n">
        <f aca="false">TblProd[[#This Row],[Lumber]]</f>
        <v>82779</v>
      </c>
      <c r="E60" s="69" t="n">
        <f aca="false">TblProd[[#This Row],[Ore]]</f>
        <v>-357</v>
      </c>
      <c r="F60" s="69" t="n">
        <f aca="false">TblProd[[#This Row],[Gems]]</f>
        <v>-1000</v>
      </c>
      <c r="G60" s="146"/>
      <c r="H60" s="69" t="n">
        <f aca="false">TblMili[[#This Row],[Draftees]]</f>
        <v>1369</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646</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646</v>
      </c>
      <c r="B61" s="132"/>
      <c r="C61" s="69" t="n">
        <f aca="false">TblProd[[#This Row],[Platinum]]</f>
        <v>1170586</v>
      </c>
      <c r="D61" s="69" t="n">
        <f aca="false">TblProd[[#This Row],[Lumber]]</f>
        <v>88376</v>
      </c>
      <c r="E61" s="69" t="n">
        <f aca="false">TblProd[[#This Row],[Ore]]</f>
        <v>-357</v>
      </c>
      <c r="F61" s="69" t="n">
        <f aca="false">TblProd[[#This Row],[Gems]]</f>
        <v>-1000</v>
      </c>
      <c r="G61" s="146"/>
      <c r="H61" s="69" t="n">
        <f aca="false">TblMili[[#This Row],[Draftees]]</f>
        <v>1465</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646</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646</v>
      </c>
      <c r="B62" s="132"/>
      <c r="C62" s="69" t="n">
        <f aca="false">TblProd[[#This Row],[Platinum]]</f>
        <v>1244865</v>
      </c>
      <c r="D62" s="69" t="n">
        <f aca="false">TblProd[[#This Row],[Lumber]]</f>
        <v>93917</v>
      </c>
      <c r="E62" s="69" t="n">
        <f aca="false">TblProd[[#This Row],[Ore]]</f>
        <v>-357</v>
      </c>
      <c r="F62" s="69" t="n">
        <f aca="false">TblProd[[#This Row],[Gems]]</f>
        <v>-1000</v>
      </c>
      <c r="G62" s="146"/>
      <c r="H62" s="69" t="n">
        <f aca="false">TblMili[[#This Row],[Draftees]]</f>
        <v>1560</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646</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646</v>
      </c>
      <c r="B63" s="132"/>
      <c r="C63" s="69" t="n">
        <f aca="false">TblProd[[#This Row],[Platinum]]</f>
        <v>1319455</v>
      </c>
      <c r="D63" s="69" t="n">
        <f aca="false">TblProd[[#This Row],[Lumber]]</f>
        <v>99509</v>
      </c>
      <c r="E63" s="69" t="n">
        <f aca="false">TblProd[[#This Row],[Ore]]</f>
        <v>-357</v>
      </c>
      <c r="F63" s="69" t="n">
        <f aca="false">TblProd[[#This Row],[Gems]]</f>
        <v>-1000</v>
      </c>
      <c r="G63" s="146"/>
      <c r="H63" s="69" t="n">
        <f aca="false">TblMili[[#This Row],[Draftees]]</f>
        <v>1655</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646</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646</v>
      </c>
      <c r="B64" s="132"/>
      <c r="C64" s="69" t="n">
        <f aca="false">TblProd[[#This Row],[Platinum]]</f>
        <v>618020</v>
      </c>
      <c r="D64" s="69" t="n">
        <f aca="false">TblProd[[#This Row],[Lumber]]</f>
        <v>100055</v>
      </c>
      <c r="E64" s="69" t="n">
        <f aca="false">TblProd[[#This Row],[Ore]]</f>
        <v>-357</v>
      </c>
      <c r="F64" s="69" t="n">
        <f aca="false">TblProd[[#This Row],[Gems]]</f>
        <v>-1000</v>
      </c>
      <c r="G64" s="146"/>
      <c r="H64" s="69" t="n">
        <f aca="false">TblMili[[#This Row],[Draftees]]</f>
        <v>409</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646</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646</v>
      </c>
      <c r="B65" s="132"/>
      <c r="C65" s="69" t="n">
        <f aca="false">TblProd[[#This Row],[Platinum]]</f>
        <v>718144</v>
      </c>
      <c r="D65" s="69" t="n">
        <f aca="false">TblProd[[#This Row],[Lumber]]</f>
        <v>109048</v>
      </c>
      <c r="E65" s="69" t="n">
        <f aca="false">TblProd[[#This Row],[Ore]]</f>
        <v>-357</v>
      </c>
      <c r="F65" s="69" t="n">
        <f aca="false">TblProd[[#This Row],[Gems]]</f>
        <v>-1000</v>
      </c>
      <c r="G65" s="146"/>
      <c r="H65" s="69" t="n">
        <f aca="false">TblMili[[#This Row],[Draftees]]</f>
        <v>508</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646</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646</v>
      </c>
      <c r="B66" s="132"/>
      <c r="C66" s="69" t="n">
        <f aca="false">TblProd[[#This Row],[Platinum]]</f>
        <v>820522</v>
      </c>
      <c r="D66" s="69" t="n">
        <f aca="false">TblProd[[#This Row],[Lumber]]</f>
        <v>118344</v>
      </c>
      <c r="E66" s="69" t="n">
        <f aca="false">TblProd[[#This Row],[Ore]]</f>
        <v>-357</v>
      </c>
      <c r="F66" s="69" t="n">
        <f aca="false">TblProd[[#This Row],[Gems]]</f>
        <v>-1000</v>
      </c>
      <c r="G66" s="146"/>
      <c r="H66" s="69" t="n">
        <f aca="false">TblMili[[#This Row],[Draftees]]</f>
        <v>606</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646</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646</v>
      </c>
      <c r="B67" s="132"/>
      <c r="C67" s="69" t="n">
        <f aca="false">TblProd[[#This Row],[Platinum]]</f>
        <v>794516</v>
      </c>
      <c r="D67" s="69" t="n">
        <f aca="false">TblProd[[#This Row],[Lumber]]</f>
        <v>128478</v>
      </c>
      <c r="E67" s="69" t="n">
        <f aca="false">TblProd[[#This Row],[Ore]]</f>
        <v>-357</v>
      </c>
      <c r="F67" s="69" t="n">
        <f aca="false">TblProd[[#This Row],[Gems]]</f>
        <v>-1000</v>
      </c>
      <c r="G67" s="146"/>
      <c r="H67" s="69" t="n">
        <f aca="false">TblMili[[#This Row],[Draftees]]</f>
        <v>4</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646</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646</v>
      </c>
      <c r="B68" s="132"/>
      <c r="C68" s="69" t="n">
        <f aca="false">TblProd[[#This Row],[Platinum]]</f>
        <v>887582</v>
      </c>
      <c r="D68" s="69" t="n">
        <f aca="false">TblProd[[#This Row],[Lumber]]</f>
        <v>139118</v>
      </c>
      <c r="E68" s="69" t="n">
        <f aca="false">TblProd[[#This Row],[Ore]]</f>
        <v>-357</v>
      </c>
      <c r="F68" s="69" t="n">
        <f aca="false">TblProd[[#This Row],[Gems]]</f>
        <v>-1000</v>
      </c>
      <c r="G68" s="146"/>
      <c r="H68" s="69" t="n">
        <f aca="false">TblMili[[#This Row],[Draftees]]</f>
        <v>3</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646</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646</v>
      </c>
      <c r="B69" s="132"/>
      <c r="C69" s="69" t="n">
        <f aca="false">TblProd[[#This Row],[Platinum]]</f>
        <v>980815</v>
      </c>
      <c r="D69" s="69" t="n">
        <f aca="false">TblProd[[#This Row],[Lumber]]</f>
        <v>149652</v>
      </c>
      <c r="E69" s="69" t="n">
        <f aca="false">TblProd[[#This Row],[Ore]]</f>
        <v>-357</v>
      </c>
      <c r="F69" s="69" t="n">
        <f aca="false">TblProd[[#This Row],[Gems]]</f>
        <v>-1000</v>
      </c>
      <c r="G69" s="146"/>
      <c r="H69" s="69" t="n">
        <f aca="false">TblMili[[#This Row],[Draftees]]</f>
        <v>2</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646</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646</v>
      </c>
      <c r="B70" s="132"/>
      <c r="C70" s="69" t="n">
        <f aca="false">TblProd[[#This Row],[Platinum]]</f>
        <v>1048413</v>
      </c>
      <c r="D70" s="69" t="n">
        <f aca="false">TblProd[[#This Row],[Lumber]]</f>
        <v>160080</v>
      </c>
      <c r="E70" s="69" t="n">
        <f aca="false">TblProd[[#This Row],[Ore]]</f>
        <v>-357</v>
      </c>
      <c r="F70" s="69" t="n">
        <f aca="false">TblProd[[#This Row],[Gems]]</f>
        <v>-1000</v>
      </c>
      <c r="G70" s="146"/>
      <c r="H70" s="69" t="n">
        <f aca="false">TblMili[[#This Row],[Draftees]]</f>
        <v>-7</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646</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646</v>
      </c>
      <c r="B71" s="132"/>
      <c r="C71" s="69" t="n">
        <f aca="false">TblProd[[#This Row],[Platinum]]</f>
        <v>1119594</v>
      </c>
      <c r="D71" s="69" t="n">
        <f aca="false">TblProd[[#This Row],[Lumber]]</f>
        <v>170404</v>
      </c>
      <c r="E71" s="69" t="n">
        <f aca="false">TblProd[[#This Row],[Ore]]</f>
        <v>-357</v>
      </c>
      <c r="F71" s="69" t="n">
        <f aca="false">TblProd[[#This Row],[Gems]]</f>
        <v>-1000</v>
      </c>
      <c r="G71" s="146"/>
      <c r="H71" s="69" t="n">
        <f aca="false">TblMili[[#This Row],[Draftees]]</f>
        <v>-10</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646</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646</v>
      </c>
      <c r="B72" s="132"/>
      <c r="C72" s="69" t="n">
        <f aca="false">TblProd[[#This Row],[Platinum]]</f>
        <v>1169451</v>
      </c>
      <c r="D72" s="69" t="n">
        <f aca="false">TblProd[[#This Row],[Lumber]]</f>
        <v>180625</v>
      </c>
      <c r="E72" s="69" t="n">
        <f aca="false">TblProd[[#This Row],[Ore]]</f>
        <v>-357</v>
      </c>
      <c r="F72" s="69" t="n">
        <f aca="false">TblProd[[#This Row],[Gems]]</f>
        <v>-1000</v>
      </c>
      <c r="G72" s="146"/>
      <c r="H72" s="69" t="n">
        <f aca="false">TblMili[[#This Row],[Draftees]]</f>
        <v>-13</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646</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646</v>
      </c>
      <c r="B73" s="132"/>
      <c r="C73" s="69" t="n">
        <f aca="false">TblProd[[#This Row],[Platinum]]</f>
        <v>1219619</v>
      </c>
      <c r="D73" s="69" t="n">
        <f aca="false">TblProd[[#This Row],[Lumber]]</f>
        <v>190744</v>
      </c>
      <c r="E73" s="69" t="n">
        <f aca="false">TblProd[[#This Row],[Ore]]</f>
        <v>-357</v>
      </c>
      <c r="F73" s="69" t="n">
        <f aca="false">TblProd[[#This Row],[Gems]]</f>
        <v>-1000</v>
      </c>
      <c r="G73" s="146"/>
      <c r="H73" s="69" t="n">
        <f aca="false">TblMili[[#This Row],[Draftees]]</f>
        <v>-16</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646</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646</v>
      </c>
      <c r="B74" s="132"/>
      <c r="C74" s="69" t="n">
        <f aca="false">TblProd[[#This Row],[Platinum]]</f>
        <v>1270101</v>
      </c>
      <c r="D74" s="69" t="n">
        <f aca="false">TblProd[[#This Row],[Lumber]]</f>
        <v>200762</v>
      </c>
      <c r="E74" s="69" t="n">
        <f aca="false">TblProd[[#This Row],[Ore]]</f>
        <v>-357</v>
      </c>
      <c r="F74" s="69" t="n">
        <f aca="false">TblProd[[#This Row],[Gems]]</f>
        <v>-1000</v>
      </c>
      <c r="G74" s="146"/>
      <c r="H74" s="69" t="n">
        <f aca="false">TblMili[[#This Row],[Draftees]]</f>
        <v>-19</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646</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646</v>
      </c>
      <c r="B75" s="132"/>
      <c r="C75" s="69" t="n">
        <f aca="false">TblProd[[#This Row],[Platinum]]</f>
        <v>1320899</v>
      </c>
      <c r="D75" s="69" t="n">
        <f aca="false">TblProd[[#This Row],[Lumber]]</f>
        <v>210679</v>
      </c>
      <c r="E75" s="69" t="n">
        <f aca="false">TblProd[[#This Row],[Ore]]</f>
        <v>-357</v>
      </c>
      <c r="F75" s="69" t="n">
        <f aca="false">TblProd[[#This Row],[Gems]]</f>
        <v>-1000</v>
      </c>
      <c r="G75" s="146"/>
      <c r="H75" s="69" t="n">
        <f aca="false">TblMili[[#This Row],[Draftees]]</f>
        <v>-22</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646</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646</v>
      </c>
      <c r="B76" s="138"/>
      <c r="C76" s="226" t="n">
        <f aca="false">TblProd[[#This Row],[Platinum]]</f>
        <v>1372417</v>
      </c>
      <c r="D76" s="226" t="n">
        <f aca="false">TblProd[[#This Row],[Lumber]]</f>
        <v>220497</v>
      </c>
      <c r="E76" s="226" t="n">
        <f aca="false">TblProd[[#This Row],[Ore]]</f>
        <v>-357</v>
      </c>
      <c r="F76" s="226" t="n">
        <f aca="false">TblProd[[#This Row],[Gems]]</f>
        <v>-1000</v>
      </c>
      <c r="G76" s="157"/>
      <c r="H76" s="226" t="n">
        <f aca="false">TblMili[[#This Row],[Draftees]]</f>
        <v>-25</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646</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0</v>
      </c>
      <c r="Z76" s="355" t="n">
        <f aca="false">keep_cap*(1-EXP(-TblImps[[#This Row],[Σ Keep]]/(keep_param*(OFFSET(TblImps[[#This Row],[Land]],1,0)-OFFSET(TblExplore[[#This Row],[Land Bonus]],1,0)*20)+15000)))*(1+(mason_bonus*TblConstr[[#This Row],[Tot Mas]]/TblConstr[[#This Row],[Land (2)]]))</f>
        <v>0</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0</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646</v>
      </c>
      <c r="B77" s="132"/>
      <c r="C77" s="69" t="n">
        <f aca="false">TblProd[[#This Row],[Platinum]]</f>
        <v>1444626</v>
      </c>
      <c r="D77" s="69" t="n">
        <f aca="false">TblProd[[#This Row],[Lumber]]</f>
        <v>230217</v>
      </c>
      <c r="E77" s="69" t="n">
        <f aca="false">TblProd[[#This Row],[Ore]]</f>
        <v>-357</v>
      </c>
      <c r="F77" s="69" t="n">
        <f aca="false">TblProd[[#This Row],[Gems]]</f>
        <v>-1000</v>
      </c>
      <c r="G77" s="146"/>
      <c r="H77" s="69" t="n">
        <f aca="false">TblMili[[#This Row],[Draftees]]</f>
        <v>-28</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646</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646</v>
      </c>
      <c r="B78" s="132"/>
      <c r="C78" s="69" t="n">
        <f aca="false">TblProd[[#This Row],[Platinum]]</f>
        <v>1536850</v>
      </c>
      <c r="D78" s="69" t="n">
        <f aca="false">TblProd[[#This Row],[Lumber]]</f>
        <v>239840</v>
      </c>
      <c r="E78" s="69" t="n">
        <f aca="false">TblProd[[#This Row],[Ore]]</f>
        <v>-357</v>
      </c>
      <c r="F78" s="69" t="n">
        <f aca="false">TblProd[[#This Row],[Gems]]</f>
        <v>-1000</v>
      </c>
      <c r="G78" s="146"/>
      <c r="H78" s="69" t="n">
        <f aca="false">TblMili[[#This Row],[Draftees]]</f>
        <v>-31</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646</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646</v>
      </c>
      <c r="B79" s="132"/>
      <c r="C79" s="69" t="n">
        <f aca="false">TblProd[[#This Row],[Platinum]]</f>
        <v>1629086</v>
      </c>
      <c r="D79" s="69" t="n">
        <f aca="false">TblProd[[#This Row],[Lumber]]</f>
        <v>249367</v>
      </c>
      <c r="E79" s="69" t="n">
        <f aca="false">TblProd[[#This Row],[Ore]]</f>
        <v>-357</v>
      </c>
      <c r="F79" s="69" t="n">
        <f aca="false">TblProd[[#This Row],[Gems]]</f>
        <v>-1000</v>
      </c>
      <c r="G79" s="146"/>
      <c r="H79" s="69" t="n">
        <f aca="false">TblMili[[#This Row],[Draftees]]</f>
        <v>-34</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646</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646</v>
      </c>
      <c r="B80" s="132"/>
      <c r="C80" s="69" t="n">
        <f aca="false">TblProd[[#This Row],[Platinum]]</f>
        <v>1777315</v>
      </c>
      <c r="D80" s="69" t="n">
        <f aca="false">TblProd[[#This Row],[Lumber]]</f>
        <v>258798</v>
      </c>
      <c r="E80" s="69" t="n">
        <f aca="false">TblProd[[#This Row],[Ore]]</f>
        <v>-357</v>
      </c>
      <c r="F80" s="69" t="n">
        <f aca="false">TblProd[[#This Row],[Gems]]</f>
        <v>-1000</v>
      </c>
      <c r="G80" s="146"/>
      <c r="H80" s="69" t="n">
        <f aca="false">TblMili[[#This Row],[Draftees]]</f>
        <v>60</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646</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646</v>
      </c>
      <c r="B81" s="132"/>
      <c r="C81" s="69" t="n">
        <f aca="false">TblProd[[#This Row],[Platinum]]</f>
        <v>1887924</v>
      </c>
      <c r="D81" s="69" t="n">
        <f aca="false">TblProd[[#This Row],[Lumber]]</f>
        <v>268135</v>
      </c>
      <c r="E81" s="69" t="n">
        <f aca="false">TblProd[[#This Row],[Ore]]</f>
        <v>-357</v>
      </c>
      <c r="F81" s="69" t="n">
        <f aca="false">TblProd[[#This Row],[Gems]]</f>
        <v>-1000</v>
      </c>
      <c r="G81" s="146"/>
      <c r="H81" s="69" t="n">
        <f aca="false">TblMili[[#This Row],[Draftees]]</f>
        <v>153</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646</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646</v>
      </c>
      <c r="B82" s="132"/>
      <c r="C82" s="69" t="n">
        <f aca="false">TblProd[[#This Row],[Platinum]]</f>
        <v>1998257</v>
      </c>
      <c r="D82" s="69" t="n">
        <f aca="false">TblProd[[#This Row],[Lumber]]</f>
        <v>277379</v>
      </c>
      <c r="E82" s="69" t="n">
        <f aca="false">TblProd[[#This Row],[Ore]]</f>
        <v>-357</v>
      </c>
      <c r="F82" s="69" t="n">
        <f aca="false">TblProd[[#This Row],[Gems]]</f>
        <v>-1000</v>
      </c>
      <c r="G82" s="146"/>
      <c r="H82" s="69" t="n">
        <f aca="false">TblMili[[#This Row],[Draftees]]</f>
        <v>245</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646</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646</v>
      </c>
      <c r="B83" s="132"/>
      <c r="C83" s="69" t="n">
        <f aca="false">TblProd[[#This Row],[Platinum]]</f>
        <v>2108317</v>
      </c>
      <c r="D83" s="69" t="n">
        <f aca="false">TblProd[[#This Row],[Lumber]]</f>
        <v>286530</v>
      </c>
      <c r="E83" s="69" t="n">
        <f aca="false">TblProd[[#This Row],[Ore]]</f>
        <v>-357</v>
      </c>
      <c r="F83" s="69" t="n">
        <f aca="false">TblProd[[#This Row],[Gems]]</f>
        <v>-1000</v>
      </c>
      <c r="G83" s="146"/>
      <c r="H83" s="69" t="n">
        <f aca="false">TblMili[[#This Row],[Draftees]]</f>
        <v>337</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646</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646</v>
      </c>
      <c r="B84" s="132"/>
      <c r="C84" s="69" t="n">
        <f aca="false">TblProd[[#This Row],[Platinum]]</f>
        <v>2218104</v>
      </c>
      <c r="D84" s="69" t="n">
        <f aca="false">TblProd[[#This Row],[Lumber]]</f>
        <v>295590</v>
      </c>
      <c r="E84" s="69" t="n">
        <f aca="false">TblProd[[#This Row],[Ore]]</f>
        <v>-357</v>
      </c>
      <c r="F84" s="69" t="n">
        <f aca="false">TblProd[[#This Row],[Gems]]</f>
        <v>-1000</v>
      </c>
      <c r="G84" s="146"/>
      <c r="H84" s="69" t="n">
        <f aca="false">TblMili[[#This Row],[Draftees]]</f>
        <v>428</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646</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646</v>
      </c>
      <c r="B85" s="132"/>
      <c r="C85" s="69" t="n">
        <f aca="false">TblProd[[#This Row],[Platinum]]</f>
        <v>2327620</v>
      </c>
      <c r="D85" s="69" t="n">
        <f aca="false">TblProd[[#This Row],[Lumber]]</f>
        <v>304559</v>
      </c>
      <c r="E85" s="69" t="n">
        <f aca="false">TblProd[[#This Row],[Ore]]</f>
        <v>-357</v>
      </c>
      <c r="F85" s="69" t="n">
        <f aca="false">TblProd[[#This Row],[Gems]]</f>
        <v>-1000</v>
      </c>
      <c r="G85" s="146"/>
      <c r="H85" s="69" t="n">
        <f aca="false">TblMili[[#This Row],[Draftees]]</f>
        <v>518</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646</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646</v>
      </c>
      <c r="B86" s="132"/>
      <c r="C86" s="69" t="n">
        <f aca="false">TblProd[[#This Row],[Platinum]]</f>
        <v>2436869</v>
      </c>
      <c r="D86" s="69" t="n">
        <f aca="false">TblProd[[#This Row],[Lumber]]</f>
        <v>313438</v>
      </c>
      <c r="E86" s="69" t="n">
        <f aca="false">TblProd[[#This Row],[Ore]]</f>
        <v>-357</v>
      </c>
      <c r="F86" s="69" t="n">
        <f aca="false">TblProd[[#This Row],[Gems]]</f>
        <v>-1000</v>
      </c>
      <c r="G86" s="146"/>
      <c r="H86" s="69" t="n">
        <f aca="false">TblMili[[#This Row],[Draftees]]</f>
        <v>607</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646</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646</v>
      </c>
      <c r="B87" s="132"/>
      <c r="C87" s="69" t="n">
        <f aca="false">TblProd[[#This Row],[Platinum]]</f>
        <v>2545854</v>
      </c>
      <c r="D87" s="69" t="n">
        <f aca="false">TblProd[[#This Row],[Lumber]]</f>
        <v>322229</v>
      </c>
      <c r="E87" s="69" t="n">
        <f aca="false">TblProd[[#This Row],[Ore]]</f>
        <v>-357</v>
      </c>
      <c r="F87" s="69" t="n">
        <f aca="false">TblProd[[#This Row],[Gems]]</f>
        <v>-1000</v>
      </c>
      <c r="G87" s="146"/>
      <c r="H87" s="69" t="n">
        <f aca="false">TblMili[[#This Row],[Draftees]]</f>
        <v>695</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646</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646</v>
      </c>
      <c r="B88" s="132"/>
      <c r="C88" s="69" t="n">
        <f aca="false">TblProd[[#This Row],[Platinum]]</f>
        <v>2654578</v>
      </c>
      <c r="D88" s="69" t="n">
        <f aca="false">TblProd[[#This Row],[Lumber]]</f>
        <v>330932</v>
      </c>
      <c r="E88" s="69" t="n">
        <f aca="false">TblProd[[#This Row],[Ore]]</f>
        <v>-357</v>
      </c>
      <c r="F88" s="69" t="n">
        <f aca="false">TblProd[[#This Row],[Gems]]</f>
        <v>-1000</v>
      </c>
      <c r="G88" s="146"/>
      <c r="H88" s="69" t="n">
        <f aca="false">TblMili[[#This Row],[Draftees]]</f>
        <v>782</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646</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646</v>
      </c>
      <c r="B89" s="132"/>
      <c r="C89" s="69" t="n">
        <f aca="false">TblProd[[#This Row],[Platinum]]</f>
        <v>2763043</v>
      </c>
      <c r="D89" s="69" t="n">
        <f aca="false">TblProd[[#This Row],[Lumber]]</f>
        <v>339548</v>
      </c>
      <c r="E89" s="69" t="n">
        <f aca="false">TblProd[[#This Row],[Ore]]</f>
        <v>-357</v>
      </c>
      <c r="F89" s="69" t="n">
        <f aca="false">TblProd[[#This Row],[Gems]]</f>
        <v>-1000</v>
      </c>
      <c r="G89" s="146"/>
      <c r="H89" s="69" t="n">
        <f aca="false">TblMili[[#This Row],[Draftees]]</f>
        <v>868</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646</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646</v>
      </c>
      <c r="B90" s="132"/>
      <c r="C90" s="69" t="n">
        <f aca="false">TblProd[[#This Row],[Platinum]]</f>
        <v>2871253</v>
      </c>
      <c r="D90" s="69" t="n">
        <f aca="false">TblProd[[#This Row],[Lumber]]</f>
        <v>348078</v>
      </c>
      <c r="E90" s="69" t="n">
        <f aca="false">TblProd[[#This Row],[Ore]]</f>
        <v>-357</v>
      </c>
      <c r="F90" s="69" t="n">
        <f aca="false">TblProd[[#This Row],[Gems]]</f>
        <v>-1000</v>
      </c>
      <c r="G90" s="146"/>
      <c r="H90" s="69" t="n">
        <f aca="false">TblMili[[#This Row],[Draftees]]</f>
        <v>953</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646</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646</v>
      </c>
      <c r="B91" s="132"/>
      <c r="C91" s="69" t="n">
        <f aca="false">TblProd[[#This Row],[Platinum]]</f>
        <v>2979210</v>
      </c>
      <c r="D91" s="69" t="n">
        <f aca="false">TblProd[[#This Row],[Lumber]]</f>
        <v>356522</v>
      </c>
      <c r="E91" s="69" t="n">
        <f aca="false">TblProd[[#This Row],[Ore]]</f>
        <v>-357</v>
      </c>
      <c r="F91" s="69" t="n">
        <f aca="false">TblProd[[#This Row],[Gems]]</f>
        <v>-1000</v>
      </c>
      <c r="G91" s="146"/>
      <c r="H91" s="69" t="n">
        <f aca="false">TblMili[[#This Row],[Draftees]]</f>
        <v>1037</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646</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646</v>
      </c>
      <c r="B92" s="132"/>
      <c r="C92" s="69" t="n">
        <f aca="false">TblProd[[#This Row],[Platinum]]</f>
        <v>3086918</v>
      </c>
      <c r="D92" s="69" t="n">
        <f aca="false">TblProd[[#This Row],[Lumber]]</f>
        <v>364882</v>
      </c>
      <c r="E92" s="69" t="n">
        <f aca="false">TblProd[[#This Row],[Ore]]</f>
        <v>-357</v>
      </c>
      <c r="F92" s="69" t="n">
        <f aca="false">TblProd[[#This Row],[Gems]]</f>
        <v>-1000</v>
      </c>
      <c r="G92" s="146"/>
      <c r="H92" s="69" t="n">
        <f aca="false">TblMili[[#This Row],[Draftees]]</f>
        <v>1121</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646</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646</v>
      </c>
      <c r="B93" s="132"/>
      <c r="C93" s="69" t="n">
        <f aca="false">TblProd[[#This Row],[Platinum]]</f>
        <v>3194376</v>
      </c>
      <c r="D93" s="69" t="n">
        <f aca="false">TblProd[[#This Row],[Lumber]]</f>
        <v>373158</v>
      </c>
      <c r="E93" s="69" t="n">
        <f aca="false">TblProd[[#This Row],[Ore]]</f>
        <v>-357</v>
      </c>
      <c r="F93" s="69" t="n">
        <f aca="false">TblProd[[#This Row],[Gems]]</f>
        <v>-1000</v>
      </c>
      <c r="G93" s="146"/>
      <c r="H93" s="69" t="n">
        <f aca="false">TblMili[[#This Row],[Draftees]]</f>
        <v>1204</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646</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646</v>
      </c>
      <c r="B94" s="132"/>
      <c r="C94" s="69" t="n">
        <f aca="false">TblProd[[#This Row],[Platinum]]</f>
        <v>3301588</v>
      </c>
      <c r="D94" s="69" t="n">
        <f aca="false">TblProd[[#This Row],[Lumber]]</f>
        <v>381351</v>
      </c>
      <c r="E94" s="69" t="n">
        <f aca="false">TblProd[[#This Row],[Ore]]</f>
        <v>-357</v>
      </c>
      <c r="F94" s="69" t="n">
        <f aca="false">TblProd[[#This Row],[Gems]]</f>
        <v>-1000</v>
      </c>
      <c r="G94" s="146"/>
      <c r="H94" s="69" t="n">
        <f aca="false">TblMili[[#This Row],[Draftees]]</f>
        <v>1286</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646</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646</v>
      </c>
      <c r="B95" s="132"/>
      <c r="C95" s="69" t="n">
        <f aca="false">TblProd[[#This Row],[Platinum]]</f>
        <v>3408556</v>
      </c>
      <c r="D95" s="69" t="n">
        <f aca="false">TblProd[[#This Row],[Lumber]]</f>
        <v>389462</v>
      </c>
      <c r="E95" s="69" t="n">
        <f aca="false">TblProd[[#This Row],[Ore]]</f>
        <v>-357</v>
      </c>
      <c r="F95" s="69" t="n">
        <f aca="false">TblProd[[#This Row],[Gems]]</f>
        <v>-1000</v>
      </c>
      <c r="G95" s="146"/>
      <c r="H95" s="69" t="n">
        <f aca="false">TblMili[[#This Row],[Draftees]]</f>
        <v>1367</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646</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646</v>
      </c>
      <c r="B96" s="132"/>
      <c r="C96" s="69" t="n">
        <f aca="false">TblProd[[#This Row],[Platinum]]</f>
        <v>3515284</v>
      </c>
      <c r="D96" s="69" t="n">
        <f aca="false">TblProd[[#This Row],[Lumber]]</f>
        <v>397492</v>
      </c>
      <c r="E96" s="69" t="n">
        <f aca="false">TblProd[[#This Row],[Ore]]</f>
        <v>-357</v>
      </c>
      <c r="F96" s="69" t="n">
        <f aca="false">TblProd[[#This Row],[Gems]]</f>
        <v>-1000</v>
      </c>
      <c r="G96" s="146"/>
      <c r="H96" s="69" t="n">
        <f aca="false">TblMili[[#This Row],[Draftees]]</f>
        <v>1447</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646</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646</v>
      </c>
      <c r="B97" s="132"/>
      <c r="C97" s="69" t="n">
        <f aca="false">TblProd[[#This Row],[Platinum]]</f>
        <v>3621774</v>
      </c>
      <c r="D97" s="69" t="n">
        <f aca="false">TblProd[[#This Row],[Lumber]]</f>
        <v>405442</v>
      </c>
      <c r="E97" s="69" t="n">
        <f aca="false">TblProd[[#This Row],[Ore]]</f>
        <v>-357</v>
      </c>
      <c r="F97" s="69" t="n">
        <f aca="false">TblProd[[#This Row],[Gems]]</f>
        <v>-1000</v>
      </c>
      <c r="G97" s="146"/>
      <c r="H97" s="69" t="n">
        <f aca="false">TblMili[[#This Row],[Draftees]]</f>
        <v>1526</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646</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646</v>
      </c>
      <c r="B98" s="132"/>
      <c r="C98" s="69" t="n">
        <f aca="false">TblProd[[#This Row],[Platinum]]</f>
        <v>3728029</v>
      </c>
      <c r="D98" s="69" t="n">
        <f aca="false">TblProd[[#This Row],[Lumber]]</f>
        <v>413313</v>
      </c>
      <c r="E98" s="69" t="n">
        <f aca="false">TblProd[[#This Row],[Ore]]</f>
        <v>-357</v>
      </c>
      <c r="F98" s="69" t="n">
        <f aca="false">TblProd[[#This Row],[Gems]]</f>
        <v>-1000</v>
      </c>
      <c r="G98" s="146"/>
      <c r="H98" s="69" t="n">
        <f aca="false">TblMili[[#This Row],[Draftees]]</f>
        <v>1605</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646</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646</v>
      </c>
      <c r="B99" s="132"/>
      <c r="C99" s="69" t="n">
        <f aca="false">TblProd[[#This Row],[Platinum]]</f>
        <v>3834050</v>
      </c>
      <c r="D99" s="69" t="n">
        <f aca="false">TblProd[[#This Row],[Lumber]]</f>
        <v>421105</v>
      </c>
      <c r="E99" s="69" t="n">
        <f aca="false">TblProd[[#This Row],[Ore]]</f>
        <v>-357</v>
      </c>
      <c r="F99" s="69" t="n">
        <f aca="false">TblProd[[#This Row],[Gems]]</f>
        <v>-1000</v>
      </c>
      <c r="G99" s="146"/>
      <c r="H99" s="69" t="n">
        <f aca="false">TblMili[[#This Row],[Draftees]]</f>
        <v>1683</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646</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646</v>
      </c>
      <c r="B100" s="132"/>
      <c r="C100" s="69" t="n">
        <f aca="false">TblProd[[#This Row],[Platinum]]</f>
        <v>3939839</v>
      </c>
      <c r="D100" s="69" t="n">
        <f aca="false">TblProd[[#This Row],[Lumber]]</f>
        <v>428819</v>
      </c>
      <c r="E100" s="69" t="n">
        <f aca="false">TblProd[[#This Row],[Ore]]</f>
        <v>-357</v>
      </c>
      <c r="F100" s="69" t="n">
        <f aca="false">TblProd[[#This Row],[Gems]]</f>
        <v>-1000</v>
      </c>
      <c r="G100" s="146"/>
      <c r="H100" s="69" t="n">
        <f aca="false">TblMili[[#This Row],[Draftees]]</f>
        <v>1760</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646</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646</v>
      </c>
      <c r="B101" s="132"/>
      <c r="C101" s="69" t="n">
        <f aca="false">TblProd[[#This Row],[Platinum]]</f>
        <v>4045399</v>
      </c>
      <c r="D101" s="69" t="n">
        <f aca="false">TblProd[[#This Row],[Lumber]]</f>
        <v>436456</v>
      </c>
      <c r="E101" s="69" t="n">
        <f aca="false">TblProd[[#This Row],[Ore]]</f>
        <v>-357</v>
      </c>
      <c r="F101" s="69" t="n">
        <f aca="false">TblProd[[#This Row],[Gems]]</f>
        <v>-1000</v>
      </c>
      <c r="G101" s="146"/>
      <c r="H101" s="69" t="n">
        <f aca="false">TblMili[[#This Row],[Draftees]]</f>
        <v>1836</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646</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646</v>
      </c>
      <c r="B102" s="132"/>
      <c r="C102" s="69" t="n">
        <f aca="false">TblProd[[#This Row],[Platinum]]</f>
        <v>4150734</v>
      </c>
      <c r="D102" s="69" t="n">
        <f aca="false">TblProd[[#This Row],[Lumber]]</f>
        <v>444016</v>
      </c>
      <c r="E102" s="69" t="n">
        <f aca="false">TblProd[[#This Row],[Ore]]</f>
        <v>-357</v>
      </c>
      <c r="F102" s="69" t="n">
        <f aca="false">TblProd[[#This Row],[Gems]]</f>
        <v>-1000</v>
      </c>
      <c r="G102" s="146"/>
      <c r="H102" s="69" t="n">
        <f aca="false">TblMili[[#This Row],[Draftees]]</f>
        <v>1912</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646</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646</v>
      </c>
      <c r="B103" s="132"/>
      <c r="C103" s="69" t="n">
        <f aca="false">TblProd[[#This Row],[Platinum]]</f>
        <v>4255843</v>
      </c>
      <c r="D103" s="69" t="n">
        <f aca="false">TblProd[[#This Row],[Lumber]]</f>
        <v>451501</v>
      </c>
      <c r="E103" s="69" t="n">
        <f aca="false">TblProd[[#This Row],[Ore]]</f>
        <v>-357</v>
      </c>
      <c r="F103" s="69" t="n">
        <f aca="false">TblProd[[#This Row],[Gems]]</f>
        <v>-1000</v>
      </c>
      <c r="G103" s="146"/>
      <c r="H103" s="69" t="n">
        <f aca="false">TblMili[[#This Row],[Draftees]]</f>
        <v>1987</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646</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646</v>
      </c>
      <c r="B104" s="132"/>
      <c r="C104" s="69" t="n">
        <f aca="false">TblProd[[#This Row],[Platinum]]</f>
        <v>4360729</v>
      </c>
      <c r="D104" s="69" t="n">
        <f aca="false">TblProd[[#This Row],[Lumber]]</f>
        <v>458911</v>
      </c>
      <c r="E104" s="69" t="n">
        <f aca="false">TblProd[[#This Row],[Ore]]</f>
        <v>-357</v>
      </c>
      <c r="F104" s="69" t="n">
        <f aca="false">TblProd[[#This Row],[Gems]]</f>
        <v>-1000</v>
      </c>
      <c r="G104" s="146"/>
      <c r="H104" s="69" t="n">
        <f aca="false">TblMili[[#This Row],[Draftees]]</f>
        <v>2061</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646</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646</v>
      </c>
      <c r="B105" s="132"/>
      <c r="C105" s="69" t="n">
        <f aca="false">TblProd[[#This Row],[Platinum]]</f>
        <v>4465395</v>
      </c>
      <c r="D105" s="69" t="n">
        <f aca="false">TblProd[[#This Row],[Lumber]]</f>
        <v>466247</v>
      </c>
      <c r="E105" s="69" t="n">
        <f aca="false">TblProd[[#This Row],[Ore]]</f>
        <v>-357</v>
      </c>
      <c r="F105" s="69" t="n">
        <f aca="false">TblProd[[#This Row],[Gems]]</f>
        <v>-1000</v>
      </c>
      <c r="G105" s="146"/>
      <c r="H105" s="69" t="n">
        <f aca="false">TblMili[[#This Row],[Draftees]]</f>
        <v>2134</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646</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646</v>
      </c>
      <c r="B106" s="132"/>
      <c r="C106" s="69" t="n">
        <f aca="false">TblProd[[#This Row],[Platinum]]</f>
        <v>4569845</v>
      </c>
      <c r="D106" s="69" t="n">
        <f aca="false">TblProd[[#This Row],[Lumber]]</f>
        <v>473510</v>
      </c>
      <c r="E106" s="69" t="n">
        <f aca="false">TblProd[[#This Row],[Ore]]</f>
        <v>-357</v>
      </c>
      <c r="F106" s="69" t="n">
        <f aca="false">TblProd[[#This Row],[Gems]]</f>
        <v>-1000</v>
      </c>
      <c r="G106" s="146"/>
      <c r="H106" s="69" t="n">
        <f aca="false">TblMili[[#This Row],[Draftees]]</f>
        <v>2207</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646</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646</v>
      </c>
      <c r="B107" s="132"/>
      <c r="C107" s="69" t="n">
        <f aca="false">TblProd[[#This Row],[Platinum]]</f>
        <v>4674078</v>
      </c>
      <c r="D107" s="69" t="n">
        <f aca="false">TblProd[[#This Row],[Lumber]]</f>
        <v>480700</v>
      </c>
      <c r="E107" s="69" t="n">
        <f aca="false">TblProd[[#This Row],[Ore]]</f>
        <v>-357</v>
      </c>
      <c r="F107" s="69" t="n">
        <f aca="false">TblProd[[#This Row],[Gems]]</f>
        <v>-1000</v>
      </c>
      <c r="G107" s="146"/>
      <c r="H107" s="69" t="n">
        <f aca="false">TblMili[[#This Row],[Draftees]]</f>
        <v>2279</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646</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646</v>
      </c>
      <c r="B108" s="132"/>
      <c r="C108" s="69" t="n">
        <f aca="false">TblProd[[#This Row],[Platinum]]</f>
        <v>4778097</v>
      </c>
      <c r="D108" s="69" t="n">
        <f aca="false">TblProd[[#This Row],[Lumber]]</f>
        <v>487818</v>
      </c>
      <c r="E108" s="69" t="n">
        <f aca="false">TblProd[[#This Row],[Ore]]</f>
        <v>-357</v>
      </c>
      <c r="F108" s="69" t="n">
        <f aca="false">TblProd[[#This Row],[Gems]]</f>
        <v>-1000</v>
      </c>
      <c r="G108" s="146"/>
      <c r="H108" s="69" t="n">
        <f aca="false">TblMili[[#This Row],[Draftees]]</f>
        <v>2350</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646</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646</v>
      </c>
      <c r="B109" s="132"/>
      <c r="C109" s="69" t="n">
        <f aca="false">TblProd[[#This Row],[Platinum]]</f>
        <v>4881905</v>
      </c>
      <c r="D109" s="69" t="n">
        <f aca="false">TblProd[[#This Row],[Lumber]]</f>
        <v>494865</v>
      </c>
      <c r="E109" s="69" t="n">
        <f aca="false">TblProd[[#This Row],[Ore]]</f>
        <v>-357</v>
      </c>
      <c r="F109" s="69" t="n">
        <f aca="false">TblProd[[#This Row],[Gems]]</f>
        <v>-1000</v>
      </c>
      <c r="G109" s="146"/>
      <c r="H109" s="69" t="n">
        <f aca="false">TblMili[[#This Row],[Draftees]]</f>
        <v>2420</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646</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646</v>
      </c>
      <c r="B110" s="132"/>
      <c r="C110" s="69" t="n">
        <f aca="false">TblProd[[#This Row],[Platinum]]</f>
        <v>4985505</v>
      </c>
      <c r="D110" s="69" t="n">
        <f aca="false">TblProd[[#This Row],[Lumber]]</f>
        <v>501841</v>
      </c>
      <c r="E110" s="69" t="n">
        <f aca="false">TblProd[[#This Row],[Ore]]</f>
        <v>-357</v>
      </c>
      <c r="F110" s="69" t="n">
        <f aca="false">TblProd[[#This Row],[Gems]]</f>
        <v>-1000</v>
      </c>
      <c r="G110" s="146"/>
      <c r="H110" s="69" t="n">
        <f aca="false">TblMili[[#This Row],[Draftees]]</f>
        <v>2490</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646</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646</v>
      </c>
      <c r="B111" s="132"/>
      <c r="C111" s="69" t="n">
        <f aca="false">TblProd[[#This Row],[Platinum]]</f>
        <v>5088897</v>
      </c>
      <c r="D111" s="69" t="n">
        <f aca="false">TblProd[[#This Row],[Lumber]]</f>
        <v>508748</v>
      </c>
      <c r="E111" s="69" t="n">
        <f aca="false">TblProd[[#This Row],[Ore]]</f>
        <v>-357</v>
      </c>
      <c r="F111" s="69" t="n">
        <f aca="false">TblProd[[#This Row],[Gems]]</f>
        <v>-1000</v>
      </c>
      <c r="G111" s="146"/>
      <c r="H111" s="69" t="n">
        <f aca="false">TblMili[[#This Row],[Draftees]]</f>
        <v>2559</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646</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646</v>
      </c>
      <c r="B112" s="132"/>
      <c r="C112" s="69" t="n">
        <f aca="false">TblProd[[#This Row],[Platinum]]</f>
        <v>5192084</v>
      </c>
      <c r="D112" s="69" t="n">
        <f aca="false">TblProd[[#This Row],[Lumber]]</f>
        <v>515586</v>
      </c>
      <c r="E112" s="69" t="n">
        <f aca="false">TblProd[[#This Row],[Ore]]</f>
        <v>-357</v>
      </c>
      <c r="F112" s="69" t="n">
        <f aca="false">TblProd[[#This Row],[Gems]]</f>
        <v>-1000</v>
      </c>
      <c r="G112" s="146"/>
      <c r="H112" s="69" t="n">
        <f aca="false">TblMili[[#This Row],[Draftees]]</f>
        <v>2627</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646</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646</v>
      </c>
      <c r="B113" s="132"/>
      <c r="C113" s="69" t="n">
        <f aca="false">TblProd[[#This Row],[Platinum]]</f>
        <v>5288072</v>
      </c>
      <c r="D113" s="69" t="n">
        <f aca="false">TblProd[[#This Row],[Lumber]]</f>
        <v>522355</v>
      </c>
      <c r="E113" s="69" t="n">
        <f aca="false">TblProd[[#This Row],[Ore]]</f>
        <v>-357</v>
      </c>
      <c r="F113" s="69" t="n">
        <f aca="false">TblProd[[#This Row],[Gems]]</f>
        <v>-1000</v>
      </c>
      <c r="G113" s="146"/>
      <c r="H113" s="69" t="n">
        <f aca="false">TblMili[[#This Row],[Draftees]]</f>
        <v>2695</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646</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646</v>
      </c>
      <c r="B114" s="132"/>
      <c r="C114" s="69" t="n">
        <f aca="false">TblProd[[#This Row],[Platinum]]</f>
        <v>5383877</v>
      </c>
      <c r="D114" s="69" t="n">
        <f aca="false">TblProd[[#This Row],[Lumber]]</f>
        <v>529056</v>
      </c>
      <c r="E114" s="69" t="n">
        <f aca="false">TblProd[[#This Row],[Ore]]</f>
        <v>-357</v>
      </c>
      <c r="F114" s="69" t="n">
        <f aca="false">TblProd[[#This Row],[Gems]]</f>
        <v>-1000</v>
      </c>
      <c r="G114" s="146"/>
      <c r="H114" s="69" t="n">
        <f aca="false">TblMili[[#This Row],[Draftees]]</f>
        <v>2762</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646</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646</v>
      </c>
      <c r="B115" s="132"/>
      <c r="C115" s="69" t="n">
        <f aca="false">TblProd[[#This Row],[Platinum]]</f>
        <v>5479501</v>
      </c>
      <c r="D115" s="69" t="n">
        <f aca="false">TblProd[[#This Row],[Lumber]]</f>
        <v>535690</v>
      </c>
      <c r="E115" s="69" t="n">
        <f aca="false">TblProd[[#This Row],[Ore]]</f>
        <v>-357</v>
      </c>
      <c r="F115" s="69" t="n">
        <f aca="false">TblProd[[#This Row],[Gems]]</f>
        <v>-1000</v>
      </c>
      <c r="G115" s="146"/>
      <c r="H115" s="69" t="n">
        <f aca="false">TblMili[[#This Row],[Draftees]]</f>
        <v>2828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646</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646</v>
      </c>
      <c r="B116" s="132"/>
      <c r="C116" s="69" t="n">
        <f aca="false">TblProd[[#This Row],[Platinum]]</f>
        <v>5574946</v>
      </c>
      <c r="D116" s="69" t="n">
        <f aca="false">TblProd[[#This Row],[Lumber]]</f>
        <v>542258</v>
      </c>
      <c r="E116" s="69" t="n">
        <f aca="false">TblProd[[#This Row],[Ore]]</f>
        <v>-357</v>
      </c>
      <c r="F116" s="69" t="n">
        <f aca="false">TblProd[[#This Row],[Gems]]</f>
        <v>-1000</v>
      </c>
      <c r="G116" s="146"/>
      <c r="H116" s="69" t="n">
        <f aca="false">TblMili[[#This Row],[Draftees]]</f>
        <v>2894</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646</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646</v>
      </c>
      <c r="B117" s="132"/>
      <c r="C117" s="69" t="n">
        <f aca="false">TblProd[[#This Row],[Platinum]]</f>
        <v>5670213</v>
      </c>
      <c r="D117" s="69" t="n">
        <f aca="false">TblProd[[#This Row],[Lumber]]</f>
        <v>548760</v>
      </c>
      <c r="E117" s="69" t="n">
        <f aca="false">TblProd[[#This Row],[Ore]]</f>
        <v>-357</v>
      </c>
      <c r="F117" s="69" t="n">
        <f aca="false">TblProd[[#This Row],[Gems]]</f>
        <v>-1000</v>
      </c>
      <c r="G117" s="146"/>
      <c r="H117" s="69" t="n">
        <f aca="false">TblMili[[#This Row],[Draftees]]</f>
        <v>2959</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646</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646</v>
      </c>
      <c r="B118" s="132"/>
      <c r="C118" s="69" t="n">
        <f aca="false">TblProd[[#This Row],[Platinum]]</f>
        <v>5765305</v>
      </c>
      <c r="D118" s="69" t="n">
        <f aca="false">TblProd[[#This Row],[Lumber]]</f>
        <v>555197</v>
      </c>
      <c r="E118" s="69" t="n">
        <f aca="false">TblProd[[#This Row],[Ore]]</f>
        <v>-357</v>
      </c>
      <c r="F118" s="69" t="n">
        <f aca="false">TblProd[[#This Row],[Gems]]</f>
        <v>-1000</v>
      </c>
      <c r="G118" s="146"/>
      <c r="H118" s="69" t="n">
        <f aca="false">TblMili[[#This Row],[Draftees]]</f>
        <v>3023</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646</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646</v>
      </c>
      <c r="B119" s="132"/>
      <c r="C119" s="69" t="n">
        <f aca="false">TblProd[[#This Row],[Platinum]]</f>
        <v>5860224</v>
      </c>
      <c r="D119" s="69" t="n">
        <f aca="false">TblProd[[#This Row],[Lumber]]</f>
        <v>561570</v>
      </c>
      <c r="E119" s="69" t="n">
        <f aca="false">TblProd[[#This Row],[Ore]]</f>
        <v>-357</v>
      </c>
      <c r="F119" s="69" t="n">
        <f aca="false">TblProd[[#This Row],[Gems]]</f>
        <v>-1000</v>
      </c>
      <c r="G119" s="146"/>
      <c r="H119" s="69" t="n">
        <f aca="false">TblMili[[#This Row],[Draftees]]</f>
        <v>3087</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646</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646</v>
      </c>
      <c r="B120" s="132"/>
      <c r="C120" s="69" t="n">
        <f aca="false">TblProd[[#This Row],[Platinum]]</f>
        <v>5954970</v>
      </c>
      <c r="D120" s="69" t="n">
        <f aca="false">TblProd[[#This Row],[Lumber]]</f>
        <v>567879</v>
      </c>
      <c r="E120" s="69" t="n">
        <f aca="false">TblProd[[#This Row],[Ore]]</f>
        <v>-357</v>
      </c>
      <c r="F120" s="69" t="n">
        <f aca="false">TblProd[[#This Row],[Gems]]</f>
        <v>-1000</v>
      </c>
      <c r="G120" s="146"/>
      <c r="H120" s="69" t="n">
        <f aca="false">TblMili[[#This Row],[Draftees]]</f>
        <v>3150</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646</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646</v>
      </c>
      <c r="B121" s="132"/>
      <c r="C121" s="69" t="n">
        <f aca="false">TblProd[[#This Row],[Platinum]]</f>
        <v>6049546</v>
      </c>
      <c r="D121" s="69" t="n">
        <f aca="false">TblProd[[#This Row],[Lumber]]</f>
        <v>574125</v>
      </c>
      <c r="E121" s="69" t="n">
        <f aca="false">TblProd[[#This Row],[Ore]]</f>
        <v>-357</v>
      </c>
      <c r="F121" s="69" t="n">
        <f aca="false">TblProd[[#This Row],[Gems]]</f>
        <v>-1000</v>
      </c>
      <c r="G121" s="146"/>
      <c r="H121" s="69" t="n">
        <f aca="false">TblMili[[#This Row],[Draftees]]</f>
        <v>3212</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646</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646</v>
      </c>
      <c r="B122" s="132"/>
      <c r="C122" s="69" t="n">
        <f aca="false">TblProd[[#This Row],[Platinum]]</f>
        <v>6143955</v>
      </c>
      <c r="D122" s="69" t="n">
        <f aca="false">TblProd[[#This Row],[Lumber]]</f>
        <v>580309</v>
      </c>
      <c r="E122" s="69" t="n">
        <f aca="false">TblProd[[#This Row],[Ore]]</f>
        <v>-357</v>
      </c>
      <c r="F122" s="69" t="n">
        <f aca="false">TblProd[[#This Row],[Gems]]</f>
        <v>-1000</v>
      </c>
      <c r="G122" s="146"/>
      <c r="H122" s="69" t="n">
        <f aca="false">TblMili[[#This Row],[Draftees]]</f>
        <v>3274</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646</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646</v>
      </c>
      <c r="B123" s="132"/>
      <c r="C123" s="69" t="n">
        <f aca="false">TblProd[[#This Row],[Platinum]]</f>
        <v>6238196</v>
      </c>
      <c r="D123" s="69" t="n">
        <f aca="false">TblProd[[#This Row],[Lumber]]</f>
        <v>586431</v>
      </c>
      <c r="E123" s="69" t="n">
        <f aca="false">TblProd[[#This Row],[Ore]]</f>
        <v>-357</v>
      </c>
      <c r="F123" s="69" t="n">
        <f aca="false">TblProd[[#This Row],[Gems]]</f>
        <v>-1000</v>
      </c>
      <c r="G123" s="146"/>
      <c r="H123" s="69" t="n">
        <f aca="false">TblMili[[#This Row],[Draftees]]</f>
        <v>3335</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646</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646</v>
      </c>
      <c r="B124" s="132"/>
      <c r="C124" s="69" t="n">
        <f aca="false">TblProd[[#This Row],[Platinum]]</f>
        <v>6332273</v>
      </c>
      <c r="D124" s="69" t="n">
        <f aca="false">TblProd[[#This Row],[Lumber]]</f>
        <v>592492</v>
      </c>
      <c r="E124" s="69" t="n">
        <f aca="false">TblProd[[#This Row],[Ore]]</f>
        <v>-357</v>
      </c>
      <c r="F124" s="69" t="n">
        <f aca="false">TblProd[[#This Row],[Gems]]</f>
        <v>-1000</v>
      </c>
      <c r="G124" s="146"/>
      <c r="H124" s="69" t="n">
        <f aca="false">TblMili[[#This Row],[Draftees]]</f>
        <v>3396</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646</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646</v>
      </c>
      <c r="B125" s="132"/>
      <c r="C125" s="69" t="n">
        <f aca="false">TblProd[[#This Row],[Platinum]]</f>
        <v>6426185</v>
      </c>
      <c r="D125" s="69" t="n">
        <f aca="false">TblProd[[#This Row],[Lumber]]</f>
        <v>598492</v>
      </c>
      <c r="E125" s="69" t="n">
        <f aca="false">TblProd[[#This Row],[Ore]]</f>
        <v>-357</v>
      </c>
      <c r="F125" s="69" t="n">
        <f aca="false">TblProd[[#This Row],[Gems]]</f>
        <v>-1000</v>
      </c>
      <c r="G125" s="146"/>
      <c r="H125" s="69" t="n">
        <f aca="false">TblMili[[#This Row],[Draftees]]</f>
        <v>3456</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646</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646</v>
      </c>
      <c r="B126" s="132"/>
      <c r="C126" s="69" t="n">
        <f aca="false">TblProd[[#This Row],[Platinum]]</f>
        <v>6519935</v>
      </c>
      <c r="D126" s="69" t="n">
        <f aca="false">TblProd[[#This Row],[Lumber]]</f>
        <v>604432</v>
      </c>
      <c r="E126" s="69" t="n">
        <f aca="false">TblProd[[#This Row],[Ore]]</f>
        <v>-357</v>
      </c>
      <c r="F126" s="69" t="n">
        <f aca="false">TblProd[[#This Row],[Gems]]</f>
        <v>-1000</v>
      </c>
      <c r="G126" s="146"/>
      <c r="H126" s="69" t="n">
        <f aca="false">TblMili[[#This Row],[Draftees]]</f>
        <v>3515</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646</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646</v>
      </c>
      <c r="B127" s="132"/>
      <c r="C127" s="69" t="n">
        <f aca="false">TblProd[[#This Row],[Platinum]]</f>
        <v>6613526</v>
      </c>
      <c r="D127" s="69" t="n">
        <f aca="false">TblProd[[#This Row],[Lumber]]</f>
        <v>610313</v>
      </c>
      <c r="E127" s="69" t="n">
        <f aca="false">TblProd[[#This Row],[Ore]]</f>
        <v>-357</v>
      </c>
      <c r="F127" s="69" t="n">
        <f aca="false">TblProd[[#This Row],[Gems]]</f>
        <v>-1000</v>
      </c>
      <c r="G127" s="146"/>
      <c r="H127" s="69" t="n">
        <f aca="false">TblMili[[#This Row],[Draftees]]</f>
        <v>3574</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646</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646</v>
      </c>
      <c r="B128" s="132"/>
      <c r="C128" s="69" t="n">
        <f aca="false">TblProd[[#This Row],[Platinum]]</f>
        <v>6706957</v>
      </c>
      <c r="D128" s="69" t="n">
        <f aca="false">TblProd[[#This Row],[Lumber]]</f>
        <v>616135</v>
      </c>
      <c r="E128" s="69" t="n">
        <f aca="false">TblProd[[#This Row],[Ore]]</f>
        <v>-357</v>
      </c>
      <c r="F128" s="69" t="n">
        <f aca="false">TblProd[[#This Row],[Gems]]</f>
        <v>-1000</v>
      </c>
      <c r="G128" s="146"/>
      <c r="H128" s="69" t="n">
        <f aca="false">TblMili[[#This Row],[Draftees]]</f>
        <v>3632</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646</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646</v>
      </c>
      <c r="B129" s="132"/>
      <c r="C129" s="69" t="n">
        <f aca="false">TblProd[[#This Row],[Platinum]]</f>
        <v>6800232</v>
      </c>
      <c r="D129" s="69" t="n">
        <f aca="false">TblProd[[#This Row],[Lumber]]</f>
        <v>621899</v>
      </c>
      <c r="E129" s="69" t="n">
        <f aca="false">TblProd[[#This Row],[Ore]]</f>
        <v>-357</v>
      </c>
      <c r="F129" s="69" t="n">
        <f aca="false">TblProd[[#This Row],[Gems]]</f>
        <v>-1000</v>
      </c>
      <c r="G129" s="146"/>
      <c r="H129" s="69" t="n">
        <f aca="false">TblMili[[#This Row],[Draftees]]</f>
        <v>3690</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646</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646</v>
      </c>
      <c r="B130" s="132"/>
      <c r="C130" s="69" t="n">
        <f aca="false">TblProd[[#This Row],[Platinum]]</f>
        <v>6893350</v>
      </c>
      <c r="D130" s="69" t="n">
        <f aca="false">TblProd[[#This Row],[Lumber]]</f>
        <v>627605</v>
      </c>
      <c r="E130" s="69" t="n">
        <f aca="false">TblProd[[#This Row],[Ore]]</f>
        <v>-357</v>
      </c>
      <c r="F130" s="69" t="n">
        <f aca="false">TblProd[[#This Row],[Gems]]</f>
        <v>-1000</v>
      </c>
      <c r="G130" s="146"/>
      <c r="H130" s="69" t="n">
        <f aca="false">TblMili[[#This Row],[Draftees]]</f>
        <v>3747</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646</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646</v>
      </c>
      <c r="B131" s="132"/>
      <c r="C131" s="69" t="n">
        <f aca="false">TblProd[[#This Row],[Platinum]]</f>
        <v>6986314</v>
      </c>
      <c r="D131" s="69" t="n">
        <f aca="false">TblProd[[#This Row],[Lumber]]</f>
        <v>633254</v>
      </c>
      <c r="E131" s="69" t="n">
        <f aca="false">TblProd[[#This Row],[Ore]]</f>
        <v>-357</v>
      </c>
      <c r="F131" s="69" t="n">
        <f aca="false">TblProd[[#This Row],[Gems]]</f>
        <v>-1000</v>
      </c>
      <c r="G131" s="146"/>
      <c r="H131" s="69" t="n">
        <f aca="false">TblMili[[#This Row],[Draftees]]</f>
        <v>3803</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646</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646</v>
      </c>
      <c r="B132" s="132"/>
      <c r="C132" s="69" t="n">
        <f aca="false">TblProd[[#This Row],[Platinum]]</f>
        <v>7079127</v>
      </c>
      <c r="D132" s="69" t="n">
        <f aca="false">TblProd[[#This Row],[Lumber]]</f>
        <v>638846</v>
      </c>
      <c r="E132" s="69" t="n">
        <f aca="false">TblProd[[#This Row],[Ore]]</f>
        <v>-357</v>
      </c>
      <c r="F132" s="69" t="n">
        <f aca="false">TblProd[[#This Row],[Gems]]</f>
        <v>-1000</v>
      </c>
      <c r="G132" s="146"/>
      <c r="H132" s="69" t="n">
        <f aca="false">TblMili[[#This Row],[Draftees]]</f>
        <v>3859</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646</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646</v>
      </c>
      <c r="B133" s="132"/>
      <c r="C133" s="69" t="n">
        <f aca="false">TblProd[[#This Row],[Platinum]]</f>
        <v>7171789</v>
      </c>
      <c r="D133" s="69" t="n">
        <f aca="false">TblProd[[#This Row],[Lumber]]</f>
        <v>644383</v>
      </c>
      <c r="E133" s="69" t="n">
        <f aca="false">TblProd[[#This Row],[Ore]]</f>
        <v>-357</v>
      </c>
      <c r="F133" s="69" t="n">
        <f aca="false">TblProd[[#This Row],[Gems]]</f>
        <v>-1000</v>
      </c>
      <c r="G133" s="146"/>
      <c r="H133" s="69" t="n">
        <f aca="false">TblMili[[#This Row],[Draftees]]</f>
        <v>3914</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646</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646</v>
      </c>
      <c r="B134" s="132"/>
      <c r="C134" s="69" t="n">
        <f aca="false">TblProd[[#This Row],[Platinum]]</f>
        <v>7264302</v>
      </c>
      <c r="D134" s="69" t="n">
        <f aca="false">TblProd[[#This Row],[Lumber]]</f>
        <v>649864</v>
      </c>
      <c r="E134" s="69" t="n">
        <f aca="false">TblProd[[#This Row],[Ore]]</f>
        <v>-357</v>
      </c>
      <c r="F134" s="69" t="n">
        <f aca="false">TblProd[[#This Row],[Gems]]</f>
        <v>-1000</v>
      </c>
      <c r="G134" s="146"/>
      <c r="H134" s="69" t="n">
        <f aca="false">TblMili[[#This Row],[Draftees]]</f>
        <v>3969</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646</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646</v>
      </c>
      <c r="B135" s="132"/>
      <c r="C135" s="69" t="n">
        <f aca="false">TblProd[[#This Row],[Platinum]]</f>
        <v>7356667</v>
      </c>
      <c r="D135" s="69" t="n">
        <f aca="false">TblProd[[#This Row],[Lumber]]</f>
        <v>655290</v>
      </c>
      <c r="E135" s="69" t="n">
        <f aca="false">TblProd[[#This Row],[Ore]]</f>
        <v>-357</v>
      </c>
      <c r="F135" s="69" t="n">
        <f aca="false">TblProd[[#This Row],[Gems]]</f>
        <v>-1000</v>
      </c>
      <c r="G135" s="146"/>
      <c r="H135" s="69" t="n">
        <f aca="false">TblMili[[#This Row],[Draftees]]</f>
        <v>4023</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646</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646</v>
      </c>
      <c r="B136" s="132"/>
      <c r="C136" s="69" t="n">
        <f aca="false">TblProd[[#This Row],[Platinum]]</f>
        <v>7448886</v>
      </c>
      <c r="D136" s="69" t="n">
        <f aca="false">TblProd[[#This Row],[Lumber]]</f>
        <v>660662</v>
      </c>
      <c r="E136" s="69" t="n">
        <f aca="false">TblProd[[#This Row],[Ore]]</f>
        <v>-357</v>
      </c>
      <c r="F136" s="69" t="n">
        <f aca="false">TblProd[[#This Row],[Gems]]</f>
        <v>-1000</v>
      </c>
      <c r="G136" s="146"/>
      <c r="H136" s="69" t="n">
        <f aca="false">TblMili[[#This Row],[Draftees]]</f>
        <v>4077</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646</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E0F6D660-354E-4FF0-8EE5-4225141B9C71}">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71280</xdr:colOff>
                    <xdr:row>2</xdr:row>
                    <xdr:rowOff>0</xdr:rowOff>
                  </from>
                  <to>
                    <xdr:col>16</xdr:col>
                    <xdr:colOff>18720</xdr:colOff>
                    <xdr:row>3</xdr:row>
                    <xdr:rowOff>42840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71280</xdr:colOff>
                    <xdr:row>5</xdr:row>
                    <xdr:rowOff>0</xdr:rowOff>
                  </from>
                  <to>
                    <xdr:col>16</xdr:col>
                    <xdr:colOff>18720</xdr:colOff>
                    <xdr:row>6</xdr:row>
                    <xdr:rowOff>42840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71280</xdr:colOff>
                    <xdr:row>8</xdr:row>
                    <xdr:rowOff>9360</xdr:rowOff>
                  </from>
                  <to>
                    <xdr:col>16</xdr:col>
                    <xdr:colOff>18720</xdr:colOff>
                    <xdr:row>10</xdr:row>
                    <xdr:rowOff>9360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66600</xdr:colOff>
                    <xdr:row>11</xdr:row>
                    <xdr:rowOff>14400</xdr:rowOff>
                  </from>
                  <to>
                    <xdr:col>16</xdr:col>
                    <xdr:colOff>14040</xdr:colOff>
                    <xdr:row>13</xdr:row>
                    <xdr:rowOff>9720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95400</xdr:colOff>
                    <xdr:row>29</xdr:row>
                    <xdr:rowOff>4680</xdr:rowOff>
                  </from>
                  <to>
                    <xdr:col>9</xdr:col>
                    <xdr:colOff>14400</xdr:colOff>
                    <xdr:row>31</xdr:row>
                    <xdr:rowOff>4680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95400</xdr:colOff>
                    <xdr:row>32</xdr:row>
                    <xdr:rowOff>9360</xdr:rowOff>
                  </from>
                  <to>
                    <xdr:col>9</xdr:col>
                    <xdr:colOff>14400</xdr:colOff>
                    <xdr:row>34</xdr:row>
                    <xdr:rowOff>9360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95400</xdr:colOff>
                    <xdr:row>35</xdr:row>
                    <xdr:rowOff>19080</xdr:rowOff>
                  </from>
                  <to>
                    <xdr:col>9</xdr:col>
                    <xdr:colOff>14400</xdr:colOff>
                    <xdr:row>37</xdr:row>
                    <xdr:rowOff>19080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61920</xdr:colOff>
                    <xdr:row>16</xdr:row>
                    <xdr:rowOff>19080</xdr:rowOff>
                  </from>
                  <to>
                    <xdr:col>16</xdr:col>
                    <xdr:colOff>9360</xdr:colOff>
                    <xdr:row>18</xdr:row>
                    <xdr:rowOff>14400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A86" activeCellId="0" sqref="A86"/>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428</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2024-05-28T15:17:16Z</dcterms:modified>
  <cp:revision>18</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